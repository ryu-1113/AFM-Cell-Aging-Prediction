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2"/>
  </bookViews>
  <sheets>
    <sheet name="形貌" sheetId="1" r:id="rId1"/>
    <sheet name="力学" sheetId="2" r:id="rId2"/>
    <sheet name="Hypoxia" sheetId="3" r:id="rId3"/>
    <sheet name="Normox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<sst xmlns="http://schemas.openxmlformats.org/spreadsheetml/2006/main" count="275" uniqueCount="27">
  <si>
    <t>P6</t>
  </si>
  <si>
    <t>Height</t>
  </si>
  <si>
    <t>Roughness</t>
  </si>
  <si>
    <t>Legth</t>
  </si>
  <si>
    <t>width</t>
  </si>
  <si>
    <t>Aspect ratio</t>
  </si>
  <si>
    <t>Hypoxia</t>
  </si>
  <si>
    <t>Normoxia</t>
  </si>
  <si>
    <t>AVE.</t>
  </si>
  <si>
    <t>2.624±0.389b</t>
  </si>
  <si>
    <t>159.635±45.891b</t>
  </si>
  <si>
    <t>3.214±0.499a</t>
  </si>
  <si>
    <t>2.970±0.737a</t>
  </si>
  <si>
    <t>250.164±65.987a</t>
  </si>
  <si>
    <t>3.032±0.512ab</t>
  </si>
  <si>
    <t>缺氧组</t>
  </si>
  <si>
    <t>常氧组</t>
  </si>
  <si>
    <t>Num.</t>
  </si>
  <si>
    <t>Adhesion (pN)</t>
  </si>
  <si>
    <r>
      <rPr>
        <sz val="14"/>
        <rFont val="Times New Roman Regular"/>
        <charset val="134"/>
      </rPr>
      <t>Elastic modulus</t>
    </r>
    <r>
      <rPr>
        <sz val="14"/>
        <rFont val="宋体-简"/>
        <charset val="134"/>
      </rPr>
      <t>（</t>
    </r>
    <r>
      <rPr>
        <sz val="14"/>
        <rFont val="Times New Roman Regular"/>
        <charset val="134"/>
      </rPr>
      <t>kPa</t>
    </r>
    <r>
      <rPr>
        <sz val="14"/>
        <rFont val="宋体-简"/>
        <charset val="134"/>
      </rPr>
      <t>）</t>
    </r>
  </si>
  <si>
    <t>Elastic modulus（kPa）</t>
  </si>
  <si>
    <t>group</t>
  </si>
  <si>
    <t>height</t>
  </si>
  <si>
    <t>roughness</t>
  </si>
  <si>
    <t>length</t>
  </si>
  <si>
    <t>cycle</t>
  </si>
  <si>
    <r>
      <t>Elastic modulus</t>
    </r>
    <r>
      <rPr>
        <sz val="14"/>
        <rFont val="宋体-简"/>
        <charset val="134"/>
      </rPr>
      <t>（</t>
    </r>
    <r>
      <rPr>
        <sz val="14"/>
        <rFont val="Times New Roman Regular"/>
        <charset val="134"/>
      </rPr>
      <t>kPa</t>
    </r>
    <r>
      <rPr>
        <sz val="14"/>
        <rFont val="宋体-简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</si>
</sst>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2"/>
      <color theme="1"/>
      <name val="等线"/>
      <charset val="134"/>
      <scheme val="minor"/>
    </font>
    <font>
      <sz val="16"/>
      <color theme="1"/>
      <name val="Times New Roman Regular"/>
      <charset val="134"/>
    </font>
    <font>
      <sz val="14"/>
      <name val="Times New Roma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5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62"/>
  <sheetViews>
    <sheetView zoomScale="68" zoomScaleNormal="68" topLeftCell="A21" workbookViewId="0">
      <selection activeCell="M4" sqref="M4:M58"/>
    </sheetView>
  </sheetViews>
  <sheetFormatPr defaultColWidth="11" defaultRowHeight="15.6"/>
  <cols>
    <col min="3" max="3" width="16.9090909090909" customWidth="1"/>
    <col min="4" max="4" width="13.4545454545455" customWidth="1"/>
    <col min="6" max="6" width="12.8181818181818" customWidth="1"/>
    <col min="7" max="7" width="20" customWidth="1"/>
    <col min="15" max="15" width="13.9090909090909" style="7" customWidth="1"/>
    <col min="16" max="16" width="17.3636363636364" style="7" customWidth="1"/>
  </cols>
  <sheetData>
    <row r="2" spans="2:16">
      <c r="B2" s="8" t="s">
        <v>0</v>
      </c>
      <c r="C2" s="9" t="s">
        <v>1</v>
      </c>
      <c r="D2" s="9"/>
      <c r="F2" s="9" t="s">
        <v>2</v>
      </c>
      <c r="G2" s="9"/>
      <c r="I2" s="9" t="s">
        <v>3</v>
      </c>
      <c r="J2" s="9"/>
      <c r="L2" s="9" t="s">
        <v>4</v>
      </c>
      <c r="M2" s="9"/>
      <c r="O2" s="10" t="s">
        <v>5</v>
      </c>
      <c r="P2" s="10"/>
    </row>
    <row r="3" spans="2:16">
      <c r="C3" t="s">
        <v>6</v>
      </c>
      <c r="D3" t="s">
        <v>7</v>
      </c>
      <c r="F3" t="s">
        <v>6</v>
      </c>
      <c r="G3" t="s">
        <v>7</v>
      </c>
      <c r="I3" t="s">
        <v>6</v>
      </c>
      <c r="J3" t="s">
        <v>7</v>
      </c>
      <c r="L3" t="s">
        <v>6</v>
      </c>
      <c r="M3" t="s">
        <v>7</v>
      </c>
      <c r="O3" s="7" t="s">
        <v>6</v>
      </c>
      <c r="P3" s="7" t="s">
        <v>7</v>
      </c>
    </row>
    <row r="4" spans="2:16">
      <c r="C4">
        <v>2.275</v>
      </c>
      <c r="D4">
        <v>2.429</v>
      </c>
      <c r="F4">
        <v>129.6</v>
      </c>
      <c r="G4">
        <v>152.8</v>
      </c>
      <c r="I4">
        <v>98.21</v>
      </c>
      <c r="J4">
        <v>86.91</v>
      </c>
      <c r="L4">
        <v>28.34</v>
      </c>
      <c r="M4">
        <v>25.16</v>
      </c>
      <c r="O4" s="7">
        <f>I4/L4</f>
        <v>3.46541990119972</v>
      </c>
      <c r="P4" s="7">
        <f>J4/M4</f>
        <v>3.45429252782194</v>
      </c>
    </row>
    <row r="5" spans="2:16">
      <c r="C5">
        <v>2.262</v>
      </c>
      <c r="D5">
        <v>2.411</v>
      </c>
      <c r="F5">
        <v>141</v>
      </c>
      <c r="G5">
        <v>163.3</v>
      </c>
      <c r="I5">
        <v>97.11</v>
      </c>
      <c r="J5">
        <v>86.17</v>
      </c>
      <c r="L5">
        <v>28.17</v>
      </c>
      <c r="M5">
        <v>25.55</v>
      </c>
      <c r="O5" s="7">
        <f t="shared" ref="O5:O36" si="0">I5/L5</f>
        <v>3.44728434504792</v>
      </c>
      <c r="P5" s="7">
        <f t="shared" ref="P5:P36" si="1">J5/M5</f>
        <v>3.37260273972603</v>
      </c>
    </row>
    <row r="6" spans="2:16">
      <c r="C6">
        <v>2.277</v>
      </c>
      <c r="D6">
        <v>2.469</v>
      </c>
      <c r="F6">
        <v>135</v>
      </c>
      <c r="G6">
        <v>167.6</v>
      </c>
      <c r="I6">
        <v>97.87</v>
      </c>
      <c r="J6">
        <v>86.77</v>
      </c>
      <c r="L6">
        <v>27.97</v>
      </c>
      <c r="M6">
        <v>25.19</v>
      </c>
      <c r="O6" s="7">
        <f t="shared" si="0"/>
        <v>3.49910618519843</v>
      </c>
      <c r="P6" s="7">
        <f t="shared" si="1"/>
        <v>3.4446208813021</v>
      </c>
    </row>
    <row r="7" spans="2:16">
      <c r="C7">
        <v>2.266</v>
      </c>
      <c r="D7">
        <v>2.482</v>
      </c>
      <c r="F7">
        <v>126.8</v>
      </c>
      <c r="G7">
        <v>152.8</v>
      </c>
      <c r="I7">
        <v>98.11</v>
      </c>
      <c r="J7">
        <v>86.46</v>
      </c>
      <c r="L7">
        <v>27.89</v>
      </c>
      <c r="M7">
        <v>25.32</v>
      </c>
      <c r="O7" s="7">
        <f t="shared" si="0"/>
        <v>3.5177482968806</v>
      </c>
      <c r="P7" s="7">
        <f t="shared" si="1"/>
        <v>3.41469194312796</v>
      </c>
    </row>
    <row r="8" spans="2:16">
      <c r="C8">
        <v>2.249</v>
      </c>
      <c r="D8">
        <v>2.498</v>
      </c>
      <c r="F8">
        <v>130.9</v>
      </c>
      <c r="G8">
        <v>163</v>
      </c>
      <c r="I8">
        <v>98.52</v>
      </c>
      <c r="J8">
        <v>86.7</v>
      </c>
      <c r="L8">
        <v>28.39</v>
      </c>
      <c r="M8">
        <v>25.53</v>
      </c>
      <c r="O8" s="7">
        <f t="shared" si="0"/>
        <v>3.47023599859105</v>
      </c>
      <c r="P8" s="7">
        <f t="shared" si="1"/>
        <v>3.39600470035253</v>
      </c>
    </row>
    <row r="9" spans="2:16">
      <c r="C9">
        <v>4.587</v>
      </c>
      <c r="D9">
        <v>2.362</v>
      </c>
      <c r="F9">
        <v>225.2</v>
      </c>
      <c r="G9">
        <v>167.5</v>
      </c>
      <c r="I9">
        <v>93.29</v>
      </c>
      <c r="J9">
        <v>96.3</v>
      </c>
      <c r="L9">
        <v>22.09</v>
      </c>
      <c r="M9">
        <v>28.79</v>
      </c>
      <c r="O9" s="7">
        <f t="shared" si="0"/>
        <v>4.22317790855591</v>
      </c>
      <c r="P9" s="7">
        <f t="shared" si="1"/>
        <v>3.34491142757902</v>
      </c>
    </row>
    <row r="10" spans="2:16">
      <c r="C10">
        <v>4.549</v>
      </c>
      <c r="D10">
        <v>2.36</v>
      </c>
      <c r="F10">
        <v>180.3</v>
      </c>
      <c r="G10">
        <v>173.6</v>
      </c>
      <c r="I10">
        <v>93.39</v>
      </c>
      <c r="J10">
        <v>96.47</v>
      </c>
      <c r="L10">
        <v>21.76</v>
      </c>
      <c r="M10">
        <v>28.62</v>
      </c>
      <c r="O10" s="7">
        <f t="shared" si="0"/>
        <v>4.29181985294118</v>
      </c>
      <c r="P10" s="7">
        <f t="shared" si="1"/>
        <v>3.37071977638015</v>
      </c>
    </row>
    <row r="11" spans="2:16">
      <c r="C11">
        <v>4.487</v>
      </c>
      <c r="D11">
        <v>2.357</v>
      </c>
      <c r="F11">
        <v>186.9</v>
      </c>
      <c r="G11">
        <v>120</v>
      </c>
      <c r="I11">
        <v>94.22</v>
      </c>
      <c r="J11">
        <v>96.53</v>
      </c>
      <c r="L11">
        <v>21.9</v>
      </c>
      <c r="M11">
        <v>28.2</v>
      </c>
      <c r="O11" s="7">
        <f t="shared" si="0"/>
        <v>4.30228310502283</v>
      </c>
      <c r="P11" s="7">
        <f t="shared" si="1"/>
        <v>3.42304964539007</v>
      </c>
    </row>
    <row r="12" spans="2:16">
      <c r="C12">
        <v>4.427</v>
      </c>
      <c r="D12">
        <v>2.373</v>
      </c>
      <c r="F12">
        <v>206.2</v>
      </c>
      <c r="G12">
        <v>123.2</v>
      </c>
      <c r="I12">
        <v>94.87</v>
      </c>
      <c r="J12">
        <v>96.69</v>
      </c>
      <c r="L12">
        <v>20.95</v>
      </c>
      <c r="M12">
        <v>28.24</v>
      </c>
      <c r="O12" s="7">
        <f t="shared" si="0"/>
        <v>4.52840095465394</v>
      </c>
      <c r="P12" s="7">
        <f t="shared" si="1"/>
        <v>3.42386685552408</v>
      </c>
    </row>
    <row r="13" spans="2:16">
      <c r="C13">
        <v>4.516</v>
      </c>
      <c r="D13">
        <v>2.399</v>
      </c>
      <c r="F13">
        <v>180.6</v>
      </c>
      <c r="G13">
        <v>145.6</v>
      </c>
      <c r="I13">
        <v>94.28</v>
      </c>
      <c r="J13">
        <v>96.63</v>
      </c>
      <c r="L13">
        <v>21.22</v>
      </c>
      <c r="M13">
        <v>28.72</v>
      </c>
      <c r="O13" s="7">
        <f t="shared" si="0"/>
        <v>4.44297832233742</v>
      </c>
      <c r="P13" s="7">
        <f t="shared" si="1"/>
        <v>3.36455431754875</v>
      </c>
    </row>
    <row r="14" spans="2:16">
      <c r="C14">
        <v>2.953</v>
      </c>
      <c r="D14">
        <v>2.244</v>
      </c>
      <c r="F14">
        <v>387.4</v>
      </c>
      <c r="G14">
        <v>126.1</v>
      </c>
      <c r="I14">
        <v>101.7</v>
      </c>
      <c r="J14">
        <v>94.29</v>
      </c>
      <c r="L14">
        <v>34.46</v>
      </c>
      <c r="M14">
        <v>24.69</v>
      </c>
      <c r="O14" s="7">
        <f t="shared" si="0"/>
        <v>2.95124782356355</v>
      </c>
      <c r="P14" s="7">
        <f t="shared" si="1"/>
        <v>3.81895504252734</v>
      </c>
    </row>
    <row r="15" spans="2:16">
      <c r="C15">
        <v>2.88</v>
      </c>
      <c r="D15">
        <v>2.207</v>
      </c>
      <c r="F15">
        <v>329.8</v>
      </c>
      <c r="G15">
        <v>122.1</v>
      </c>
      <c r="I15">
        <v>101.8</v>
      </c>
      <c r="J15">
        <v>94.98</v>
      </c>
      <c r="L15">
        <v>33.72</v>
      </c>
      <c r="M15">
        <v>24.25</v>
      </c>
      <c r="O15" s="7">
        <f t="shared" si="0"/>
        <v>3.01897983392645</v>
      </c>
      <c r="P15" s="7">
        <f t="shared" si="1"/>
        <v>3.91670103092783</v>
      </c>
    </row>
    <row r="16" spans="2:16">
      <c r="C16">
        <v>2.803</v>
      </c>
      <c r="D16">
        <v>2.247</v>
      </c>
      <c r="F16">
        <v>334</v>
      </c>
      <c r="G16">
        <v>124.6</v>
      </c>
      <c r="I16">
        <v>102.2</v>
      </c>
      <c r="J16">
        <v>95.14</v>
      </c>
      <c r="L16">
        <v>33.68</v>
      </c>
      <c r="M16">
        <v>25.95</v>
      </c>
      <c r="O16" s="7">
        <f t="shared" si="0"/>
        <v>3.03444180522565</v>
      </c>
      <c r="P16" s="7">
        <f t="shared" si="1"/>
        <v>3.66628131021195</v>
      </c>
    </row>
    <row r="17" spans="3:16">
      <c r="C17">
        <v>2.979</v>
      </c>
      <c r="D17">
        <v>2.302</v>
      </c>
      <c r="F17">
        <v>338.4</v>
      </c>
      <c r="G17">
        <v>139.1</v>
      </c>
      <c r="I17">
        <v>101.5</v>
      </c>
      <c r="J17">
        <v>95.3</v>
      </c>
      <c r="L17">
        <v>33.6</v>
      </c>
      <c r="M17">
        <v>24.19</v>
      </c>
      <c r="O17" s="7">
        <f t="shared" si="0"/>
        <v>3.02083333333333</v>
      </c>
      <c r="P17" s="7">
        <f t="shared" si="1"/>
        <v>3.93964448119057</v>
      </c>
    </row>
    <row r="18" spans="3:16">
      <c r="C18">
        <v>3.038</v>
      </c>
      <c r="D18">
        <v>2.354</v>
      </c>
      <c r="F18">
        <v>368.9</v>
      </c>
      <c r="G18">
        <v>134.5</v>
      </c>
      <c r="I18">
        <v>101.7</v>
      </c>
      <c r="J18">
        <v>95.73</v>
      </c>
      <c r="L18">
        <v>33.37</v>
      </c>
      <c r="M18">
        <v>24.41</v>
      </c>
      <c r="O18" s="7">
        <f t="shared" si="0"/>
        <v>3.04764758765358</v>
      </c>
      <c r="P18" s="7">
        <f t="shared" si="1"/>
        <v>3.92175337976239</v>
      </c>
    </row>
    <row r="19" spans="3:16">
      <c r="C19">
        <v>2.668</v>
      </c>
      <c r="D19">
        <v>2.577</v>
      </c>
      <c r="F19">
        <v>206.1</v>
      </c>
      <c r="G19">
        <v>109.7</v>
      </c>
      <c r="I19">
        <v>100</v>
      </c>
      <c r="J19">
        <v>100.7</v>
      </c>
      <c r="L19">
        <v>38.2</v>
      </c>
      <c r="M19">
        <v>31.31</v>
      </c>
      <c r="O19" s="7">
        <f t="shared" si="0"/>
        <v>2.61780104712042</v>
      </c>
      <c r="P19" s="7">
        <f t="shared" si="1"/>
        <v>3.21622484829128</v>
      </c>
    </row>
    <row r="20" spans="3:16">
      <c r="C20">
        <v>2.673</v>
      </c>
      <c r="D20">
        <v>2.538</v>
      </c>
      <c r="F20">
        <v>192.6</v>
      </c>
      <c r="G20">
        <v>101</v>
      </c>
      <c r="I20">
        <v>99.24</v>
      </c>
      <c r="J20">
        <v>101.3</v>
      </c>
      <c r="L20">
        <v>38.6</v>
      </c>
      <c r="M20">
        <v>31.78</v>
      </c>
      <c r="O20" s="7">
        <f t="shared" si="0"/>
        <v>2.57098445595855</v>
      </c>
      <c r="P20" s="7">
        <f t="shared" si="1"/>
        <v>3.18753933291378</v>
      </c>
    </row>
    <row r="21" spans="3:16">
      <c r="C21">
        <v>2.708</v>
      </c>
      <c r="D21">
        <v>2.606</v>
      </c>
      <c r="F21">
        <v>212.8</v>
      </c>
      <c r="G21">
        <v>129</v>
      </c>
      <c r="I21">
        <v>98.39</v>
      </c>
      <c r="J21">
        <v>100.7</v>
      </c>
      <c r="L21">
        <v>37.39</v>
      </c>
      <c r="M21">
        <v>32.04</v>
      </c>
      <c r="O21" s="7">
        <f t="shared" si="0"/>
        <v>2.63145225996256</v>
      </c>
      <c r="P21" s="7">
        <f t="shared" si="1"/>
        <v>3.14294631710362</v>
      </c>
    </row>
    <row r="22" spans="3:16">
      <c r="C22">
        <v>2.71</v>
      </c>
      <c r="D22">
        <v>2.615</v>
      </c>
      <c r="F22">
        <v>226.8</v>
      </c>
      <c r="G22">
        <v>102.2</v>
      </c>
      <c r="I22">
        <v>98.41</v>
      </c>
      <c r="J22">
        <v>101</v>
      </c>
      <c r="L22">
        <v>37.73</v>
      </c>
      <c r="M22">
        <v>32.48</v>
      </c>
      <c r="O22" s="7">
        <f t="shared" si="0"/>
        <v>2.60826928173867</v>
      </c>
      <c r="P22" s="7">
        <f t="shared" si="1"/>
        <v>3.10960591133005</v>
      </c>
    </row>
    <row r="23" spans="3:16">
      <c r="C23">
        <v>2.686</v>
      </c>
      <c r="D23">
        <v>2.599</v>
      </c>
      <c r="F23">
        <v>224.6</v>
      </c>
      <c r="G23">
        <v>113.3</v>
      </c>
      <c r="I23">
        <v>98.74</v>
      </c>
      <c r="J23">
        <v>101.2</v>
      </c>
      <c r="L23">
        <v>37.33</v>
      </c>
      <c r="M23">
        <v>32.07</v>
      </c>
      <c r="O23" s="7">
        <f t="shared" si="0"/>
        <v>2.64505759442807</v>
      </c>
      <c r="P23" s="7">
        <f t="shared" si="1"/>
        <v>3.15559713127534</v>
      </c>
    </row>
    <row r="24" spans="3:16">
      <c r="C24">
        <v>3.429</v>
      </c>
      <c r="D24">
        <v>3.158</v>
      </c>
      <c r="F24">
        <v>353.1</v>
      </c>
      <c r="G24">
        <v>228.4</v>
      </c>
      <c r="I24">
        <v>104.5</v>
      </c>
      <c r="J24">
        <v>93.8</v>
      </c>
      <c r="L24">
        <v>40.8</v>
      </c>
      <c r="M24">
        <v>37.34</v>
      </c>
      <c r="O24" s="7">
        <f t="shared" si="0"/>
        <v>2.56127450980392</v>
      </c>
      <c r="P24" s="7">
        <f t="shared" si="1"/>
        <v>2.51205141938939</v>
      </c>
    </row>
    <row r="25" spans="3:16">
      <c r="C25">
        <v>3.228</v>
      </c>
      <c r="D25">
        <v>3.06</v>
      </c>
      <c r="F25">
        <v>344.3</v>
      </c>
      <c r="G25">
        <v>246.5</v>
      </c>
      <c r="I25">
        <v>104.2</v>
      </c>
      <c r="J25">
        <v>94.05</v>
      </c>
      <c r="L25">
        <v>39.92</v>
      </c>
      <c r="M25">
        <v>37.26</v>
      </c>
      <c r="O25" s="7">
        <f t="shared" si="0"/>
        <v>2.61022044088176</v>
      </c>
      <c r="P25" s="7">
        <f t="shared" si="1"/>
        <v>2.52415458937198</v>
      </c>
    </row>
    <row r="26" spans="3:16">
      <c r="C26">
        <v>3.345</v>
      </c>
      <c r="D26">
        <v>2.993</v>
      </c>
      <c r="F26">
        <v>366.7</v>
      </c>
      <c r="G26">
        <v>271.9</v>
      </c>
      <c r="I26">
        <v>104</v>
      </c>
      <c r="J26">
        <v>92.95</v>
      </c>
      <c r="L26">
        <v>39.17</v>
      </c>
      <c r="M26">
        <v>37.03</v>
      </c>
      <c r="O26" s="7">
        <f t="shared" si="0"/>
        <v>2.65509318355885</v>
      </c>
      <c r="P26" s="7">
        <f t="shared" si="1"/>
        <v>2.51012692411558</v>
      </c>
    </row>
    <row r="27" spans="3:16">
      <c r="C27">
        <v>3.218</v>
      </c>
      <c r="D27">
        <v>3.118</v>
      </c>
      <c r="F27">
        <v>360.5</v>
      </c>
      <c r="G27">
        <v>246.5</v>
      </c>
      <c r="I27">
        <v>104.2</v>
      </c>
      <c r="J27">
        <v>93.13</v>
      </c>
      <c r="L27">
        <v>39.47</v>
      </c>
      <c r="M27">
        <v>37.2</v>
      </c>
      <c r="O27" s="7">
        <f t="shared" si="0"/>
        <v>2.6399797314416</v>
      </c>
      <c r="P27" s="7">
        <f t="shared" si="1"/>
        <v>2.50349462365591</v>
      </c>
    </row>
    <row r="28" spans="3:16">
      <c r="C28">
        <v>3.451</v>
      </c>
      <c r="D28">
        <v>3.108</v>
      </c>
      <c r="F28">
        <v>340.7</v>
      </c>
      <c r="G28">
        <v>220.3</v>
      </c>
      <c r="I28">
        <v>104.4</v>
      </c>
      <c r="J28">
        <v>93.04</v>
      </c>
      <c r="L28">
        <v>39.63</v>
      </c>
      <c r="M28">
        <v>37.28</v>
      </c>
      <c r="O28" s="7">
        <f t="shared" si="0"/>
        <v>2.63436790310371</v>
      </c>
      <c r="P28" s="7">
        <f t="shared" si="1"/>
        <v>2.49570815450644</v>
      </c>
    </row>
    <row r="29" spans="3:16">
      <c r="C29">
        <v>2.986</v>
      </c>
      <c r="D29">
        <v>3.145</v>
      </c>
      <c r="F29">
        <v>272.5</v>
      </c>
      <c r="G29">
        <v>182</v>
      </c>
      <c r="I29">
        <v>113.4</v>
      </c>
      <c r="J29">
        <v>115.8</v>
      </c>
      <c r="L29">
        <v>33.88</v>
      </c>
      <c r="M29">
        <v>32.86</v>
      </c>
      <c r="O29" s="7">
        <f t="shared" si="0"/>
        <v>3.34710743801653</v>
      </c>
      <c r="P29" s="7">
        <f t="shared" si="1"/>
        <v>3.52404138770542</v>
      </c>
    </row>
    <row r="30" spans="3:16">
      <c r="C30">
        <v>3.04</v>
      </c>
      <c r="D30">
        <v>3.127</v>
      </c>
      <c r="F30">
        <v>246.3</v>
      </c>
      <c r="G30">
        <v>200.3</v>
      </c>
      <c r="I30">
        <v>113.1</v>
      </c>
      <c r="J30">
        <v>116</v>
      </c>
      <c r="L30">
        <v>33.52</v>
      </c>
      <c r="M30">
        <v>32.53</v>
      </c>
      <c r="O30" s="7">
        <f t="shared" si="0"/>
        <v>3.37410501193317</v>
      </c>
      <c r="P30" s="7">
        <f t="shared" si="1"/>
        <v>3.5659391331079</v>
      </c>
    </row>
    <row r="31" spans="3:16">
      <c r="C31">
        <v>3.056</v>
      </c>
      <c r="D31">
        <v>3.12</v>
      </c>
      <c r="F31">
        <v>256.1</v>
      </c>
      <c r="G31">
        <v>183.6</v>
      </c>
      <c r="I31">
        <v>112.5</v>
      </c>
      <c r="J31">
        <v>115.4</v>
      </c>
      <c r="L31">
        <v>33.65</v>
      </c>
      <c r="M31">
        <v>32.7</v>
      </c>
      <c r="O31" s="7">
        <f t="shared" si="0"/>
        <v>3.34323922734027</v>
      </c>
      <c r="P31" s="7">
        <f t="shared" si="1"/>
        <v>3.52905198776758</v>
      </c>
    </row>
    <row r="32" spans="3:16">
      <c r="C32">
        <v>2.861</v>
      </c>
      <c r="D32">
        <v>3.068</v>
      </c>
      <c r="F32">
        <v>288.6</v>
      </c>
      <c r="G32">
        <v>185.2</v>
      </c>
      <c r="I32">
        <v>111.9</v>
      </c>
      <c r="J32">
        <v>115.1</v>
      </c>
      <c r="L32">
        <v>33.07</v>
      </c>
      <c r="M32">
        <v>32.99</v>
      </c>
      <c r="O32" s="7">
        <f t="shared" si="0"/>
        <v>3.38373147868158</v>
      </c>
      <c r="P32" s="7">
        <f t="shared" si="1"/>
        <v>3.48893604122461</v>
      </c>
    </row>
    <row r="33" spans="3:16">
      <c r="C33">
        <v>2.911</v>
      </c>
      <c r="D33">
        <v>3.047</v>
      </c>
      <c r="F33">
        <v>242.7</v>
      </c>
      <c r="G33">
        <v>183</v>
      </c>
      <c r="I33">
        <v>112.6</v>
      </c>
      <c r="J33">
        <v>115.5</v>
      </c>
      <c r="L33">
        <v>33.6</v>
      </c>
      <c r="M33">
        <v>32.94</v>
      </c>
      <c r="O33" s="7">
        <f t="shared" si="0"/>
        <v>3.35119047619048</v>
      </c>
      <c r="P33" s="7">
        <f t="shared" si="1"/>
        <v>3.5063752276867</v>
      </c>
    </row>
    <row r="34" spans="3:16">
      <c r="C34">
        <v>3.788</v>
      </c>
      <c r="D34">
        <v>3.012</v>
      </c>
      <c r="F34">
        <v>238.4</v>
      </c>
      <c r="G34">
        <v>228.8</v>
      </c>
      <c r="I34">
        <v>107.4</v>
      </c>
      <c r="J34">
        <v>103.2</v>
      </c>
      <c r="L34">
        <v>36.96</v>
      </c>
      <c r="M34">
        <v>45.9</v>
      </c>
      <c r="O34" s="7">
        <f t="shared" si="0"/>
        <v>2.90584415584416</v>
      </c>
      <c r="P34" s="7">
        <f t="shared" si="1"/>
        <v>2.2483660130719</v>
      </c>
    </row>
    <row r="35" spans="3:16">
      <c r="C35">
        <v>3.706</v>
      </c>
      <c r="D35">
        <v>3.028</v>
      </c>
      <c r="F35">
        <v>284.8</v>
      </c>
      <c r="G35">
        <v>276</v>
      </c>
      <c r="I35">
        <v>106.6</v>
      </c>
      <c r="J35">
        <v>103.7</v>
      </c>
      <c r="L35">
        <v>36.37</v>
      </c>
      <c r="M35">
        <v>45.32</v>
      </c>
      <c r="O35" s="7">
        <f t="shared" si="0"/>
        <v>2.93098707726148</v>
      </c>
      <c r="P35" s="7">
        <f t="shared" si="1"/>
        <v>2.28817299205649</v>
      </c>
    </row>
    <row r="36" spans="3:16">
      <c r="C36">
        <v>3.684</v>
      </c>
      <c r="D36">
        <v>2.996</v>
      </c>
      <c r="F36">
        <v>236.7</v>
      </c>
      <c r="G36">
        <v>235.5</v>
      </c>
      <c r="I36">
        <v>106.7</v>
      </c>
      <c r="J36">
        <v>103.8</v>
      </c>
      <c r="L36">
        <v>36.42</v>
      </c>
      <c r="M36">
        <v>45.4</v>
      </c>
      <c r="O36" s="7">
        <f t="shared" si="0"/>
        <v>2.92970895112575</v>
      </c>
      <c r="P36" s="7">
        <f t="shared" si="1"/>
        <v>2.2863436123348</v>
      </c>
    </row>
    <row r="37" spans="3:16">
      <c r="C37">
        <v>3.788</v>
      </c>
      <c r="D37">
        <v>3.04</v>
      </c>
      <c r="F37">
        <v>252.5</v>
      </c>
      <c r="G37">
        <v>230.2</v>
      </c>
      <c r="I37">
        <v>106.5</v>
      </c>
      <c r="J37">
        <v>104.1</v>
      </c>
      <c r="L37">
        <v>36.94</v>
      </c>
      <c r="M37">
        <v>45.85</v>
      </c>
      <c r="O37" s="7">
        <f t="shared" ref="O37:O58" si="2">I37/L37</f>
        <v>2.88305360043313</v>
      </c>
      <c r="P37" s="7">
        <f t="shared" ref="P37:P58" si="3">J37/M37</f>
        <v>2.27044711014177</v>
      </c>
    </row>
    <row r="38" spans="3:16">
      <c r="C38">
        <v>3.75</v>
      </c>
      <c r="D38">
        <v>2.912</v>
      </c>
      <c r="F38">
        <v>240</v>
      </c>
      <c r="G38">
        <v>236.8</v>
      </c>
      <c r="I38">
        <v>107</v>
      </c>
      <c r="J38">
        <v>104.3</v>
      </c>
      <c r="L38">
        <v>37</v>
      </c>
      <c r="M38">
        <v>46.05</v>
      </c>
      <c r="O38" s="7">
        <f t="shared" si="2"/>
        <v>2.89189189189189</v>
      </c>
      <c r="P38" s="7">
        <f t="shared" si="3"/>
        <v>2.26492942453855</v>
      </c>
    </row>
    <row r="39" spans="3:16">
      <c r="C39">
        <v>2.924</v>
      </c>
      <c r="D39">
        <v>2.558</v>
      </c>
      <c r="F39">
        <v>267.7</v>
      </c>
      <c r="G39">
        <v>180.7</v>
      </c>
      <c r="I39">
        <v>95.42</v>
      </c>
      <c r="J39">
        <v>114.3</v>
      </c>
      <c r="L39">
        <v>33.94</v>
      </c>
      <c r="M39">
        <v>35.41</v>
      </c>
      <c r="O39" s="7">
        <f t="shared" si="2"/>
        <v>2.81143193871538</v>
      </c>
      <c r="P39" s="7">
        <f t="shared" si="3"/>
        <v>3.22790172267721</v>
      </c>
    </row>
    <row r="40" spans="3:16">
      <c r="C40">
        <v>2.948</v>
      </c>
      <c r="D40">
        <v>2.567</v>
      </c>
      <c r="F40">
        <v>251.8</v>
      </c>
      <c r="G40">
        <v>139.4</v>
      </c>
      <c r="I40">
        <v>95</v>
      </c>
      <c r="J40">
        <v>114.6</v>
      </c>
      <c r="L40">
        <v>33.91</v>
      </c>
      <c r="M40">
        <v>35.22</v>
      </c>
      <c r="O40" s="7">
        <f t="shared" si="2"/>
        <v>2.80153347095252</v>
      </c>
      <c r="P40" s="7">
        <f t="shared" si="3"/>
        <v>3.25383304940375</v>
      </c>
    </row>
    <row r="41" spans="3:16">
      <c r="C41">
        <v>2.943</v>
      </c>
      <c r="D41">
        <v>2.562</v>
      </c>
      <c r="F41">
        <v>270.9</v>
      </c>
      <c r="G41">
        <v>140.7</v>
      </c>
      <c r="I41">
        <v>95.89</v>
      </c>
      <c r="J41">
        <v>114.7</v>
      </c>
      <c r="L41">
        <v>34.01</v>
      </c>
      <c r="M41">
        <v>35.25</v>
      </c>
      <c r="O41" s="7">
        <f t="shared" si="2"/>
        <v>2.81946486327551</v>
      </c>
      <c r="P41" s="7">
        <f t="shared" si="3"/>
        <v>3.25390070921986</v>
      </c>
    </row>
    <row r="42" spans="3:16">
      <c r="C42">
        <v>2.929</v>
      </c>
      <c r="D42">
        <v>2.538</v>
      </c>
      <c r="F42">
        <v>231</v>
      </c>
      <c r="G42">
        <v>153.3</v>
      </c>
      <c r="I42">
        <v>96.24</v>
      </c>
      <c r="J42">
        <v>115</v>
      </c>
      <c r="L42">
        <v>33.36</v>
      </c>
      <c r="M42">
        <v>35.59</v>
      </c>
      <c r="O42" s="7">
        <f t="shared" si="2"/>
        <v>2.88489208633093</v>
      </c>
      <c r="P42" s="7">
        <f t="shared" si="3"/>
        <v>3.2312447316662</v>
      </c>
    </row>
    <row r="43" spans="3:16">
      <c r="C43">
        <v>2.933</v>
      </c>
      <c r="D43">
        <v>2.57</v>
      </c>
      <c r="F43">
        <v>271.4</v>
      </c>
      <c r="G43">
        <v>153</v>
      </c>
      <c r="I43">
        <v>96.32</v>
      </c>
      <c r="J43">
        <v>114.8</v>
      </c>
      <c r="L43">
        <v>33.26</v>
      </c>
      <c r="M43">
        <v>36.03</v>
      </c>
      <c r="O43" s="7">
        <f t="shared" si="2"/>
        <v>2.8959711365003</v>
      </c>
      <c r="P43" s="7">
        <f t="shared" si="3"/>
        <v>3.18623369414377</v>
      </c>
    </row>
    <row r="44" spans="3:16">
      <c r="C44">
        <v>1.525</v>
      </c>
      <c r="D44">
        <v>2.619</v>
      </c>
      <c r="F44">
        <v>221</v>
      </c>
      <c r="G44">
        <v>122.6</v>
      </c>
      <c r="I44">
        <v>81.02</v>
      </c>
      <c r="J44">
        <v>111.8</v>
      </c>
      <c r="L44">
        <v>31.34</v>
      </c>
      <c r="M44">
        <v>27.35</v>
      </c>
      <c r="O44" s="7">
        <f t="shared" si="2"/>
        <v>2.58519463943842</v>
      </c>
      <c r="P44" s="7">
        <f t="shared" si="3"/>
        <v>4.08775137111517</v>
      </c>
    </row>
    <row r="45" spans="3:16">
      <c r="C45">
        <v>1.525</v>
      </c>
      <c r="D45">
        <v>2.592</v>
      </c>
      <c r="F45">
        <v>224.3</v>
      </c>
      <c r="G45">
        <v>118.4</v>
      </c>
      <c r="I45">
        <v>80.01</v>
      </c>
      <c r="J45">
        <v>111.4</v>
      </c>
      <c r="L45">
        <v>31.87</v>
      </c>
      <c r="M45">
        <v>27.26</v>
      </c>
      <c r="O45" s="7">
        <f t="shared" si="2"/>
        <v>2.51051145277691</v>
      </c>
      <c r="P45" s="7">
        <f t="shared" si="3"/>
        <v>4.08657373440939</v>
      </c>
    </row>
    <row r="46" spans="3:16">
      <c r="C46">
        <v>1.536</v>
      </c>
      <c r="D46">
        <v>2.644</v>
      </c>
      <c r="F46">
        <v>208.2</v>
      </c>
      <c r="G46">
        <v>123</v>
      </c>
      <c r="I46">
        <v>80.38</v>
      </c>
      <c r="J46">
        <v>111.1</v>
      </c>
      <c r="L46">
        <v>31.64</v>
      </c>
      <c r="M46">
        <v>27.88</v>
      </c>
      <c r="O46" s="7">
        <f t="shared" si="2"/>
        <v>2.54045512010114</v>
      </c>
      <c r="P46" s="7">
        <f t="shared" si="3"/>
        <v>3.98493543758967</v>
      </c>
    </row>
    <row r="47" spans="3:16">
      <c r="C47">
        <v>1.558</v>
      </c>
      <c r="D47">
        <v>2.656</v>
      </c>
      <c r="F47">
        <v>201.3</v>
      </c>
      <c r="G47">
        <v>115.6</v>
      </c>
      <c r="I47">
        <v>80.34</v>
      </c>
      <c r="J47">
        <v>111.3</v>
      </c>
      <c r="L47">
        <v>31.71</v>
      </c>
      <c r="M47">
        <v>27.92</v>
      </c>
      <c r="O47" s="7">
        <f t="shared" si="2"/>
        <v>2.53358561967833</v>
      </c>
      <c r="P47" s="7">
        <f t="shared" si="3"/>
        <v>3.98638968481375</v>
      </c>
    </row>
    <row r="48" spans="3:16">
      <c r="C48">
        <v>1.544</v>
      </c>
      <c r="D48">
        <v>2.627</v>
      </c>
      <c r="F48">
        <v>190.4</v>
      </c>
      <c r="G48">
        <v>120.2</v>
      </c>
      <c r="I48">
        <v>80.64</v>
      </c>
      <c r="J48">
        <v>110</v>
      </c>
      <c r="L48">
        <v>31.43</v>
      </c>
      <c r="M48">
        <v>28.31</v>
      </c>
      <c r="O48" s="7">
        <f t="shared" si="2"/>
        <v>2.56570155902004</v>
      </c>
      <c r="P48" s="7">
        <f t="shared" si="3"/>
        <v>3.88555280819498</v>
      </c>
    </row>
    <row r="49" spans="2:16">
      <c r="C49">
        <v>3.046</v>
      </c>
      <c r="D49">
        <v>2.976</v>
      </c>
      <c r="F49">
        <v>329.3</v>
      </c>
      <c r="G49">
        <v>129.4</v>
      </c>
      <c r="I49">
        <v>99.48</v>
      </c>
      <c r="J49">
        <v>105.1</v>
      </c>
      <c r="L49">
        <v>36.82</v>
      </c>
      <c r="M49">
        <v>34.79</v>
      </c>
      <c r="O49" s="7">
        <f t="shared" si="2"/>
        <v>2.70179250407387</v>
      </c>
      <c r="P49" s="7">
        <f t="shared" si="3"/>
        <v>3.02098304110377</v>
      </c>
    </row>
    <row r="50" spans="2:16">
      <c r="C50">
        <v>3.011</v>
      </c>
      <c r="D50">
        <v>3.002</v>
      </c>
      <c r="F50">
        <v>279.3</v>
      </c>
      <c r="G50">
        <v>136.4</v>
      </c>
      <c r="I50">
        <v>100</v>
      </c>
      <c r="J50">
        <v>104.4</v>
      </c>
      <c r="L50">
        <v>36.1</v>
      </c>
      <c r="M50">
        <v>34.64</v>
      </c>
      <c r="O50" s="7">
        <f t="shared" si="2"/>
        <v>2.77008310249307</v>
      </c>
      <c r="P50" s="7">
        <f t="shared" si="3"/>
        <v>3.01385681293303</v>
      </c>
    </row>
    <row r="51" spans="2:16">
      <c r="C51">
        <v>3.038</v>
      </c>
      <c r="D51">
        <v>3.023</v>
      </c>
      <c r="F51">
        <v>298.3</v>
      </c>
      <c r="G51">
        <v>148.4</v>
      </c>
      <c r="I51">
        <v>99.64</v>
      </c>
      <c r="J51">
        <v>104.6</v>
      </c>
      <c r="L51">
        <v>36.22</v>
      </c>
      <c r="M51">
        <v>34.19</v>
      </c>
      <c r="O51" s="7">
        <f t="shared" si="2"/>
        <v>2.75096631695196</v>
      </c>
      <c r="P51" s="7">
        <f t="shared" si="3"/>
        <v>3.05937408599006</v>
      </c>
    </row>
    <row r="52" spans="2:16">
      <c r="C52">
        <v>3.124</v>
      </c>
      <c r="D52">
        <v>3.006</v>
      </c>
      <c r="F52">
        <v>307.1</v>
      </c>
      <c r="G52">
        <v>139.7</v>
      </c>
      <c r="I52">
        <v>100.2</v>
      </c>
      <c r="J52">
        <v>104.8</v>
      </c>
      <c r="L52">
        <v>36.07</v>
      </c>
      <c r="M52">
        <v>34.15</v>
      </c>
      <c r="O52" s="7">
        <f t="shared" si="2"/>
        <v>2.77793179927918</v>
      </c>
      <c r="P52" s="7">
        <f t="shared" si="3"/>
        <v>3.0688140556369</v>
      </c>
    </row>
    <row r="53" spans="2:16">
      <c r="C53">
        <v>3.121</v>
      </c>
      <c r="D53">
        <v>3</v>
      </c>
      <c r="F53">
        <v>287.8</v>
      </c>
      <c r="G53">
        <v>147.6</v>
      </c>
      <c r="I53">
        <v>99.85</v>
      </c>
      <c r="J53">
        <v>105.3</v>
      </c>
      <c r="L53">
        <v>36.57</v>
      </c>
      <c r="M53">
        <v>34.14</v>
      </c>
      <c r="O53" s="7">
        <f t="shared" si="2"/>
        <v>2.73038009297238</v>
      </c>
      <c r="P53" s="7">
        <f t="shared" si="3"/>
        <v>3.08435852372583</v>
      </c>
    </row>
    <row r="54" spans="2:16">
      <c r="C54">
        <v>2.566</v>
      </c>
      <c r="D54">
        <v>1.805</v>
      </c>
      <c r="F54">
        <v>209.8</v>
      </c>
      <c r="G54">
        <v>121.5</v>
      </c>
      <c r="I54">
        <v>105</v>
      </c>
      <c r="J54">
        <v>102.6</v>
      </c>
      <c r="L54">
        <v>36.76</v>
      </c>
      <c r="M54">
        <v>34.77</v>
      </c>
      <c r="O54" s="7">
        <f t="shared" si="2"/>
        <v>2.85636561479869</v>
      </c>
      <c r="P54" s="7">
        <f t="shared" si="3"/>
        <v>2.95081967213115</v>
      </c>
    </row>
    <row r="55" spans="2:16">
      <c r="C55">
        <v>2.644</v>
      </c>
      <c r="D55">
        <v>1.777</v>
      </c>
      <c r="F55">
        <v>226.6</v>
      </c>
      <c r="G55">
        <v>114.9</v>
      </c>
      <c r="I55">
        <v>105.4</v>
      </c>
      <c r="J55">
        <v>104.1</v>
      </c>
      <c r="L55">
        <v>37.15</v>
      </c>
      <c r="M55">
        <v>35.15</v>
      </c>
      <c r="O55" s="7">
        <f t="shared" si="2"/>
        <v>2.8371467025572</v>
      </c>
      <c r="P55" s="7">
        <f t="shared" si="3"/>
        <v>2.96159317211949</v>
      </c>
    </row>
    <row r="56" spans="2:16">
      <c r="C56">
        <v>2.713</v>
      </c>
      <c r="D56">
        <v>1.81</v>
      </c>
      <c r="F56">
        <v>218.7</v>
      </c>
      <c r="G56">
        <v>110.7</v>
      </c>
      <c r="I56">
        <v>105.5</v>
      </c>
      <c r="J56">
        <v>103.1</v>
      </c>
      <c r="L56">
        <v>36.93</v>
      </c>
      <c r="M56">
        <v>34.43</v>
      </c>
      <c r="O56" s="7">
        <f t="shared" si="2"/>
        <v>2.856756024912</v>
      </c>
      <c r="P56" s="7">
        <f t="shared" si="3"/>
        <v>2.99448155678188</v>
      </c>
    </row>
    <row r="57" spans="2:16">
      <c r="C57">
        <v>2.746</v>
      </c>
      <c r="D57">
        <v>1.811</v>
      </c>
      <c r="F57">
        <v>204.3</v>
      </c>
      <c r="G57">
        <v>138.9</v>
      </c>
      <c r="I57">
        <v>105.3</v>
      </c>
      <c r="J57">
        <v>103</v>
      </c>
      <c r="L57">
        <v>36.78</v>
      </c>
      <c r="M57">
        <v>34.89</v>
      </c>
      <c r="O57" s="7">
        <f t="shared" si="2"/>
        <v>2.86296900489396</v>
      </c>
      <c r="P57" s="7">
        <f t="shared" si="3"/>
        <v>2.95213528231585</v>
      </c>
    </row>
    <row r="58" spans="2:16">
      <c r="C58">
        <v>2.733</v>
      </c>
      <c r="D58">
        <v>1.798</v>
      </c>
      <c r="F58">
        <v>272</v>
      </c>
      <c r="G58">
        <v>139.5</v>
      </c>
      <c r="I58">
        <v>104.1</v>
      </c>
      <c r="J58">
        <v>102.9</v>
      </c>
      <c r="L58">
        <v>36.13</v>
      </c>
      <c r="M58">
        <v>34.79</v>
      </c>
      <c r="O58" s="7">
        <f t="shared" si="2"/>
        <v>2.88126210905065</v>
      </c>
      <c r="P58" s="7">
        <f t="shared" si="3"/>
        <v>2.95774647887324</v>
      </c>
    </row>
    <row r="59" s="7" customFormat="1" spans="2:16">
      <c r="B59" s="11" t="s">
        <v>8</v>
      </c>
      <c r="C59" s="11">
        <f>AVERAGE(C4:C58)</f>
        <v>2.96983636363636</v>
      </c>
      <c r="D59" s="11">
        <f>AVERAGE(D4:D58)</f>
        <v>2.62367272727273</v>
      </c>
      <c r="F59" s="11">
        <f>AVERAGE(F4:F58)</f>
        <v>250.163636363636</v>
      </c>
      <c r="G59" s="11">
        <f>AVERAGE(G4:G58)</f>
        <v>159.634545454545</v>
      </c>
      <c r="I59" s="11">
        <f>AVERAGE(I4:I58)</f>
        <v>99.7869090909091</v>
      </c>
      <c r="J59" s="11">
        <f>AVERAGE(J4:J58)</f>
        <v>102.340727272727</v>
      </c>
      <c r="L59" s="11">
        <f>AVERAGE(L4:L58)</f>
        <v>33.6210909090909</v>
      </c>
      <c r="M59" s="11">
        <f>AVERAGE(M4:M58)</f>
        <v>32.6054545454546</v>
      </c>
      <c r="O59" s="11">
        <f>AVERAGE(O4:O58)</f>
        <v>3.03184291144764</v>
      </c>
      <c r="P59" s="11">
        <f>AVERAGE(P4:P58)</f>
        <v>3.21547603392376</v>
      </c>
    </row>
    <row r="61" spans="2:16">
      <c r="B61" t="s">
        <v>7</v>
      </c>
      <c r="C61" t="s">
        <v>9</v>
      </c>
      <c r="F61" t="s">
        <v>7</v>
      </c>
      <c r="G61" t="s">
        <v>10</v>
      </c>
      <c r="O61" t="s">
        <v>7</v>
      </c>
      <c r="P61" s="7" t="s">
        <v>11</v>
      </c>
    </row>
    <row r="62" spans="2:16">
      <c r="B62" t="s">
        <v>6</v>
      </c>
      <c r="C62" t="s">
        <v>12</v>
      </c>
      <c r="F62" t="s">
        <v>6</v>
      </c>
      <c r="G62" t="s">
        <v>13</v>
      </c>
      <c r="O62" t="s">
        <v>6</v>
      </c>
      <c r="P62" s="7" t="s">
        <v>14</v>
      </c>
    </row>
  </sheetData>
  <mergeCells count="5">
    <mergeCell ref="C2:D2"/>
    <mergeCell ref="F2:G2"/>
    <mergeCell ref="I2:J2"/>
    <mergeCell ref="L2:M2"/>
    <mergeCell ref="O2:P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L65"/>
  <sheetViews>
    <sheetView zoomScale="68" zoomScaleNormal="68" topLeftCell="A33" workbookViewId="0">
      <selection activeCell="K5" sqref="K5:L64"/>
    </sheetView>
  </sheetViews>
  <sheetFormatPr defaultColWidth="9.09090909090909" defaultRowHeight="15.6"/>
  <cols>
    <col min="6" max="6" width="17.1818181818182" customWidth="1"/>
    <col min="7" max="7" width="27.4545454545455" customWidth="1"/>
    <col min="11" max="11" width="19.2727272727273" customWidth="1"/>
    <col min="12" max="12" width="24.5454545454545" customWidth="1"/>
  </cols>
  <sheetData>
    <row r="3" spans="5:12">
      <c r="E3" s="5" t="s">
        <v>15</v>
      </c>
      <c r="F3" s="5"/>
      <c r="G3" s="5"/>
      <c r="J3" s="5" t="s">
        <v>16</v>
      </c>
      <c r="K3" s="5"/>
      <c r="L3" s="5"/>
    </row>
    <row r="4" ht="20.4" spans="5:12">
      <c r="E4" s="1" t="s">
        <v>17</v>
      </c>
      <c r="F4" s="2" t="s">
        <v>18</v>
      </c>
      <c r="G4" s="3" t="s">
        <v>19</v>
      </c>
      <c r="J4" s="1" t="s">
        <v>17</v>
      </c>
      <c r="K4" s="2" t="s">
        <v>18</v>
      </c>
      <c r="L4" s="3" t="s">
        <v>20</v>
      </c>
    </row>
    <row r="5" spans="5:12">
      <c r="E5" s="4">
        <v>1</v>
      </c>
      <c r="F5" s="4">
        <v>403.5</v>
      </c>
      <c r="G5" s="4">
        <v>3.774</v>
      </c>
      <c r="J5" s="4">
        <v>1</v>
      </c>
      <c r="K5" s="4">
        <v>509.8</v>
      </c>
      <c r="L5" s="4">
        <v>4.127</v>
      </c>
    </row>
    <row r="6" spans="5:12">
      <c r="E6" s="4"/>
      <c r="F6" s="4">
        <v>395.4</v>
      </c>
      <c r="G6" s="4">
        <v>3.547</v>
      </c>
      <c r="J6" s="4"/>
      <c r="K6" s="4">
        <v>517.4</v>
      </c>
      <c r="L6" s="4">
        <v>4.393</v>
      </c>
    </row>
    <row r="7" spans="5:12">
      <c r="E7" s="4"/>
      <c r="F7" s="4">
        <v>414.9</v>
      </c>
      <c r="G7" s="4">
        <v>3.804</v>
      </c>
      <c r="J7" s="4"/>
      <c r="K7" s="4">
        <v>509.4</v>
      </c>
      <c r="L7" s="4">
        <v>4.416</v>
      </c>
    </row>
    <row r="8" spans="5:12">
      <c r="E8" s="4"/>
      <c r="F8" s="4">
        <v>409.9</v>
      </c>
      <c r="G8" s="4">
        <v>3.565</v>
      </c>
      <c r="J8" s="4"/>
      <c r="K8" s="4">
        <v>506.8</v>
      </c>
      <c r="L8" s="4">
        <v>4.298</v>
      </c>
    </row>
    <row r="9" spans="5:12">
      <c r="E9" s="4"/>
      <c r="F9" s="4">
        <v>411.2</v>
      </c>
      <c r="G9" s="4">
        <v>3.121</v>
      </c>
      <c r="J9" s="4"/>
      <c r="K9" s="4">
        <v>505.7</v>
      </c>
      <c r="L9" s="4">
        <v>4.314</v>
      </c>
    </row>
    <row r="10" spans="5:12">
      <c r="E10" s="4">
        <v>2</v>
      </c>
      <c r="F10" s="4">
        <v>452.3</v>
      </c>
      <c r="G10" s="4">
        <v>3.173</v>
      </c>
      <c r="J10" s="4">
        <v>2</v>
      </c>
      <c r="K10" s="4">
        <v>538.9</v>
      </c>
      <c r="L10" s="4">
        <v>4.812</v>
      </c>
    </row>
    <row r="11" spans="5:12">
      <c r="E11" s="4"/>
      <c r="F11" s="4">
        <v>452.1</v>
      </c>
      <c r="G11" s="4">
        <v>2.969</v>
      </c>
      <c r="J11" s="4"/>
      <c r="K11" s="4">
        <v>542.3</v>
      </c>
      <c r="L11" s="4">
        <v>4.591</v>
      </c>
    </row>
    <row r="12" spans="5:12">
      <c r="E12" s="4"/>
      <c r="F12" s="4">
        <v>456.1</v>
      </c>
      <c r="G12" s="4">
        <v>3.143</v>
      </c>
      <c r="J12" s="4"/>
      <c r="K12" s="4">
        <v>539.3</v>
      </c>
      <c r="L12" s="4">
        <v>4.45</v>
      </c>
    </row>
    <row r="13" spans="5:12">
      <c r="E13" s="4"/>
      <c r="F13" s="4">
        <v>453.5</v>
      </c>
      <c r="G13" s="4">
        <v>3.174</v>
      </c>
      <c r="J13" s="4"/>
      <c r="K13" s="4">
        <v>536</v>
      </c>
      <c r="L13" s="4">
        <v>4.806</v>
      </c>
    </row>
    <row r="14" spans="5:12">
      <c r="E14" s="4"/>
      <c r="F14" s="4">
        <v>439.2</v>
      </c>
      <c r="G14" s="4">
        <v>2.965</v>
      </c>
      <c r="J14" s="4"/>
      <c r="K14" s="4">
        <v>541</v>
      </c>
      <c r="L14" s="4">
        <v>4.244</v>
      </c>
    </row>
    <row r="15" spans="5:12">
      <c r="E15" s="4">
        <v>3</v>
      </c>
      <c r="F15" s="4">
        <v>411.7</v>
      </c>
      <c r="G15" s="4">
        <v>4.678</v>
      </c>
      <c r="J15" s="4">
        <v>3</v>
      </c>
      <c r="K15" s="4">
        <v>503.8</v>
      </c>
      <c r="L15" s="4">
        <v>5</v>
      </c>
    </row>
    <row r="16" spans="5:12">
      <c r="E16" s="4"/>
      <c r="F16" s="4">
        <v>414.6</v>
      </c>
      <c r="G16" s="4">
        <v>4.452</v>
      </c>
      <c r="J16" s="4"/>
      <c r="K16" s="4">
        <v>505.5</v>
      </c>
      <c r="L16" s="4">
        <v>5.155</v>
      </c>
    </row>
    <row r="17" spans="5:12">
      <c r="E17" s="4"/>
      <c r="F17" s="4">
        <v>425.8</v>
      </c>
      <c r="G17" s="4">
        <v>4.192</v>
      </c>
      <c r="J17" s="4"/>
      <c r="K17" s="4">
        <v>503.7</v>
      </c>
      <c r="L17" s="4">
        <v>5.137</v>
      </c>
    </row>
    <row r="18" spans="5:12">
      <c r="E18" s="4"/>
      <c r="F18" s="4">
        <v>406.7</v>
      </c>
      <c r="G18" s="4">
        <v>4.031</v>
      </c>
      <c r="J18" s="4"/>
      <c r="K18" s="4">
        <v>505.2</v>
      </c>
      <c r="L18" s="4">
        <v>5.089</v>
      </c>
    </row>
    <row r="19" spans="5:12">
      <c r="E19" s="4"/>
      <c r="F19" s="4">
        <v>422.2</v>
      </c>
      <c r="G19" s="4">
        <v>4.261</v>
      </c>
      <c r="J19" s="4"/>
      <c r="K19" s="4">
        <v>504.8</v>
      </c>
      <c r="L19" s="4">
        <v>5.016</v>
      </c>
    </row>
    <row r="20" spans="5:12">
      <c r="E20" s="4">
        <v>4</v>
      </c>
      <c r="F20" s="4">
        <v>427.5</v>
      </c>
      <c r="G20" s="4">
        <v>3.566</v>
      </c>
      <c r="J20" s="4">
        <v>4</v>
      </c>
      <c r="K20" s="4">
        <v>493.1</v>
      </c>
      <c r="L20" s="4">
        <v>5.07</v>
      </c>
    </row>
    <row r="21" spans="5:12">
      <c r="E21" s="4"/>
      <c r="F21" s="4">
        <v>428.3</v>
      </c>
      <c r="G21" s="4">
        <v>3.436</v>
      </c>
      <c r="J21" s="4"/>
      <c r="K21" s="4">
        <v>492.5</v>
      </c>
      <c r="L21" s="4">
        <v>5.1</v>
      </c>
    </row>
    <row r="22" spans="5:12">
      <c r="E22" s="4"/>
      <c r="F22" s="4">
        <v>426.8</v>
      </c>
      <c r="G22" s="4">
        <v>3.369</v>
      </c>
      <c r="J22" s="4"/>
      <c r="K22" s="4">
        <v>493.7</v>
      </c>
      <c r="L22" s="4">
        <v>5.419</v>
      </c>
    </row>
    <row r="23" spans="5:12">
      <c r="E23" s="4"/>
      <c r="F23" s="4">
        <v>431.1</v>
      </c>
      <c r="G23" s="4">
        <v>3.3</v>
      </c>
      <c r="J23" s="4"/>
      <c r="K23" s="4">
        <v>492.9</v>
      </c>
      <c r="L23" s="4">
        <v>5.414</v>
      </c>
    </row>
    <row r="24" spans="5:12">
      <c r="E24" s="4"/>
      <c r="F24" s="4">
        <v>426.9</v>
      </c>
      <c r="G24" s="4">
        <v>3.498</v>
      </c>
      <c r="J24" s="4"/>
      <c r="K24" s="4">
        <v>492.5</v>
      </c>
      <c r="L24" s="4">
        <v>5.438</v>
      </c>
    </row>
    <row r="25" spans="5:12">
      <c r="E25" s="4">
        <v>5</v>
      </c>
      <c r="F25" s="4">
        <v>432.2</v>
      </c>
      <c r="G25" s="4">
        <v>3.878</v>
      </c>
      <c r="J25" s="4">
        <v>5</v>
      </c>
      <c r="K25" s="4">
        <v>502.2</v>
      </c>
      <c r="L25" s="4">
        <v>5.733</v>
      </c>
    </row>
    <row r="26" spans="5:12">
      <c r="E26" s="4"/>
      <c r="F26" s="4">
        <v>437</v>
      </c>
      <c r="G26" s="4">
        <v>3.941</v>
      </c>
      <c r="J26" s="4"/>
      <c r="K26" s="4">
        <v>502.9</v>
      </c>
      <c r="L26" s="4">
        <v>5.655</v>
      </c>
    </row>
    <row r="27" spans="5:12">
      <c r="E27" s="4"/>
      <c r="F27" s="4">
        <v>436.9</v>
      </c>
      <c r="G27" s="4">
        <v>3.344</v>
      </c>
      <c r="J27" s="4"/>
      <c r="K27" s="4">
        <v>507.9</v>
      </c>
      <c r="L27" s="4">
        <v>5.439</v>
      </c>
    </row>
    <row r="28" spans="5:12">
      <c r="E28" s="4"/>
      <c r="F28" s="4">
        <v>438.6</v>
      </c>
      <c r="G28" s="4">
        <v>3.707</v>
      </c>
      <c r="J28" s="4"/>
      <c r="K28" s="4">
        <v>504.1</v>
      </c>
      <c r="L28" s="4">
        <v>5.843</v>
      </c>
    </row>
    <row r="29" spans="5:12">
      <c r="E29" s="4"/>
      <c r="F29" s="4">
        <v>448.4</v>
      </c>
      <c r="G29" s="4">
        <v>3.705</v>
      </c>
      <c r="J29" s="4"/>
      <c r="K29" s="4">
        <v>503.9</v>
      </c>
      <c r="L29" s="4">
        <v>6.092</v>
      </c>
    </row>
    <row r="30" spans="5:12">
      <c r="E30" s="4">
        <v>6</v>
      </c>
      <c r="F30" s="4">
        <v>400</v>
      </c>
      <c r="G30" s="4">
        <v>1.863</v>
      </c>
      <c r="J30" s="4">
        <v>6</v>
      </c>
      <c r="K30" s="4">
        <v>598.5</v>
      </c>
      <c r="L30" s="4">
        <v>5.692</v>
      </c>
    </row>
    <row r="31" spans="5:12">
      <c r="E31" s="4"/>
      <c r="F31" s="4">
        <v>407.3</v>
      </c>
      <c r="G31" s="4">
        <v>1.661</v>
      </c>
      <c r="J31" s="4"/>
      <c r="K31" s="4">
        <v>598.4</v>
      </c>
      <c r="L31" s="4">
        <v>5.622</v>
      </c>
    </row>
    <row r="32" spans="5:12">
      <c r="E32" s="4"/>
      <c r="F32" s="4">
        <v>408.3</v>
      </c>
      <c r="G32" s="4">
        <v>1.568</v>
      </c>
      <c r="J32" s="4"/>
      <c r="K32" s="4">
        <v>586.9</v>
      </c>
      <c r="L32" s="4">
        <v>5.623</v>
      </c>
    </row>
    <row r="33" spans="5:12">
      <c r="E33" s="4"/>
      <c r="F33" s="4">
        <v>405.2</v>
      </c>
      <c r="G33" s="4">
        <v>1.853</v>
      </c>
      <c r="J33" s="4"/>
      <c r="K33" s="4">
        <v>582.1</v>
      </c>
      <c r="L33" s="4">
        <v>5.797</v>
      </c>
    </row>
    <row r="34" spans="5:12">
      <c r="E34" s="4"/>
      <c r="F34" s="4">
        <v>407.1</v>
      </c>
      <c r="G34" s="4">
        <v>1.475</v>
      </c>
      <c r="J34" s="4"/>
      <c r="K34" s="4">
        <v>584.7</v>
      </c>
      <c r="L34" s="4">
        <v>5.759</v>
      </c>
    </row>
    <row r="35" spans="5:12">
      <c r="E35" s="4">
        <v>7</v>
      </c>
      <c r="F35" s="4">
        <v>387.4</v>
      </c>
      <c r="G35" s="4">
        <v>3.897</v>
      </c>
      <c r="J35" s="4">
        <v>7</v>
      </c>
      <c r="K35" s="4">
        <v>505.6</v>
      </c>
      <c r="L35" s="4">
        <v>4.735</v>
      </c>
    </row>
    <row r="36" spans="5:12">
      <c r="E36" s="4"/>
      <c r="F36" s="4">
        <v>391.7</v>
      </c>
      <c r="G36" s="4">
        <v>3.779</v>
      </c>
      <c r="J36" s="4"/>
      <c r="K36" s="4">
        <v>507.1</v>
      </c>
      <c r="L36" s="4">
        <v>4.722</v>
      </c>
    </row>
    <row r="37" spans="5:12">
      <c r="E37" s="4"/>
      <c r="F37" s="4">
        <v>396</v>
      </c>
      <c r="G37" s="4">
        <v>3.838</v>
      </c>
      <c r="J37" s="4"/>
      <c r="K37" s="4">
        <v>506.8</v>
      </c>
      <c r="L37" s="4">
        <v>4.793</v>
      </c>
    </row>
    <row r="38" spans="5:12">
      <c r="E38" s="4"/>
      <c r="F38" s="4">
        <v>390.6</v>
      </c>
      <c r="G38" s="4">
        <v>3.791</v>
      </c>
      <c r="J38" s="4"/>
      <c r="K38" s="4">
        <v>504.9</v>
      </c>
      <c r="L38" s="4">
        <v>4.6</v>
      </c>
    </row>
    <row r="39" spans="5:12">
      <c r="E39" s="4"/>
      <c r="F39" s="4">
        <v>358.3</v>
      </c>
      <c r="G39" s="4">
        <v>3.833</v>
      </c>
      <c r="J39" s="4"/>
      <c r="K39" s="4">
        <v>507.1</v>
      </c>
      <c r="L39" s="4">
        <v>4.779</v>
      </c>
    </row>
    <row r="40" spans="5:12">
      <c r="E40" s="4">
        <v>8</v>
      </c>
      <c r="F40" s="4">
        <v>416</v>
      </c>
      <c r="G40" s="4">
        <v>3.058</v>
      </c>
      <c r="J40" s="4">
        <v>8</v>
      </c>
      <c r="K40" s="4">
        <v>486.6</v>
      </c>
      <c r="L40" s="4">
        <v>5.201</v>
      </c>
    </row>
    <row r="41" spans="5:12">
      <c r="E41" s="4"/>
      <c r="F41" s="4">
        <v>414.8</v>
      </c>
      <c r="G41" s="4">
        <v>2.93</v>
      </c>
      <c r="J41" s="4"/>
      <c r="K41" s="4">
        <v>487.2</v>
      </c>
      <c r="L41" s="4">
        <v>5.018</v>
      </c>
    </row>
    <row r="42" spans="5:12">
      <c r="E42" s="4"/>
      <c r="F42" s="4">
        <v>415.9</v>
      </c>
      <c r="G42" s="4">
        <v>2.882</v>
      </c>
      <c r="J42" s="4"/>
      <c r="K42" s="4">
        <v>486.4</v>
      </c>
      <c r="L42" s="4">
        <v>5.169</v>
      </c>
    </row>
    <row r="43" spans="5:12">
      <c r="E43" s="4"/>
      <c r="F43" s="4">
        <v>422.9</v>
      </c>
      <c r="G43" s="4">
        <v>3.16</v>
      </c>
      <c r="J43" s="4"/>
      <c r="K43" s="4">
        <v>483.5</v>
      </c>
      <c r="L43" s="4">
        <v>5.155</v>
      </c>
    </row>
    <row r="44" spans="5:12">
      <c r="E44" s="4"/>
      <c r="F44" s="4">
        <v>418</v>
      </c>
      <c r="G44" s="4">
        <v>3.058</v>
      </c>
      <c r="J44" s="4"/>
      <c r="K44" s="4">
        <v>481.2</v>
      </c>
      <c r="L44" s="4">
        <v>5.307</v>
      </c>
    </row>
    <row r="45" spans="5:12">
      <c r="E45" s="4">
        <v>9</v>
      </c>
      <c r="F45" s="4">
        <v>420.2</v>
      </c>
      <c r="G45" s="4">
        <v>2.868</v>
      </c>
      <c r="J45" s="4">
        <v>9</v>
      </c>
      <c r="K45" s="4">
        <v>451.9</v>
      </c>
      <c r="L45" s="4">
        <v>3.965</v>
      </c>
    </row>
    <row r="46" spans="5:12">
      <c r="E46" s="4"/>
      <c r="F46" s="4">
        <v>416.1</v>
      </c>
      <c r="G46" s="4">
        <v>3.172</v>
      </c>
      <c r="J46" s="4"/>
      <c r="K46" s="4">
        <v>456.7</v>
      </c>
      <c r="L46" s="4">
        <v>3.486</v>
      </c>
    </row>
    <row r="47" spans="5:12">
      <c r="E47" s="4"/>
      <c r="F47" s="4">
        <v>418.2</v>
      </c>
      <c r="G47" s="4">
        <v>3.229</v>
      </c>
      <c r="J47" s="4"/>
      <c r="K47" s="4">
        <v>450.7</v>
      </c>
      <c r="L47" s="4">
        <v>4.326</v>
      </c>
    </row>
    <row r="48" spans="5:12">
      <c r="E48" s="4"/>
      <c r="F48" s="4">
        <v>421.7</v>
      </c>
      <c r="G48" s="4">
        <v>2.98</v>
      </c>
      <c r="J48" s="4"/>
      <c r="K48" s="4">
        <v>455.3</v>
      </c>
      <c r="L48" s="4">
        <v>4.222</v>
      </c>
    </row>
    <row r="49" spans="5:12">
      <c r="E49" s="4"/>
      <c r="F49" s="4">
        <v>415.2</v>
      </c>
      <c r="G49" s="4">
        <v>3.183</v>
      </c>
      <c r="J49" s="4"/>
      <c r="K49" s="4">
        <v>448.5</v>
      </c>
      <c r="L49" s="4">
        <v>4.402</v>
      </c>
    </row>
    <row r="50" spans="5:12">
      <c r="E50" s="4">
        <v>10</v>
      </c>
      <c r="F50" s="4">
        <v>402.5</v>
      </c>
      <c r="G50" s="4">
        <v>3.909</v>
      </c>
      <c r="J50" s="4">
        <v>10</v>
      </c>
      <c r="K50" s="4">
        <v>444</v>
      </c>
      <c r="L50" s="4">
        <v>6.473</v>
      </c>
    </row>
    <row r="51" spans="5:12">
      <c r="E51" s="4"/>
      <c r="F51" s="4">
        <v>399.7</v>
      </c>
      <c r="G51" s="4">
        <v>4.102</v>
      </c>
      <c r="J51" s="4"/>
      <c r="K51" s="4">
        <v>441.6</v>
      </c>
      <c r="L51" s="4">
        <v>6.243</v>
      </c>
    </row>
    <row r="52" spans="5:12">
      <c r="E52" s="4"/>
      <c r="F52" s="4">
        <v>403.4</v>
      </c>
      <c r="G52" s="4">
        <v>3.94</v>
      </c>
      <c r="J52" s="4"/>
      <c r="K52" s="4">
        <v>442.2</v>
      </c>
      <c r="L52" s="4">
        <v>6.553</v>
      </c>
    </row>
    <row r="53" spans="5:12">
      <c r="E53" s="4"/>
      <c r="F53" s="4">
        <v>401.9</v>
      </c>
      <c r="G53" s="4">
        <v>3.897</v>
      </c>
      <c r="J53" s="4"/>
      <c r="K53" s="4">
        <v>441.8</v>
      </c>
      <c r="L53" s="4">
        <v>6.812</v>
      </c>
    </row>
    <row r="54" spans="5:12">
      <c r="E54" s="4"/>
      <c r="F54" s="4">
        <v>400.5</v>
      </c>
      <c r="G54" s="4">
        <v>3.972</v>
      </c>
      <c r="J54" s="4"/>
      <c r="K54" s="4">
        <v>443.1</v>
      </c>
      <c r="L54" s="4">
        <v>6.473</v>
      </c>
    </row>
    <row r="55" spans="5:12">
      <c r="E55" s="4">
        <v>11</v>
      </c>
      <c r="F55" s="4">
        <v>418.5</v>
      </c>
      <c r="G55" s="4">
        <v>2.167</v>
      </c>
      <c r="J55" s="4">
        <v>11</v>
      </c>
      <c r="K55" s="4">
        <v>424.3</v>
      </c>
      <c r="L55" s="4">
        <v>3.429</v>
      </c>
    </row>
    <row r="56" spans="5:12">
      <c r="E56" s="4"/>
      <c r="F56" s="4">
        <v>409.6</v>
      </c>
      <c r="G56" s="4">
        <v>2.222</v>
      </c>
      <c r="J56" s="4"/>
      <c r="K56" s="4">
        <v>422.7</v>
      </c>
      <c r="L56" s="4">
        <v>3.407</v>
      </c>
    </row>
    <row r="57" spans="5:12">
      <c r="E57" s="4"/>
      <c r="F57" s="4">
        <v>415.5</v>
      </c>
      <c r="G57" s="4">
        <v>2.121</v>
      </c>
      <c r="J57" s="4"/>
      <c r="K57" s="4">
        <v>417.6</v>
      </c>
      <c r="L57" s="4">
        <v>3.336</v>
      </c>
    </row>
    <row r="58" spans="5:12">
      <c r="E58" s="4"/>
      <c r="F58" s="4">
        <v>413.8</v>
      </c>
      <c r="G58" s="4">
        <v>1.961</v>
      </c>
      <c r="J58" s="4"/>
      <c r="K58" s="4">
        <v>418.7</v>
      </c>
      <c r="L58" s="4">
        <v>3.674</v>
      </c>
    </row>
    <row r="59" spans="5:12">
      <c r="E59" s="4"/>
      <c r="F59" s="4">
        <v>414.8</v>
      </c>
      <c r="G59" s="4">
        <v>2.21</v>
      </c>
      <c r="J59" s="4"/>
      <c r="K59" s="4">
        <v>428.3</v>
      </c>
      <c r="L59" s="4">
        <v>3.784</v>
      </c>
    </row>
    <row r="60" spans="5:12">
      <c r="E60" s="4">
        <v>12</v>
      </c>
      <c r="F60" s="4">
        <v>399</v>
      </c>
      <c r="G60" s="4">
        <v>2.755</v>
      </c>
      <c r="J60" s="4">
        <v>12</v>
      </c>
      <c r="K60" s="4">
        <v>431</v>
      </c>
      <c r="L60" s="4">
        <v>3.782</v>
      </c>
    </row>
    <row r="61" spans="5:12">
      <c r="E61" s="4"/>
      <c r="F61" s="4">
        <v>401.4</v>
      </c>
      <c r="G61" s="4">
        <v>2.816</v>
      </c>
      <c r="J61" s="4"/>
      <c r="K61" s="4">
        <v>430.8</v>
      </c>
      <c r="L61" s="4">
        <v>3.451</v>
      </c>
    </row>
    <row r="62" spans="5:12">
      <c r="E62" s="4"/>
      <c r="F62" s="4">
        <v>403.4</v>
      </c>
      <c r="G62" s="4">
        <v>2.392</v>
      </c>
      <c r="J62" s="4"/>
      <c r="K62" s="4">
        <v>429.2</v>
      </c>
      <c r="L62" s="4">
        <v>3.639</v>
      </c>
    </row>
    <row r="63" spans="5:12">
      <c r="E63" s="4"/>
      <c r="F63" s="4">
        <v>399</v>
      </c>
      <c r="G63" s="4">
        <v>2.695</v>
      </c>
      <c r="J63" s="4"/>
      <c r="K63" s="4">
        <v>429</v>
      </c>
      <c r="L63" s="4">
        <v>3.701</v>
      </c>
    </row>
    <row r="64" spans="5:12">
      <c r="E64" s="4"/>
      <c r="F64" s="4">
        <v>399.6</v>
      </c>
      <c r="G64" s="4">
        <v>2.564</v>
      </c>
      <c r="J64" s="4"/>
      <c r="K64" s="4">
        <v>431.5</v>
      </c>
      <c r="L64" s="4">
        <v>3.227</v>
      </c>
    </row>
    <row r="65" spans="5:12">
      <c r="E65" s="6"/>
      <c r="F65" s="6">
        <f t="shared" ref="F65:L65" si="0">AVERAGE(F5:F64)</f>
        <v>415.271666666667</v>
      </c>
      <c r="G65" s="6">
        <f t="shared" si="0"/>
        <v>3.20656666666667</v>
      </c>
      <c r="J65" s="6"/>
      <c r="K65" s="6">
        <f t="shared" si="0"/>
        <v>490.02</v>
      </c>
      <c r="L65" s="6">
        <f t="shared" si="0"/>
        <v>4.8568</v>
      </c>
    </row>
  </sheetData>
  <mergeCells count="2">
    <mergeCell ref="E3:G3"/>
    <mergeCell ref="J3:L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K50" sqref="K50"/>
    </sheetView>
  </sheetViews>
  <sheetFormatPr defaultColWidth="8.72727272727273" defaultRowHeight="15.6"/>
  <cols>
    <col min="2" max="2" width="31.6363636363636" customWidth="1"/>
    <col min="3" max="3" width="29.1818181818182" customWidth="1"/>
  </cols>
  <sheetData>
    <row r="1" ht="20.4" spans="1:9">
      <c r="A1" s="1" t="s">
        <v>17</v>
      </c>
      <c r="B1" s="2" t="s">
        <v>18</v>
      </c>
      <c r="C1" s="3" t="s">
        <v>19</v>
      </c>
      <c r="D1" t="s">
        <v>21</v>
      </c>
      <c r="E1" t="s">
        <v>22</v>
      </c>
      <c r="F1" t="s">
        <v>23</v>
      </c>
      <c r="G1" t="s">
        <v>24</v>
      </c>
      <c r="H1" t="s">
        <v>4</v>
      </c>
      <c r="I1" t="s">
        <v>25</v>
      </c>
    </row>
    <row r="2" spans="1:9">
      <c r="A2" s="4">
        <v>1</v>
      </c>
      <c r="B2" s="4">
        <v>403.5</v>
      </c>
      <c r="C2" s="4">
        <v>3.774</v>
      </c>
      <c r="D2" t="s">
        <v>6</v>
      </c>
      <c r="E2">
        <v>2.275</v>
      </c>
      <c r="F2">
        <v>129.6</v>
      </c>
      <c r="G2">
        <v>98.21</v>
      </c>
      <c r="H2">
        <v>28.34</v>
      </c>
      <c r="I2" t="s">
        <v>0</v>
      </c>
    </row>
    <row r="3" spans="1:9">
      <c r="A3" s="4"/>
      <c r="B3" s="4">
        <v>395.4</v>
      </c>
      <c r="C3" s="4">
        <v>3.547</v>
      </c>
      <c r="D3" t="s">
        <v>6</v>
      </c>
      <c r="E3">
        <v>2.262</v>
      </c>
      <c r="F3">
        <v>141</v>
      </c>
      <c r="G3">
        <v>97.11</v>
      </c>
      <c r="H3">
        <v>28.17</v>
      </c>
      <c r="I3" t="s">
        <v>0</v>
      </c>
    </row>
    <row r="4" spans="1:9">
      <c r="A4" s="4"/>
      <c r="B4" s="4">
        <v>414.9</v>
      </c>
      <c r="C4" s="4">
        <v>3.804</v>
      </c>
      <c r="D4" t="s">
        <v>6</v>
      </c>
      <c r="E4">
        <v>2.277</v>
      </c>
      <c r="F4">
        <v>135</v>
      </c>
      <c r="G4">
        <v>97.87</v>
      </c>
      <c r="H4">
        <v>27.97</v>
      </c>
      <c r="I4" t="s">
        <v>0</v>
      </c>
    </row>
    <row r="5" spans="1:9">
      <c r="A5" s="4"/>
      <c r="B5" s="4">
        <v>409.9</v>
      </c>
      <c r="C5" s="4">
        <v>3.565</v>
      </c>
      <c r="D5" t="s">
        <v>6</v>
      </c>
      <c r="E5">
        <v>2.266</v>
      </c>
      <c r="F5">
        <v>126.8</v>
      </c>
      <c r="G5">
        <v>98.11</v>
      </c>
      <c r="H5">
        <v>27.89</v>
      </c>
      <c r="I5" t="s">
        <v>0</v>
      </c>
    </row>
    <row r="6" spans="1:9">
      <c r="A6" s="4"/>
      <c r="B6" s="4">
        <v>411.2</v>
      </c>
      <c r="C6" s="4">
        <v>3.121</v>
      </c>
      <c r="D6" t="s">
        <v>6</v>
      </c>
      <c r="E6">
        <v>2.249</v>
      </c>
      <c r="F6">
        <v>130.9</v>
      </c>
      <c r="G6">
        <v>98.52</v>
      </c>
      <c r="H6">
        <v>28.39</v>
      </c>
      <c r="I6" t="s">
        <v>0</v>
      </c>
    </row>
    <row r="7" spans="1:9">
      <c r="A7" s="4">
        <v>2</v>
      </c>
      <c r="B7" s="4">
        <v>452.3</v>
      </c>
      <c r="C7" s="4">
        <v>3.173</v>
      </c>
      <c r="D7" t="s">
        <v>6</v>
      </c>
      <c r="E7">
        <v>4.587</v>
      </c>
      <c r="F7">
        <v>225.2</v>
      </c>
      <c r="G7">
        <v>93.29</v>
      </c>
      <c r="H7">
        <v>22.09</v>
      </c>
      <c r="I7" t="s">
        <v>0</v>
      </c>
    </row>
    <row r="8" spans="1:9">
      <c r="A8" s="4"/>
      <c r="B8" s="4">
        <v>452.1</v>
      </c>
      <c r="C8" s="4">
        <v>2.969</v>
      </c>
      <c r="D8" t="s">
        <v>6</v>
      </c>
      <c r="E8">
        <v>4.549</v>
      </c>
      <c r="F8">
        <v>180.3</v>
      </c>
      <c r="G8">
        <v>93.39</v>
      </c>
      <c r="H8">
        <v>21.76</v>
      </c>
      <c r="I8" t="s">
        <v>0</v>
      </c>
    </row>
    <row r="9" spans="1:9">
      <c r="A9" s="4"/>
      <c r="B9" s="4">
        <v>456.1</v>
      </c>
      <c r="C9" s="4">
        <v>3.143</v>
      </c>
      <c r="D9" t="s">
        <v>6</v>
      </c>
      <c r="E9">
        <v>4.487</v>
      </c>
      <c r="F9">
        <v>186.9</v>
      </c>
      <c r="G9">
        <v>94.22</v>
      </c>
      <c r="H9">
        <v>21.9</v>
      </c>
      <c r="I9" t="s">
        <v>0</v>
      </c>
    </row>
    <row r="10" spans="1:9">
      <c r="A10" s="4"/>
      <c r="B10" s="4">
        <v>453.5</v>
      </c>
      <c r="C10" s="4">
        <v>3.174</v>
      </c>
      <c r="D10" t="s">
        <v>6</v>
      </c>
      <c r="E10">
        <v>4.427</v>
      </c>
      <c r="F10">
        <v>206.2</v>
      </c>
      <c r="G10">
        <v>94.87</v>
      </c>
      <c r="H10">
        <v>20.95</v>
      </c>
      <c r="I10" t="s">
        <v>0</v>
      </c>
    </row>
    <row r="11" spans="1:9">
      <c r="A11" s="4"/>
      <c r="B11" s="4">
        <v>439.2</v>
      </c>
      <c r="C11" s="4">
        <v>2.965</v>
      </c>
      <c r="D11" t="s">
        <v>6</v>
      </c>
      <c r="E11">
        <v>4.516</v>
      </c>
      <c r="F11">
        <v>180.6</v>
      </c>
      <c r="G11">
        <v>94.28</v>
      </c>
      <c r="H11">
        <v>21.22</v>
      </c>
      <c r="I11" t="s">
        <v>0</v>
      </c>
    </row>
    <row r="12" spans="1:9">
      <c r="A12" s="4">
        <v>3</v>
      </c>
      <c r="B12" s="4">
        <v>411.7</v>
      </c>
      <c r="C12" s="4">
        <v>4.678</v>
      </c>
      <c r="D12" t="s">
        <v>6</v>
      </c>
      <c r="E12">
        <v>2.953</v>
      </c>
      <c r="F12">
        <v>387.4</v>
      </c>
      <c r="G12">
        <v>101.7</v>
      </c>
      <c r="H12">
        <v>34.46</v>
      </c>
      <c r="I12" t="s">
        <v>0</v>
      </c>
    </row>
    <row r="13" spans="1:9">
      <c r="A13" s="4"/>
      <c r="B13" s="4">
        <v>414.6</v>
      </c>
      <c r="C13" s="4">
        <v>4.452</v>
      </c>
      <c r="D13" t="s">
        <v>6</v>
      </c>
      <c r="E13">
        <v>2.88</v>
      </c>
      <c r="F13">
        <v>329.8</v>
      </c>
      <c r="G13">
        <v>101.8</v>
      </c>
      <c r="H13">
        <v>33.72</v>
      </c>
      <c r="I13" t="s">
        <v>0</v>
      </c>
    </row>
    <row r="14" spans="1:9">
      <c r="A14" s="4"/>
      <c r="B14" s="4">
        <v>425.8</v>
      </c>
      <c r="C14" s="4">
        <v>4.192</v>
      </c>
      <c r="D14" t="s">
        <v>6</v>
      </c>
      <c r="E14">
        <v>2.803</v>
      </c>
      <c r="F14">
        <v>334</v>
      </c>
      <c r="G14">
        <v>102.2</v>
      </c>
      <c r="H14">
        <v>33.68</v>
      </c>
      <c r="I14" t="s">
        <v>0</v>
      </c>
    </row>
    <row r="15" spans="1:9">
      <c r="A15" s="4"/>
      <c r="B15" s="4">
        <v>406.7</v>
      </c>
      <c r="C15" s="4">
        <v>4.031</v>
      </c>
      <c r="D15" t="s">
        <v>6</v>
      </c>
      <c r="E15">
        <v>2.979</v>
      </c>
      <c r="F15">
        <v>338.4</v>
      </c>
      <c r="G15">
        <v>101.5</v>
      </c>
      <c r="H15">
        <v>33.6</v>
      </c>
      <c r="I15" t="s">
        <v>0</v>
      </c>
    </row>
    <row r="16" spans="1:9">
      <c r="A16" s="4"/>
      <c r="B16" s="4">
        <v>422.2</v>
      </c>
      <c r="C16" s="4">
        <v>4.261</v>
      </c>
      <c r="D16" t="s">
        <v>6</v>
      </c>
      <c r="E16">
        <v>3.038</v>
      </c>
      <c r="F16">
        <v>368.9</v>
      </c>
      <c r="G16">
        <v>101.7</v>
      </c>
      <c r="H16">
        <v>33.37</v>
      </c>
      <c r="I16" t="s">
        <v>0</v>
      </c>
    </row>
    <row r="17" spans="1:9">
      <c r="A17" s="4">
        <v>4</v>
      </c>
      <c r="B17" s="4">
        <v>427.5</v>
      </c>
      <c r="C17" s="4">
        <v>3.566</v>
      </c>
      <c r="D17" t="s">
        <v>6</v>
      </c>
      <c r="E17">
        <v>2.668</v>
      </c>
      <c r="F17">
        <v>206.1</v>
      </c>
      <c r="G17">
        <v>100</v>
      </c>
      <c r="H17">
        <v>38.2</v>
      </c>
      <c r="I17" t="s">
        <v>0</v>
      </c>
    </row>
    <row r="18" spans="1:9">
      <c r="A18" s="4"/>
      <c r="B18" s="4">
        <v>428.3</v>
      </c>
      <c r="C18" s="4">
        <v>3.436</v>
      </c>
      <c r="D18" t="s">
        <v>6</v>
      </c>
      <c r="E18">
        <v>2.673</v>
      </c>
      <c r="F18">
        <v>192.6</v>
      </c>
      <c r="G18">
        <v>99.24</v>
      </c>
      <c r="H18">
        <v>38.6</v>
      </c>
      <c r="I18" t="s">
        <v>0</v>
      </c>
    </row>
    <row r="19" spans="1:9">
      <c r="A19" s="4"/>
      <c r="B19" s="4">
        <v>426.8</v>
      </c>
      <c r="C19" s="4">
        <v>3.369</v>
      </c>
      <c r="D19" t="s">
        <v>6</v>
      </c>
      <c r="E19">
        <v>2.708</v>
      </c>
      <c r="F19">
        <v>212.8</v>
      </c>
      <c r="G19">
        <v>98.39</v>
      </c>
      <c r="H19">
        <v>37.39</v>
      </c>
      <c r="I19" t="s">
        <v>0</v>
      </c>
    </row>
    <row r="20" spans="1:9">
      <c r="A20" s="4"/>
      <c r="B20" s="4">
        <v>431.1</v>
      </c>
      <c r="C20" s="4">
        <v>3.3</v>
      </c>
      <c r="D20" t="s">
        <v>6</v>
      </c>
      <c r="E20">
        <v>2.71</v>
      </c>
      <c r="F20">
        <v>226.8</v>
      </c>
      <c r="G20">
        <v>98.41</v>
      </c>
      <c r="H20">
        <v>37.73</v>
      </c>
      <c r="I20" t="s">
        <v>0</v>
      </c>
    </row>
    <row r="21" spans="1:9">
      <c r="A21" s="4"/>
      <c r="B21" s="4">
        <v>426.9</v>
      </c>
      <c r="C21" s="4">
        <v>3.498</v>
      </c>
      <c r="D21" t="s">
        <v>6</v>
      </c>
      <c r="E21">
        <v>2.686</v>
      </c>
      <c r="F21">
        <v>224.6</v>
      </c>
      <c r="G21">
        <v>98.74</v>
      </c>
      <c r="H21">
        <v>37.33</v>
      </c>
      <c r="I21" t="s">
        <v>0</v>
      </c>
    </row>
    <row r="22" spans="1:9">
      <c r="A22" s="4">
        <v>5</v>
      </c>
      <c r="B22" s="4">
        <v>432.2</v>
      </c>
      <c r="C22" s="4">
        <v>3.878</v>
      </c>
      <c r="D22" t="s">
        <v>6</v>
      </c>
      <c r="E22">
        <v>3.429</v>
      </c>
      <c r="F22">
        <v>353.1</v>
      </c>
      <c r="G22">
        <v>104.5</v>
      </c>
      <c r="H22">
        <v>40.8</v>
      </c>
      <c r="I22" t="s">
        <v>0</v>
      </c>
    </row>
    <row r="23" spans="1:9">
      <c r="A23" s="4"/>
      <c r="B23" s="4">
        <v>437</v>
      </c>
      <c r="C23" s="4">
        <v>3.941</v>
      </c>
      <c r="D23" t="s">
        <v>6</v>
      </c>
      <c r="E23">
        <v>3.228</v>
      </c>
      <c r="F23">
        <v>344.3</v>
      </c>
      <c r="G23">
        <v>104.2</v>
      </c>
      <c r="H23">
        <v>39.92</v>
      </c>
      <c r="I23" t="s">
        <v>0</v>
      </c>
    </row>
    <row r="24" spans="1:9">
      <c r="A24" s="4"/>
      <c r="B24" s="4">
        <v>436.9</v>
      </c>
      <c r="C24" s="4">
        <v>3.344</v>
      </c>
      <c r="D24" t="s">
        <v>6</v>
      </c>
      <c r="E24">
        <v>3.345</v>
      </c>
      <c r="F24">
        <v>366.7</v>
      </c>
      <c r="G24">
        <v>104</v>
      </c>
      <c r="H24">
        <v>39.17</v>
      </c>
      <c r="I24" t="s">
        <v>0</v>
      </c>
    </row>
    <row r="25" spans="1:9">
      <c r="A25" s="4"/>
      <c r="B25" s="4">
        <v>438.6</v>
      </c>
      <c r="C25" s="4">
        <v>3.707</v>
      </c>
      <c r="D25" t="s">
        <v>6</v>
      </c>
      <c r="E25">
        <v>3.218</v>
      </c>
      <c r="F25">
        <v>360.5</v>
      </c>
      <c r="G25">
        <v>104.2</v>
      </c>
      <c r="H25">
        <v>39.47</v>
      </c>
      <c r="I25" t="s">
        <v>0</v>
      </c>
    </row>
    <row r="26" spans="1:9">
      <c r="A26" s="4"/>
      <c r="B26" s="4">
        <v>448.4</v>
      </c>
      <c r="C26" s="4">
        <v>3.705</v>
      </c>
      <c r="D26" t="s">
        <v>6</v>
      </c>
      <c r="E26">
        <v>3.451</v>
      </c>
      <c r="F26">
        <v>340.7</v>
      </c>
      <c r="G26">
        <v>104.4</v>
      </c>
      <c r="H26">
        <v>39.63</v>
      </c>
      <c r="I26" t="s">
        <v>0</v>
      </c>
    </row>
    <row r="27" spans="1:9">
      <c r="A27" s="4">
        <v>6</v>
      </c>
      <c r="B27" s="4">
        <v>400</v>
      </c>
      <c r="C27" s="4">
        <v>1.863</v>
      </c>
      <c r="D27" t="s">
        <v>6</v>
      </c>
      <c r="E27">
        <v>2.986</v>
      </c>
      <c r="F27">
        <v>272.5</v>
      </c>
      <c r="G27">
        <v>113.4</v>
      </c>
      <c r="H27">
        <v>33.88</v>
      </c>
      <c r="I27" t="s">
        <v>0</v>
      </c>
    </row>
    <row r="28" spans="1:9">
      <c r="A28" s="4"/>
      <c r="B28" s="4">
        <v>407.3</v>
      </c>
      <c r="C28" s="4">
        <v>1.661</v>
      </c>
      <c r="D28" t="s">
        <v>6</v>
      </c>
      <c r="E28">
        <v>3.04</v>
      </c>
      <c r="F28">
        <v>246.3</v>
      </c>
      <c r="G28">
        <v>113.1</v>
      </c>
      <c r="H28">
        <v>33.52</v>
      </c>
      <c r="I28" t="s">
        <v>0</v>
      </c>
    </row>
    <row r="29" spans="1:9">
      <c r="A29" s="4"/>
      <c r="B29" s="4">
        <v>408.3</v>
      </c>
      <c r="C29" s="4">
        <v>1.568</v>
      </c>
      <c r="D29" t="s">
        <v>6</v>
      </c>
      <c r="E29">
        <v>3.056</v>
      </c>
      <c r="F29">
        <v>256.1</v>
      </c>
      <c r="G29">
        <v>112.5</v>
      </c>
      <c r="H29">
        <v>33.65</v>
      </c>
      <c r="I29" t="s">
        <v>0</v>
      </c>
    </row>
    <row r="30" spans="1:9">
      <c r="A30" s="4"/>
      <c r="B30" s="4">
        <v>405.2</v>
      </c>
      <c r="C30" s="4">
        <v>1.853</v>
      </c>
      <c r="D30" t="s">
        <v>6</v>
      </c>
      <c r="E30">
        <v>2.861</v>
      </c>
      <c r="F30">
        <v>288.6</v>
      </c>
      <c r="G30">
        <v>111.9</v>
      </c>
      <c r="H30">
        <v>33.07</v>
      </c>
      <c r="I30" t="s">
        <v>0</v>
      </c>
    </row>
    <row r="31" spans="1:9">
      <c r="A31" s="4"/>
      <c r="B31" s="4">
        <v>407.1</v>
      </c>
      <c r="C31" s="4">
        <v>1.475</v>
      </c>
      <c r="D31" t="s">
        <v>6</v>
      </c>
      <c r="E31">
        <v>2.911</v>
      </c>
      <c r="F31">
        <v>242.7</v>
      </c>
      <c r="G31">
        <v>112.6</v>
      </c>
      <c r="H31">
        <v>33.6</v>
      </c>
      <c r="I31" t="s">
        <v>0</v>
      </c>
    </row>
    <row r="32" spans="1:9">
      <c r="A32" s="4">
        <v>7</v>
      </c>
      <c r="B32" s="4">
        <v>387.4</v>
      </c>
      <c r="C32" s="4">
        <v>3.897</v>
      </c>
      <c r="D32" t="s">
        <v>6</v>
      </c>
      <c r="E32">
        <v>3.788</v>
      </c>
      <c r="F32">
        <v>238.4</v>
      </c>
      <c r="G32">
        <v>107.4</v>
      </c>
      <c r="H32">
        <v>36.96</v>
      </c>
      <c r="I32" t="s">
        <v>0</v>
      </c>
    </row>
    <row r="33" spans="1:9">
      <c r="A33" s="4"/>
      <c r="B33" s="4">
        <v>391.7</v>
      </c>
      <c r="C33" s="4">
        <v>3.779</v>
      </c>
      <c r="D33" t="s">
        <v>6</v>
      </c>
      <c r="E33">
        <v>3.706</v>
      </c>
      <c r="F33">
        <v>284.8</v>
      </c>
      <c r="G33">
        <v>106.6</v>
      </c>
      <c r="H33">
        <v>36.37</v>
      </c>
      <c r="I33" t="s">
        <v>0</v>
      </c>
    </row>
    <row r="34" spans="1:9">
      <c r="A34" s="4"/>
      <c r="B34" s="4">
        <v>396</v>
      </c>
      <c r="C34" s="4">
        <v>3.838</v>
      </c>
      <c r="D34" t="s">
        <v>6</v>
      </c>
      <c r="E34">
        <v>3.684</v>
      </c>
      <c r="F34">
        <v>236.7</v>
      </c>
      <c r="G34">
        <v>106.7</v>
      </c>
      <c r="H34">
        <v>36.42</v>
      </c>
      <c r="I34" t="s">
        <v>0</v>
      </c>
    </row>
    <row r="35" spans="1:9">
      <c r="A35" s="4"/>
      <c r="B35" s="4">
        <v>390.6</v>
      </c>
      <c r="C35" s="4">
        <v>3.791</v>
      </c>
      <c r="D35" t="s">
        <v>6</v>
      </c>
      <c r="E35">
        <v>3.788</v>
      </c>
      <c r="F35">
        <v>252.5</v>
      </c>
      <c r="G35">
        <v>106.5</v>
      </c>
      <c r="H35">
        <v>36.94</v>
      </c>
      <c r="I35" t="s">
        <v>0</v>
      </c>
    </row>
    <row r="36" spans="1:9">
      <c r="A36" s="4"/>
      <c r="B36" s="4">
        <v>358.3</v>
      </c>
      <c r="C36" s="4">
        <v>3.833</v>
      </c>
      <c r="D36" t="s">
        <v>6</v>
      </c>
      <c r="E36">
        <v>3.75</v>
      </c>
      <c r="F36">
        <v>240</v>
      </c>
      <c r="G36">
        <v>107</v>
      </c>
      <c r="H36">
        <v>37</v>
      </c>
      <c r="I36" t="s">
        <v>0</v>
      </c>
    </row>
    <row r="37" spans="1:9">
      <c r="A37" s="4">
        <v>8</v>
      </c>
      <c r="B37" s="4">
        <v>416</v>
      </c>
      <c r="C37" s="4">
        <v>3.058</v>
      </c>
      <c r="D37" t="s">
        <v>6</v>
      </c>
      <c r="E37">
        <v>2.924</v>
      </c>
      <c r="F37">
        <v>267.7</v>
      </c>
      <c r="G37">
        <v>95.42</v>
      </c>
      <c r="H37">
        <v>33.94</v>
      </c>
      <c r="I37" t="s">
        <v>0</v>
      </c>
    </row>
    <row r="38" spans="1:9">
      <c r="A38" s="4"/>
      <c r="B38" s="4">
        <v>414.8</v>
      </c>
      <c r="C38" s="4">
        <v>2.93</v>
      </c>
      <c r="D38" t="s">
        <v>6</v>
      </c>
      <c r="E38">
        <v>2.948</v>
      </c>
      <c r="F38">
        <v>251.8</v>
      </c>
      <c r="G38">
        <v>95</v>
      </c>
      <c r="H38">
        <v>33.91</v>
      </c>
      <c r="I38" t="s">
        <v>0</v>
      </c>
    </row>
    <row r="39" spans="1:9">
      <c r="A39" s="4"/>
      <c r="B39" s="4">
        <v>415.9</v>
      </c>
      <c r="C39" s="4">
        <v>2.882</v>
      </c>
      <c r="D39" t="s">
        <v>6</v>
      </c>
      <c r="E39">
        <v>2.943</v>
      </c>
      <c r="F39">
        <v>270.9</v>
      </c>
      <c r="G39">
        <v>95.89</v>
      </c>
      <c r="H39">
        <v>34.01</v>
      </c>
      <c r="I39" t="s">
        <v>0</v>
      </c>
    </row>
    <row r="40" spans="1:9">
      <c r="A40" s="4"/>
      <c r="B40" s="4">
        <v>422.9</v>
      </c>
      <c r="C40" s="4">
        <v>3.16</v>
      </c>
      <c r="D40" t="s">
        <v>6</v>
      </c>
      <c r="E40">
        <v>2.929</v>
      </c>
      <c r="F40">
        <v>231</v>
      </c>
      <c r="G40">
        <v>96.24</v>
      </c>
      <c r="H40">
        <v>33.36</v>
      </c>
      <c r="I40" t="s">
        <v>0</v>
      </c>
    </row>
    <row r="41" spans="1:9">
      <c r="A41" s="4"/>
      <c r="B41" s="4">
        <v>418</v>
      </c>
      <c r="C41" s="4">
        <v>3.058</v>
      </c>
      <c r="D41" t="s">
        <v>6</v>
      </c>
      <c r="E41">
        <v>2.933</v>
      </c>
      <c r="F41">
        <v>271.4</v>
      </c>
      <c r="G41">
        <v>96.32</v>
      </c>
      <c r="H41">
        <v>33.26</v>
      </c>
      <c r="I41" t="s">
        <v>0</v>
      </c>
    </row>
    <row r="42" spans="1:9">
      <c r="A42" s="4">
        <v>9</v>
      </c>
      <c r="B42" s="4">
        <v>420.2</v>
      </c>
      <c r="C42" s="4">
        <v>2.868</v>
      </c>
      <c r="D42" t="s">
        <v>6</v>
      </c>
      <c r="E42">
        <v>1.525</v>
      </c>
      <c r="F42">
        <v>221</v>
      </c>
      <c r="G42">
        <v>81.02</v>
      </c>
      <c r="H42">
        <v>31.34</v>
      </c>
      <c r="I42" t="s">
        <v>0</v>
      </c>
    </row>
    <row r="43" spans="1:9">
      <c r="A43" s="4"/>
      <c r="B43" s="4">
        <v>416.1</v>
      </c>
      <c r="C43" s="4">
        <v>3.172</v>
      </c>
      <c r="D43" t="s">
        <v>6</v>
      </c>
      <c r="E43">
        <v>1.525</v>
      </c>
      <c r="F43">
        <v>224.3</v>
      </c>
      <c r="G43">
        <v>80.01</v>
      </c>
      <c r="H43">
        <v>31.87</v>
      </c>
      <c r="I43" t="s">
        <v>0</v>
      </c>
    </row>
    <row r="44" spans="1:9">
      <c r="A44" s="4"/>
      <c r="B44" s="4">
        <v>418.2</v>
      </c>
      <c r="C44" s="4">
        <v>3.229</v>
      </c>
      <c r="D44" t="s">
        <v>6</v>
      </c>
      <c r="E44">
        <v>1.536</v>
      </c>
      <c r="F44">
        <v>208.2</v>
      </c>
      <c r="G44">
        <v>80.38</v>
      </c>
      <c r="H44">
        <v>31.64</v>
      </c>
      <c r="I44" t="s">
        <v>0</v>
      </c>
    </row>
    <row r="45" spans="1:9">
      <c r="A45" s="4"/>
      <c r="B45" s="4">
        <v>421.7</v>
      </c>
      <c r="C45" s="4">
        <v>2.98</v>
      </c>
      <c r="D45" t="s">
        <v>6</v>
      </c>
      <c r="E45">
        <v>1.558</v>
      </c>
      <c r="F45">
        <v>201.3</v>
      </c>
      <c r="G45">
        <v>80.34</v>
      </c>
      <c r="H45">
        <v>31.71</v>
      </c>
      <c r="I45" t="s">
        <v>0</v>
      </c>
    </row>
    <row r="46" spans="1:9">
      <c r="A46" s="4"/>
      <c r="B46" s="4">
        <v>415.2</v>
      </c>
      <c r="C46" s="4">
        <v>3.183</v>
      </c>
      <c r="D46" t="s">
        <v>6</v>
      </c>
      <c r="E46">
        <v>1.544</v>
      </c>
      <c r="F46">
        <v>190.4</v>
      </c>
      <c r="G46">
        <v>80.64</v>
      </c>
      <c r="H46">
        <v>31.43</v>
      </c>
      <c r="I46" t="s">
        <v>0</v>
      </c>
    </row>
    <row r="47" spans="1:9">
      <c r="A47" s="4">
        <v>10</v>
      </c>
      <c r="B47" s="4">
        <v>402.5</v>
      </c>
      <c r="C47" s="4">
        <v>3.909</v>
      </c>
      <c r="D47" t="s">
        <v>6</v>
      </c>
      <c r="E47">
        <v>3.046</v>
      </c>
      <c r="F47">
        <v>329.3</v>
      </c>
      <c r="G47">
        <v>99.48</v>
      </c>
      <c r="H47">
        <v>36.82</v>
      </c>
      <c r="I47" t="s">
        <v>0</v>
      </c>
    </row>
    <row r="48" spans="1:9">
      <c r="A48" s="4"/>
      <c r="B48" s="4">
        <v>399.7</v>
      </c>
      <c r="C48" s="4">
        <v>4.102</v>
      </c>
      <c r="D48" t="s">
        <v>6</v>
      </c>
      <c r="E48">
        <v>3.011</v>
      </c>
      <c r="F48">
        <v>279.3</v>
      </c>
      <c r="G48">
        <v>100</v>
      </c>
      <c r="H48">
        <v>36.1</v>
      </c>
      <c r="I48" t="s">
        <v>0</v>
      </c>
    </row>
    <row r="49" spans="1:9">
      <c r="A49" s="4"/>
      <c r="B49" s="4">
        <v>403.4</v>
      </c>
      <c r="C49" s="4">
        <v>3.94</v>
      </c>
      <c r="D49" t="s">
        <v>6</v>
      </c>
      <c r="E49">
        <v>3.038</v>
      </c>
      <c r="F49">
        <v>298.3</v>
      </c>
      <c r="G49">
        <v>99.64</v>
      </c>
      <c r="H49">
        <v>36.22</v>
      </c>
      <c r="I49" t="s">
        <v>0</v>
      </c>
    </row>
    <row r="50" spans="1:9">
      <c r="A50" s="4"/>
      <c r="B50" s="4">
        <v>401.9</v>
      </c>
      <c r="C50" s="4">
        <v>3.897</v>
      </c>
      <c r="D50" t="s">
        <v>6</v>
      </c>
      <c r="E50">
        <v>3.124</v>
      </c>
      <c r="F50">
        <v>307.1</v>
      </c>
      <c r="G50">
        <v>100.2</v>
      </c>
      <c r="H50">
        <v>36.07</v>
      </c>
      <c r="I50" t="s">
        <v>0</v>
      </c>
    </row>
    <row r="51" spans="1:9">
      <c r="A51" s="4"/>
      <c r="B51" s="4">
        <v>400.5</v>
      </c>
      <c r="C51" s="4">
        <v>3.972</v>
      </c>
      <c r="D51" t="s">
        <v>6</v>
      </c>
      <c r="E51">
        <v>3.121</v>
      </c>
      <c r="F51">
        <v>287.8</v>
      </c>
      <c r="G51">
        <v>99.85</v>
      </c>
      <c r="H51">
        <v>36.57</v>
      </c>
      <c r="I51" t="s">
        <v>0</v>
      </c>
    </row>
    <row r="52" spans="1:9">
      <c r="A52" s="4">
        <v>11</v>
      </c>
      <c r="B52" s="4">
        <v>418.5</v>
      </c>
      <c r="C52" s="4">
        <v>2.167</v>
      </c>
      <c r="D52" t="s">
        <v>6</v>
      </c>
      <c r="E52">
        <v>2.566</v>
      </c>
      <c r="F52">
        <v>209.8</v>
      </c>
      <c r="G52">
        <v>105</v>
      </c>
      <c r="H52">
        <v>36.76</v>
      </c>
      <c r="I52" t="s">
        <v>0</v>
      </c>
    </row>
    <row r="53" spans="1:9">
      <c r="A53" s="4"/>
      <c r="B53" s="4">
        <v>409.6</v>
      </c>
      <c r="C53" s="4">
        <v>2.222</v>
      </c>
      <c r="D53" t="s">
        <v>6</v>
      </c>
      <c r="E53">
        <v>2.644</v>
      </c>
      <c r="F53">
        <v>226.6</v>
      </c>
      <c r="G53">
        <v>105.4</v>
      </c>
      <c r="H53">
        <v>37.15</v>
      </c>
      <c r="I53" t="s">
        <v>0</v>
      </c>
    </row>
    <row r="54" spans="1:9">
      <c r="A54" s="4"/>
      <c r="B54" s="4">
        <v>415.5</v>
      </c>
      <c r="C54" s="4">
        <v>2.121</v>
      </c>
      <c r="D54" t="s">
        <v>6</v>
      </c>
      <c r="E54">
        <v>2.713</v>
      </c>
      <c r="F54">
        <v>218.7</v>
      </c>
      <c r="G54">
        <v>105.5</v>
      </c>
      <c r="H54">
        <v>36.93</v>
      </c>
      <c r="I54" t="s">
        <v>0</v>
      </c>
    </row>
    <row r="55" spans="1:9">
      <c r="A55" s="4"/>
      <c r="B55" s="4">
        <v>413.8</v>
      </c>
      <c r="C55" s="4">
        <v>1.961</v>
      </c>
      <c r="D55" t="s">
        <v>6</v>
      </c>
      <c r="E55">
        <v>2.746</v>
      </c>
      <c r="F55">
        <v>204.3</v>
      </c>
      <c r="G55">
        <v>105.3</v>
      </c>
      <c r="H55">
        <v>36.78</v>
      </c>
      <c r="I55" t="s">
        <v>0</v>
      </c>
    </row>
    <row r="56" spans="1:9">
      <c r="A56" s="4"/>
      <c r="B56" s="4">
        <v>414.8</v>
      </c>
      <c r="C56" s="4">
        <v>2.21</v>
      </c>
      <c r="D56" t="s">
        <v>6</v>
      </c>
      <c r="E56">
        <v>2.733</v>
      </c>
      <c r="F56">
        <v>272</v>
      </c>
      <c r="G56">
        <v>104.1</v>
      </c>
      <c r="H56">
        <v>36.13</v>
      </c>
      <c r="I56" t="s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I1" sqref="I$1:I$1048576"/>
    </sheetView>
  </sheetViews>
  <sheetFormatPr defaultColWidth="8.72727272727273" defaultRowHeight="15.6"/>
  <cols>
    <col min="2" max="2" width="21.3636363636364" customWidth="1"/>
    <col min="3" max="3" width="32.5454545454545" customWidth="1"/>
    <col min="4" max="4" width="25.9090909090909" customWidth="1"/>
  </cols>
  <sheetData>
    <row r="1" ht="20.4" spans="1:9">
      <c r="A1" s="1" t="s">
        <v>17</v>
      </c>
      <c r="B1" s="2" t="s">
        <v>18</v>
      </c>
      <c r="C1" s="3" t="s">
        <v>26</v>
      </c>
      <c r="D1" t="s">
        <v>21</v>
      </c>
      <c r="E1" t="s">
        <v>22</v>
      </c>
      <c r="F1" t="s">
        <v>23</v>
      </c>
      <c r="G1" t="s">
        <v>24</v>
      </c>
      <c r="H1" t="s">
        <v>4</v>
      </c>
      <c r="I1" t="s">
        <v>25</v>
      </c>
    </row>
    <row r="2" spans="1:9">
      <c r="A2" s="4">
        <v>1</v>
      </c>
      <c r="B2" s="4">
        <v>509.8</v>
      </c>
      <c r="C2" s="4">
        <v>4.127</v>
      </c>
      <c r="D2" t="s">
        <v>7</v>
      </c>
      <c r="E2">
        <v>2.429</v>
      </c>
      <c r="F2">
        <v>152.8</v>
      </c>
      <c r="G2">
        <v>86.91</v>
      </c>
      <c r="H2">
        <v>25.16</v>
      </c>
      <c r="I2" t="s">
        <v>0</v>
      </c>
    </row>
    <row r="3" spans="1:9">
      <c r="A3" s="4"/>
      <c r="B3" s="4">
        <v>517.4</v>
      </c>
      <c r="C3" s="4">
        <v>4.393</v>
      </c>
      <c r="D3" t="s">
        <v>7</v>
      </c>
      <c r="E3">
        <v>2.411</v>
      </c>
      <c r="F3">
        <v>163.3</v>
      </c>
      <c r="G3">
        <v>86.17</v>
      </c>
      <c r="H3">
        <v>25.55</v>
      </c>
      <c r="I3" t="s">
        <v>0</v>
      </c>
    </row>
    <row r="4" spans="1:9">
      <c r="A4" s="4"/>
      <c r="B4" s="4">
        <v>509.4</v>
      </c>
      <c r="C4" s="4">
        <v>4.416</v>
      </c>
      <c r="D4" t="s">
        <v>7</v>
      </c>
      <c r="E4">
        <v>2.469</v>
      </c>
      <c r="F4">
        <v>167.6</v>
      </c>
      <c r="G4">
        <v>86.77</v>
      </c>
      <c r="H4">
        <v>25.19</v>
      </c>
      <c r="I4" t="s">
        <v>0</v>
      </c>
    </row>
    <row r="5" spans="1:9">
      <c r="A5" s="4"/>
      <c r="B5" s="4">
        <v>506.8</v>
      </c>
      <c r="C5" s="4">
        <v>4.298</v>
      </c>
      <c r="D5" t="s">
        <v>7</v>
      </c>
      <c r="E5">
        <v>2.482</v>
      </c>
      <c r="F5">
        <v>152.8</v>
      </c>
      <c r="G5">
        <v>86.46</v>
      </c>
      <c r="H5">
        <v>25.32</v>
      </c>
      <c r="I5" t="s">
        <v>0</v>
      </c>
    </row>
    <row r="6" spans="1:9">
      <c r="A6" s="4"/>
      <c r="B6" s="4">
        <v>505.7</v>
      </c>
      <c r="C6" s="4">
        <v>4.314</v>
      </c>
      <c r="D6" t="s">
        <v>7</v>
      </c>
      <c r="E6">
        <v>2.498</v>
      </c>
      <c r="F6">
        <v>163</v>
      </c>
      <c r="G6">
        <v>86.7</v>
      </c>
      <c r="H6">
        <v>25.53</v>
      </c>
      <c r="I6" t="s">
        <v>0</v>
      </c>
    </row>
    <row r="7" spans="1:9">
      <c r="A7" s="4">
        <v>2</v>
      </c>
      <c r="B7" s="4">
        <v>538.9</v>
      </c>
      <c r="C7" s="4">
        <v>4.812</v>
      </c>
      <c r="D7" t="s">
        <v>7</v>
      </c>
      <c r="E7">
        <v>2.362</v>
      </c>
      <c r="F7">
        <v>167.5</v>
      </c>
      <c r="G7">
        <v>96.3</v>
      </c>
      <c r="H7">
        <v>28.79</v>
      </c>
      <c r="I7" t="s">
        <v>0</v>
      </c>
    </row>
    <row r="8" spans="1:9">
      <c r="A8" s="4"/>
      <c r="B8" s="4">
        <v>542.3</v>
      </c>
      <c r="C8" s="4">
        <v>4.591</v>
      </c>
      <c r="D8" t="s">
        <v>7</v>
      </c>
      <c r="E8">
        <v>2.36</v>
      </c>
      <c r="F8">
        <v>173.6</v>
      </c>
      <c r="G8">
        <v>96.47</v>
      </c>
      <c r="H8">
        <v>28.62</v>
      </c>
      <c r="I8" t="s">
        <v>0</v>
      </c>
    </row>
    <row r="9" spans="1:9">
      <c r="A9" s="4"/>
      <c r="B9" s="4">
        <v>539.3</v>
      </c>
      <c r="C9" s="4">
        <v>4.45</v>
      </c>
      <c r="D9" t="s">
        <v>7</v>
      </c>
      <c r="E9">
        <v>2.357</v>
      </c>
      <c r="F9">
        <v>120</v>
      </c>
      <c r="G9">
        <v>96.53</v>
      </c>
      <c r="H9">
        <v>28.2</v>
      </c>
      <c r="I9" t="s">
        <v>0</v>
      </c>
    </row>
    <row r="10" spans="1:9">
      <c r="A10" s="4"/>
      <c r="B10" s="4">
        <v>536</v>
      </c>
      <c r="C10" s="4">
        <v>4.806</v>
      </c>
      <c r="D10" t="s">
        <v>7</v>
      </c>
      <c r="E10">
        <v>2.373</v>
      </c>
      <c r="F10">
        <v>123.2</v>
      </c>
      <c r="G10">
        <v>96.69</v>
      </c>
      <c r="H10">
        <v>28.24</v>
      </c>
      <c r="I10" t="s">
        <v>0</v>
      </c>
    </row>
    <row r="11" spans="1:9">
      <c r="A11" s="4"/>
      <c r="B11" s="4">
        <v>541</v>
      </c>
      <c r="C11" s="4">
        <v>4.244</v>
      </c>
      <c r="D11" t="s">
        <v>7</v>
      </c>
      <c r="E11">
        <v>2.399</v>
      </c>
      <c r="F11">
        <v>145.6</v>
      </c>
      <c r="G11">
        <v>96.63</v>
      </c>
      <c r="H11">
        <v>28.72</v>
      </c>
      <c r="I11" t="s">
        <v>0</v>
      </c>
    </row>
    <row r="12" spans="1:9">
      <c r="A12" s="4">
        <v>3</v>
      </c>
      <c r="B12" s="4">
        <v>503.8</v>
      </c>
      <c r="C12" s="4">
        <v>5</v>
      </c>
      <c r="D12" t="s">
        <v>7</v>
      </c>
      <c r="E12">
        <v>2.244</v>
      </c>
      <c r="F12">
        <v>126.1</v>
      </c>
      <c r="G12">
        <v>94.29</v>
      </c>
      <c r="H12">
        <v>24.69</v>
      </c>
      <c r="I12" t="s">
        <v>0</v>
      </c>
    </row>
    <row r="13" spans="1:9">
      <c r="A13" s="4"/>
      <c r="B13" s="4">
        <v>505.5</v>
      </c>
      <c r="C13" s="4">
        <v>5.155</v>
      </c>
      <c r="D13" t="s">
        <v>7</v>
      </c>
      <c r="E13">
        <v>2.207</v>
      </c>
      <c r="F13">
        <v>122.1</v>
      </c>
      <c r="G13">
        <v>94.98</v>
      </c>
      <c r="H13">
        <v>24.25</v>
      </c>
      <c r="I13" t="s">
        <v>0</v>
      </c>
    </row>
    <row r="14" spans="1:9">
      <c r="A14" s="4"/>
      <c r="B14" s="4">
        <v>503.7</v>
      </c>
      <c r="C14" s="4">
        <v>5.137</v>
      </c>
      <c r="D14" t="s">
        <v>7</v>
      </c>
      <c r="E14">
        <v>2.247</v>
      </c>
      <c r="F14">
        <v>124.6</v>
      </c>
      <c r="G14">
        <v>95.14</v>
      </c>
      <c r="H14">
        <v>25.95</v>
      </c>
      <c r="I14" t="s">
        <v>0</v>
      </c>
    </row>
    <row r="15" spans="1:9">
      <c r="A15" s="4"/>
      <c r="B15" s="4">
        <v>505.2</v>
      </c>
      <c r="C15" s="4">
        <v>5.089</v>
      </c>
      <c r="D15" t="s">
        <v>7</v>
      </c>
      <c r="E15">
        <v>2.302</v>
      </c>
      <c r="F15">
        <v>139.1</v>
      </c>
      <c r="G15">
        <v>95.3</v>
      </c>
      <c r="H15">
        <v>24.19</v>
      </c>
      <c r="I15" t="s">
        <v>0</v>
      </c>
    </row>
    <row r="16" spans="1:9">
      <c r="A16" s="4"/>
      <c r="B16" s="4">
        <v>504.8</v>
      </c>
      <c r="C16" s="4">
        <v>5.016</v>
      </c>
      <c r="D16" t="s">
        <v>7</v>
      </c>
      <c r="E16">
        <v>2.354</v>
      </c>
      <c r="F16">
        <v>134.5</v>
      </c>
      <c r="G16">
        <v>95.73</v>
      </c>
      <c r="H16">
        <v>24.41</v>
      </c>
      <c r="I16" t="s">
        <v>0</v>
      </c>
    </row>
    <row r="17" spans="1:9">
      <c r="A17" s="4">
        <v>4</v>
      </c>
      <c r="B17" s="4">
        <v>493.1</v>
      </c>
      <c r="C17" s="4">
        <v>5.07</v>
      </c>
      <c r="D17" t="s">
        <v>7</v>
      </c>
      <c r="E17">
        <v>2.577</v>
      </c>
      <c r="F17">
        <v>109.7</v>
      </c>
      <c r="G17">
        <v>100.7</v>
      </c>
      <c r="H17">
        <v>31.31</v>
      </c>
      <c r="I17" t="s">
        <v>0</v>
      </c>
    </row>
    <row r="18" spans="1:9">
      <c r="A18" s="4"/>
      <c r="B18" s="4">
        <v>492.5</v>
      </c>
      <c r="C18" s="4">
        <v>5.1</v>
      </c>
      <c r="D18" t="s">
        <v>7</v>
      </c>
      <c r="E18">
        <v>2.538</v>
      </c>
      <c r="F18">
        <v>101</v>
      </c>
      <c r="G18">
        <v>101.3</v>
      </c>
      <c r="H18">
        <v>31.78</v>
      </c>
      <c r="I18" t="s">
        <v>0</v>
      </c>
    </row>
    <row r="19" spans="1:9">
      <c r="A19" s="4"/>
      <c r="B19" s="4">
        <v>493.7</v>
      </c>
      <c r="C19" s="4">
        <v>5.419</v>
      </c>
      <c r="D19" t="s">
        <v>7</v>
      </c>
      <c r="E19">
        <v>2.606</v>
      </c>
      <c r="F19">
        <v>129</v>
      </c>
      <c r="G19">
        <v>100.7</v>
      </c>
      <c r="H19">
        <v>32.04</v>
      </c>
      <c r="I19" t="s">
        <v>0</v>
      </c>
    </row>
    <row r="20" spans="1:9">
      <c r="A20" s="4"/>
      <c r="B20" s="4">
        <v>492.9</v>
      </c>
      <c r="C20" s="4">
        <v>5.414</v>
      </c>
      <c r="D20" t="s">
        <v>7</v>
      </c>
      <c r="E20">
        <v>2.615</v>
      </c>
      <c r="F20">
        <v>102.2</v>
      </c>
      <c r="G20">
        <v>101</v>
      </c>
      <c r="H20">
        <v>32.48</v>
      </c>
      <c r="I20" t="s">
        <v>0</v>
      </c>
    </row>
    <row r="21" spans="1:9">
      <c r="A21" s="4"/>
      <c r="B21" s="4">
        <v>492.5</v>
      </c>
      <c r="C21" s="4">
        <v>5.438</v>
      </c>
      <c r="D21" t="s">
        <v>7</v>
      </c>
      <c r="E21">
        <v>2.599</v>
      </c>
      <c r="F21">
        <v>113.3</v>
      </c>
      <c r="G21">
        <v>101.2</v>
      </c>
      <c r="H21">
        <v>32.07</v>
      </c>
      <c r="I21" t="s">
        <v>0</v>
      </c>
    </row>
    <row r="22" spans="1:9">
      <c r="A22" s="4">
        <v>5</v>
      </c>
      <c r="B22" s="4">
        <v>502.2</v>
      </c>
      <c r="C22" s="4">
        <v>5.733</v>
      </c>
      <c r="D22" t="s">
        <v>7</v>
      </c>
      <c r="E22">
        <v>3.158</v>
      </c>
      <c r="F22">
        <v>228.4</v>
      </c>
      <c r="G22">
        <v>93.8</v>
      </c>
      <c r="H22">
        <v>37.34</v>
      </c>
      <c r="I22" t="s">
        <v>0</v>
      </c>
    </row>
    <row r="23" spans="1:9">
      <c r="A23" s="4"/>
      <c r="B23" s="4">
        <v>502.9</v>
      </c>
      <c r="C23" s="4">
        <v>5.655</v>
      </c>
      <c r="D23" t="s">
        <v>7</v>
      </c>
      <c r="E23">
        <v>3.06</v>
      </c>
      <c r="F23">
        <v>246.5</v>
      </c>
      <c r="G23">
        <v>94.05</v>
      </c>
      <c r="H23">
        <v>37.26</v>
      </c>
      <c r="I23" t="s">
        <v>0</v>
      </c>
    </row>
    <row r="24" spans="1:9">
      <c r="A24" s="4"/>
      <c r="B24" s="4">
        <v>507.9</v>
      </c>
      <c r="C24" s="4">
        <v>5.439</v>
      </c>
      <c r="D24" t="s">
        <v>7</v>
      </c>
      <c r="E24">
        <v>2.993</v>
      </c>
      <c r="F24">
        <v>271.9</v>
      </c>
      <c r="G24">
        <v>92.95</v>
      </c>
      <c r="H24">
        <v>37.03</v>
      </c>
      <c r="I24" t="s">
        <v>0</v>
      </c>
    </row>
    <row r="25" spans="1:9">
      <c r="A25" s="4"/>
      <c r="B25" s="4">
        <v>504.1</v>
      </c>
      <c r="C25" s="4">
        <v>5.843</v>
      </c>
      <c r="D25" t="s">
        <v>7</v>
      </c>
      <c r="E25">
        <v>3.118</v>
      </c>
      <c r="F25">
        <v>246.5</v>
      </c>
      <c r="G25">
        <v>93.13</v>
      </c>
      <c r="H25">
        <v>37.2</v>
      </c>
      <c r="I25" t="s">
        <v>0</v>
      </c>
    </row>
    <row r="26" spans="1:9">
      <c r="A26" s="4"/>
      <c r="B26" s="4">
        <v>503.9</v>
      </c>
      <c r="C26" s="4">
        <v>6.092</v>
      </c>
      <c r="D26" t="s">
        <v>7</v>
      </c>
      <c r="E26">
        <v>3.108</v>
      </c>
      <c r="F26">
        <v>220.3</v>
      </c>
      <c r="G26">
        <v>93.04</v>
      </c>
      <c r="H26">
        <v>37.28</v>
      </c>
      <c r="I26" t="s">
        <v>0</v>
      </c>
    </row>
    <row r="27" spans="1:9">
      <c r="A27" s="4">
        <v>6</v>
      </c>
      <c r="B27" s="4">
        <v>598.5</v>
      </c>
      <c r="C27" s="4">
        <v>5.692</v>
      </c>
      <c r="D27" t="s">
        <v>7</v>
      </c>
      <c r="E27">
        <v>3.145</v>
      </c>
      <c r="F27">
        <v>182</v>
      </c>
      <c r="G27">
        <v>115.8</v>
      </c>
      <c r="H27">
        <v>32.86</v>
      </c>
      <c r="I27" t="s">
        <v>0</v>
      </c>
    </row>
    <row r="28" spans="1:9">
      <c r="A28" s="4"/>
      <c r="B28" s="4">
        <v>598.4</v>
      </c>
      <c r="C28" s="4">
        <v>5.622</v>
      </c>
      <c r="D28" t="s">
        <v>7</v>
      </c>
      <c r="E28">
        <v>3.127</v>
      </c>
      <c r="F28">
        <v>200.3</v>
      </c>
      <c r="G28">
        <v>116</v>
      </c>
      <c r="H28">
        <v>32.53</v>
      </c>
      <c r="I28" t="s">
        <v>0</v>
      </c>
    </row>
    <row r="29" spans="1:9">
      <c r="A29" s="4"/>
      <c r="B29" s="4">
        <v>586.9</v>
      </c>
      <c r="C29" s="4">
        <v>5.623</v>
      </c>
      <c r="D29" t="s">
        <v>7</v>
      </c>
      <c r="E29">
        <v>3.12</v>
      </c>
      <c r="F29">
        <v>183.6</v>
      </c>
      <c r="G29">
        <v>115.4</v>
      </c>
      <c r="H29">
        <v>32.7</v>
      </c>
      <c r="I29" t="s">
        <v>0</v>
      </c>
    </row>
    <row r="30" spans="1:9">
      <c r="A30" s="4"/>
      <c r="B30" s="4">
        <v>582.1</v>
      </c>
      <c r="C30" s="4">
        <v>5.797</v>
      </c>
      <c r="D30" t="s">
        <v>7</v>
      </c>
      <c r="E30">
        <v>3.068</v>
      </c>
      <c r="F30">
        <v>185.2</v>
      </c>
      <c r="G30">
        <v>115.1</v>
      </c>
      <c r="H30">
        <v>32.99</v>
      </c>
      <c r="I30" t="s">
        <v>0</v>
      </c>
    </row>
    <row r="31" spans="1:9">
      <c r="A31" s="4"/>
      <c r="B31" s="4">
        <v>584.7</v>
      </c>
      <c r="C31" s="4">
        <v>5.759</v>
      </c>
      <c r="D31" t="s">
        <v>7</v>
      </c>
      <c r="E31">
        <v>3.047</v>
      </c>
      <c r="F31">
        <v>183</v>
      </c>
      <c r="G31">
        <v>115.5</v>
      </c>
      <c r="H31">
        <v>32.94</v>
      </c>
      <c r="I31" t="s">
        <v>0</v>
      </c>
    </row>
    <row r="32" spans="1:9">
      <c r="A32" s="4">
        <v>7</v>
      </c>
      <c r="B32" s="4">
        <v>505.6</v>
      </c>
      <c r="C32" s="4">
        <v>4.735</v>
      </c>
      <c r="D32" t="s">
        <v>7</v>
      </c>
      <c r="E32">
        <v>3.012</v>
      </c>
      <c r="F32">
        <v>228.8</v>
      </c>
      <c r="G32">
        <v>103.2</v>
      </c>
      <c r="H32">
        <v>45.9</v>
      </c>
      <c r="I32" t="s">
        <v>0</v>
      </c>
    </row>
    <row r="33" spans="1:9">
      <c r="A33" s="4"/>
      <c r="B33" s="4">
        <v>507.1</v>
      </c>
      <c r="C33" s="4">
        <v>4.722</v>
      </c>
      <c r="D33" t="s">
        <v>7</v>
      </c>
      <c r="E33">
        <v>3.028</v>
      </c>
      <c r="F33">
        <v>276</v>
      </c>
      <c r="G33">
        <v>103.7</v>
      </c>
      <c r="H33">
        <v>45.32</v>
      </c>
      <c r="I33" t="s">
        <v>0</v>
      </c>
    </row>
    <row r="34" spans="1:9">
      <c r="A34" s="4"/>
      <c r="B34" s="4">
        <v>506.8</v>
      </c>
      <c r="C34" s="4">
        <v>4.793</v>
      </c>
      <c r="D34" t="s">
        <v>7</v>
      </c>
      <c r="E34">
        <v>2.996</v>
      </c>
      <c r="F34">
        <v>235.5</v>
      </c>
      <c r="G34">
        <v>103.8</v>
      </c>
      <c r="H34">
        <v>45.4</v>
      </c>
      <c r="I34" t="s">
        <v>0</v>
      </c>
    </row>
    <row r="35" spans="1:9">
      <c r="A35" s="4"/>
      <c r="B35" s="4">
        <v>504.9</v>
      </c>
      <c r="C35" s="4">
        <v>4.6</v>
      </c>
      <c r="D35" t="s">
        <v>7</v>
      </c>
      <c r="E35">
        <v>3.04</v>
      </c>
      <c r="F35">
        <v>230.2</v>
      </c>
      <c r="G35">
        <v>104.1</v>
      </c>
      <c r="H35">
        <v>45.85</v>
      </c>
      <c r="I35" t="s">
        <v>0</v>
      </c>
    </row>
    <row r="36" spans="1:9">
      <c r="A36" s="4"/>
      <c r="B36" s="4">
        <v>507.1</v>
      </c>
      <c r="C36" s="4">
        <v>4.779</v>
      </c>
      <c r="D36" t="s">
        <v>7</v>
      </c>
      <c r="E36">
        <v>2.912</v>
      </c>
      <c r="F36">
        <v>236.8</v>
      </c>
      <c r="G36">
        <v>104.3</v>
      </c>
      <c r="H36">
        <v>46.05</v>
      </c>
      <c r="I36" t="s">
        <v>0</v>
      </c>
    </row>
    <row r="37" spans="1:9">
      <c r="A37" s="4">
        <v>8</v>
      </c>
      <c r="B37" s="4">
        <v>486.6</v>
      </c>
      <c r="C37" s="4">
        <v>5.201</v>
      </c>
      <c r="D37" t="s">
        <v>7</v>
      </c>
      <c r="E37">
        <v>2.558</v>
      </c>
      <c r="F37">
        <v>180.7</v>
      </c>
      <c r="G37">
        <v>114.3</v>
      </c>
      <c r="H37">
        <v>35.41</v>
      </c>
      <c r="I37" t="s">
        <v>0</v>
      </c>
    </row>
    <row r="38" spans="1:9">
      <c r="A38" s="4"/>
      <c r="B38" s="4">
        <v>487.2</v>
      </c>
      <c r="C38" s="4">
        <v>5.018</v>
      </c>
      <c r="D38" t="s">
        <v>7</v>
      </c>
      <c r="E38">
        <v>2.567</v>
      </c>
      <c r="F38">
        <v>139.4</v>
      </c>
      <c r="G38">
        <v>114.6</v>
      </c>
      <c r="H38">
        <v>35.22</v>
      </c>
      <c r="I38" t="s">
        <v>0</v>
      </c>
    </row>
    <row r="39" spans="1:9">
      <c r="A39" s="4"/>
      <c r="B39" s="4">
        <v>486.4</v>
      </c>
      <c r="C39" s="4">
        <v>5.169</v>
      </c>
      <c r="D39" t="s">
        <v>7</v>
      </c>
      <c r="E39">
        <v>2.562</v>
      </c>
      <c r="F39">
        <v>140.7</v>
      </c>
      <c r="G39">
        <v>114.7</v>
      </c>
      <c r="H39">
        <v>35.25</v>
      </c>
      <c r="I39" t="s">
        <v>0</v>
      </c>
    </row>
    <row r="40" spans="1:9">
      <c r="A40" s="4"/>
      <c r="B40" s="4">
        <v>483.5</v>
      </c>
      <c r="C40" s="4">
        <v>5.155</v>
      </c>
      <c r="D40" t="s">
        <v>7</v>
      </c>
      <c r="E40">
        <v>2.538</v>
      </c>
      <c r="F40">
        <v>153.3</v>
      </c>
      <c r="G40">
        <v>115</v>
      </c>
      <c r="H40">
        <v>35.59</v>
      </c>
      <c r="I40" t="s">
        <v>0</v>
      </c>
    </row>
    <row r="41" spans="1:9">
      <c r="A41" s="4"/>
      <c r="B41" s="4">
        <v>481.2</v>
      </c>
      <c r="C41" s="4">
        <v>5.307</v>
      </c>
      <c r="D41" t="s">
        <v>7</v>
      </c>
      <c r="E41">
        <v>2.57</v>
      </c>
      <c r="F41">
        <v>153</v>
      </c>
      <c r="G41">
        <v>114.8</v>
      </c>
      <c r="H41">
        <v>36.03</v>
      </c>
      <c r="I41" t="s">
        <v>0</v>
      </c>
    </row>
    <row r="42" spans="1:9">
      <c r="A42" s="4">
        <v>9</v>
      </c>
      <c r="B42" s="4">
        <v>451.9</v>
      </c>
      <c r="C42" s="4">
        <v>3.965</v>
      </c>
      <c r="D42" t="s">
        <v>7</v>
      </c>
      <c r="E42">
        <v>2.619</v>
      </c>
      <c r="F42">
        <v>122.6</v>
      </c>
      <c r="G42">
        <v>111.8</v>
      </c>
      <c r="H42">
        <v>27.35</v>
      </c>
      <c r="I42" t="s">
        <v>0</v>
      </c>
    </row>
    <row r="43" spans="1:9">
      <c r="A43" s="4"/>
      <c r="B43" s="4">
        <v>456.7</v>
      </c>
      <c r="C43" s="4">
        <v>3.486</v>
      </c>
      <c r="D43" t="s">
        <v>7</v>
      </c>
      <c r="E43">
        <v>2.592</v>
      </c>
      <c r="F43">
        <v>118.4</v>
      </c>
      <c r="G43">
        <v>111.4</v>
      </c>
      <c r="H43">
        <v>27.26</v>
      </c>
      <c r="I43" t="s">
        <v>0</v>
      </c>
    </row>
    <row r="44" spans="1:9">
      <c r="A44" s="4"/>
      <c r="B44" s="4">
        <v>450.7</v>
      </c>
      <c r="C44" s="4">
        <v>4.326</v>
      </c>
      <c r="D44" t="s">
        <v>7</v>
      </c>
      <c r="E44">
        <v>2.644</v>
      </c>
      <c r="F44">
        <v>123</v>
      </c>
      <c r="G44">
        <v>111.1</v>
      </c>
      <c r="H44">
        <v>27.88</v>
      </c>
      <c r="I44" t="s">
        <v>0</v>
      </c>
    </row>
    <row r="45" spans="1:9">
      <c r="A45" s="4"/>
      <c r="B45" s="4">
        <v>455.3</v>
      </c>
      <c r="C45" s="4">
        <v>4.222</v>
      </c>
      <c r="D45" t="s">
        <v>7</v>
      </c>
      <c r="E45">
        <v>2.656</v>
      </c>
      <c r="F45">
        <v>115.6</v>
      </c>
      <c r="G45">
        <v>111.3</v>
      </c>
      <c r="H45">
        <v>27.92</v>
      </c>
      <c r="I45" t="s">
        <v>0</v>
      </c>
    </row>
    <row r="46" spans="1:9">
      <c r="A46" s="4"/>
      <c r="B46" s="4">
        <v>448.5</v>
      </c>
      <c r="C46" s="4">
        <v>4.402</v>
      </c>
      <c r="D46" t="s">
        <v>7</v>
      </c>
      <c r="E46">
        <v>2.627</v>
      </c>
      <c r="F46">
        <v>120.2</v>
      </c>
      <c r="G46">
        <v>110</v>
      </c>
      <c r="H46">
        <v>28.31</v>
      </c>
      <c r="I46" t="s">
        <v>0</v>
      </c>
    </row>
    <row r="47" spans="1:9">
      <c r="A47" s="4">
        <v>10</v>
      </c>
      <c r="B47" s="4">
        <v>444</v>
      </c>
      <c r="C47" s="4">
        <v>6.473</v>
      </c>
      <c r="D47" t="s">
        <v>7</v>
      </c>
      <c r="E47">
        <v>2.976</v>
      </c>
      <c r="F47">
        <v>129.4</v>
      </c>
      <c r="G47">
        <v>105.1</v>
      </c>
      <c r="H47">
        <v>34.79</v>
      </c>
      <c r="I47" t="s">
        <v>0</v>
      </c>
    </row>
    <row r="48" spans="1:9">
      <c r="A48" s="4"/>
      <c r="B48" s="4">
        <v>441.6</v>
      </c>
      <c r="C48" s="4">
        <v>6.243</v>
      </c>
      <c r="D48" t="s">
        <v>7</v>
      </c>
      <c r="E48">
        <v>3.002</v>
      </c>
      <c r="F48">
        <v>136.4</v>
      </c>
      <c r="G48">
        <v>104.4</v>
      </c>
      <c r="H48">
        <v>34.64</v>
      </c>
      <c r="I48" t="s">
        <v>0</v>
      </c>
    </row>
    <row r="49" spans="1:9">
      <c r="A49" s="4"/>
      <c r="B49" s="4">
        <v>442.2</v>
      </c>
      <c r="C49" s="4">
        <v>6.553</v>
      </c>
      <c r="D49" t="s">
        <v>7</v>
      </c>
      <c r="E49">
        <v>3.023</v>
      </c>
      <c r="F49">
        <v>148.4</v>
      </c>
      <c r="G49">
        <v>104.6</v>
      </c>
      <c r="H49">
        <v>34.19</v>
      </c>
      <c r="I49" t="s">
        <v>0</v>
      </c>
    </row>
    <row r="50" spans="1:9">
      <c r="A50" s="4"/>
      <c r="B50" s="4">
        <v>441.8</v>
      </c>
      <c r="C50" s="4">
        <v>6.812</v>
      </c>
      <c r="D50" t="s">
        <v>7</v>
      </c>
      <c r="E50">
        <v>3.006</v>
      </c>
      <c r="F50">
        <v>139.7</v>
      </c>
      <c r="G50">
        <v>104.8</v>
      </c>
      <c r="H50">
        <v>34.15</v>
      </c>
      <c r="I50" t="s">
        <v>0</v>
      </c>
    </row>
    <row r="51" spans="1:9">
      <c r="A51" s="4"/>
      <c r="B51" s="4">
        <v>443.1</v>
      </c>
      <c r="C51" s="4">
        <v>6.473</v>
      </c>
      <c r="D51" t="s">
        <v>7</v>
      </c>
      <c r="E51">
        <v>3</v>
      </c>
      <c r="F51">
        <v>147.6</v>
      </c>
      <c r="G51">
        <v>105.3</v>
      </c>
      <c r="H51">
        <v>34.14</v>
      </c>
      <c r="I51" t="s">
        <v>0</v>
      </c>
    </row>
    <row r="52" spans="1:9">
      <c r="A52" s="4">
        <v>11</v>
      </c>
      <c r="B52" s="4">
        <v>424.3</v>
      </c>
      <c r="C52" s="4">
        <v>3.429</v>
      </c>
      <c r="D52" t="s">
        <v>7</v>
      </c>
      <c r="E52">
        <v>1.805</v>
      </c>
      <c r="F52">
        <v>121.5</v>
      </c>
      <c r="G52">
        <v>102.6</v>
      </c>
      <c r="H52">
        <v>34.77</v>
      </c>
      <c r="I52" t="s">
        <v>0</v>
      </c>
    </row>
    <row r="53" spans="1:9">
      <c r="A53" s="4"/>
      <c r="B53" s="4">
        <v>422.7</v>
      </c>
      <c r="C53" s="4">
        <v>3.407</v>
      </c>
      <c r="D53" t="s">
        <v>7</v>
      </c>
      <c r="E53">
        <v>1.777</v>
      </c>
      <c r="F53">
        <v>114.9</v>
      </c>
      <c r="G53">
        <v>104.1</v>
      </c>
      <c r="H53">
        <v>35.15</v>
      </c>
      <c r="I53" t="s">
        <v>0</v>
      </c>
    </row>
    <row r="54" spans="1:9">
      <c r="A54" s="4"/>
      <c r="B54" s="4">
        <v>417.6</v>
      </c>
      <c r="C54" s="4">
        <v>3.336</v>
      </c>
      <c r="D54" t="s">
        <v>7</v>
      </c>
      <c r="E54">
        <v>1.81</v>
      </c>
      <c r="F54">
        <v>110.7</v>
      </c>
      <c r="G54">
        <v>103.1</v>
      </c>
      <c r="H54">
        <v>34.43</v>
      </c>
      <c r="I54" t="s">
        <v>0</v>
      </c>
    </row>
    <row r="55" spans="1:9">
      <c r="A55" s="4"/>
      <c r="B55" s="4">
        <v>418.7</v>
      </c>
      <c r="C55" s="4">
        <v>3.674</v>
      </c>
      <c r="D55" t="s">
        <v>7</v>
      </c>
      <c r="E55">
        <v>1.811</v>
      </c>
      <c r="F55">
        <v>138.9</v>
      </c>
      <c r="G55">
        <v>103</v>
      </c>
      <c r="H55">
        <v>34.89</v>
      </c>
      <c r="I55" t="s">
        <v>0</v>
      </c>
    </row>
    <row r="56" spans="1:9">
      <c r="A56" s="4"/>
      <c r="B56" s="4">
        <v>428.3</v>
      </c>
      <c r="C56" s="4">
        <v>3.784</v>
      </c>
      <c r="D56" t="s">
        <v>7</v>
      </c>
      <c r="E56">
        <v>1.798</v>
      </c>
      <c r="F56">
        <v>139.5</v>
      </c>
      <c r="G56">
        <v>102.9</v>
      </c>
      <c r="H56">
        <v>34.79</v>
      </c>
      <c r="I56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形貌</vt:lpstr>
      <vt:lpstr>力学</vt:lpstr>
      <vt:lpstr>Hypoxia</vt:lpstr>
      <vt:lpstr>Normoxia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razbliuto</cp:lastModifiedBy>
  <dcterms:created xsi:type="dcterms:W3CDTF">2025-11-07T17:35:00Z</dcterms:created>
  <dcterms:modified xsi:type="dcterms:W3CDTF">2025-11-20T10:57:20Z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317B5751526446818189FBE437F264D1_13</vt:lpwstr>
  </property>
</Properties>
</file>