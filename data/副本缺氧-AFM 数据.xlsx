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code\data\"/>
    </mc:Choice>
  </mc:AlternateContent>
  <xr:revisionPtr revIDLastSave="0" documentId="8_{52ABAF67-7899-4DBD-8BAB-9C82E4A02E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形貌" sheetId="1" r:id="rId1"/>
    <sheet name="力学" sheetId="2" r:id="rId2"/>
  </sheets>
  <calcPr calcId="191029"/>
</workbook>
</file>

<file path=xl/calcChain.xml><?xml version="1.0" encoding="utf-8"?>
<calcChain xmlns="http://schemas.openxmlformats.org/spreadsheetml/2006/main">
  <c r="L65" i="2" l="1"/>
  <c r="K65" i="2"/>
  <c r="G65" i="2"/>
  <c r="F65" i="2"/>
  <c r="P59" i="1"/>
  <c r="O59" i="1"/>
  <c r="M59" i="1"/>
  <c r="L59" i="1"/>
  <c r="J59" i="1"/>
  <c r="I59" i="1"/>
  <c r="G59" i="1"/>
  <c r="F59" i="1"/>
  <c r="D59" i="1"/>
  <c r="C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</calcChain>
</file>

<file path=xl/sharedStrings.xml><?xml version="1.0" encoding="utf-8"?>
<sst xmlns="http://schemas.openxmlformats.org/spreadsheetml/2006/main" count="37" uniqueCount="21">
  <si>
    <t>Height</t>
  </si>
  <si>
    <t>Roughness</t>
  </si>
  <si>
    <t>Legth</t>
  </si>
  <si>
    <t>width</t>
  </si>
  <si>
    <t>Aspect ratio</t>
  </si>
  <si>
    <t>Hypoxia</t>
  </si>
  <si>
    <t>Normoxia</t>
  </si>
  <si>
    <t>AVE.</t>
  </si>
  <si>
    <t>2.624±0.389b</t>
  </si>
  <si>
    <t>159.635±45.891b</t>
  </si>
  <si>
    <t>3.214±0.499a</t>
  </si>
  <si>
    <t>2.970±0.737a</t>
  </si>
  <si>
    <t>250.164±65.987a</t>
  </si>
  <si>
    <t>3.032±0.512ab</t>
  </si>
  <si>
    <t>缺氧组</t>
  </si>
  <si>
    <t>常氧组</t>
  </si>
  <si>
    <t>Num.</t>
  </si>
  <si>
    <t>Adhesion (pN)</t>
  </si>
  <si>
    <r>
      <rPr>
        <sz val="14"/>
        <rFont val="Times New Roman Regular"/>
        <family val="1"/>
      </rPr>
      <t>Elastic modulus</t>
    </r>
    <r>
      <rPr>
        <sz val="14"/>
        <rFont val="宋体-简"/>
        <charset val="134"/>
      </rPr>
      <t>（</t>
    </r>
    <r>
      <rPr>
        <sz val="14"/>
        <rFont val="Times New Roman Regular"/>
        <family val="1"/>
      </rPr>
      <t>kPa</t>
    </r>
    <r>
      <rPr>
        <sz val="14"/>
        <rFont val="宋体-简"/>
        <charset val="134"/>
      </rPr>
      <t>）</t>
    </r>
  </si>
  <si>
    <t>Elastic modulus（kPa）</t>
  </si>
  <si>
    <t>P6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</si>
</sst>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7">
    <font>
      <sz val="12"/>
      <color theme="1"/>
      <name val="等线"/>
      <charset val="134"/>
      <scheme val="minor"/>
    </font>
    <font>
      <sz val="16"/>
      <color theme="1"/>
      <name val="Times New Roman Regular"/>
      <family val="1"/>
    </font>
    <font>
      <sz val="14"/>
      <name val="Times New Roman Regular"/>
      <family val="1"/>
    </font>
    <font>
      <sz val="11"/>
      <color theme="1"/>
      <name val="等线"/>
      <family val="3"/>
      <charset val="134"/>
      <scheme val="minor"/>
    </font>
    <font>
      <sz val="14"/>
      <name val="宋体-简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178" fontId="0" fillId="0" borderId="0" xfId="0" applyNumberFormat="1">
      <alignment vertical="center"/>
    </xf>
    <xf numFmtId="178" fontId="0" fillId="5" borderId="0" xfId="0" applyNumberFormat="1" applyFill="1">
      <alignment vertical="center"/>
    </xf>
    <xf numFmtId="0" fontId="0" fillId="4" borderId="0" xfId="0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2"/>
  <sheetViews>
    <sheetView tabSelected="1" zoomScale="68" zoomScaleNormal="68" workbookViewId="0">
      <selection activeCell="B2" sqref="B2"/>
    </sheetView>
  </sheetViews>
  <sheetFormatPr defaultColWidth="11" defaultRowHeight="15.6"/>
  <cols>
    <col min="3" max="3" width="16.90625" customWidth="1"/>
    <col min="4" max="4" width="13.453125" customWidth="1"/>
    <col min="6" max="6" width="12.81640625" customWidth="1"/>
    <col min="7" max="7" width="20" customWidth="1"/>
    <col min="15" max="15" width="13.90625" style="6" customWidth="1"/>
    <col min="16" max="16" width="17.36328125" style="6" customWidth="1"/>
  </cols>
  <sheetData>
    <row r="2" spans="2:16">
      <c r="B2" s="11" t="s">
        <v>20</v>
      </c>
      <c r="C2" s="8" t="s">
        <v>0</v>
      </c>
      <c r="D2" s="8"/>
      <c r="F2" s="8" t="s">
        <v>1</v>
      </c>
      <c r="G2" s="8"/>
      <c r="I2" s="8" t="s">
        <v>2</v>
      </c>
      <c r="J2" s="8"/>
      <c r="L2" s="8" t="s">
        <v>3</v>
      </c>
      <c r="M2" s="8"/>
      <c r="O2" s="9" t="s">
        <v>4</v>
      </c>
      <c r="P2" s="9"/>
    </row>
    <row r="3" spans="2:16">
      <c r="C3" t="s">
        <v>5</v>
      </c>
      <c r="D3" t="s">
        <v>6</v>
      </c>
      <c r="F3" t="s">
        <v>5</v>
      </c>
      <c r="G3" t="s">
        <v>6</v>
      </c>
      <c r="I3" t="s">
        <v>5</v>
      </c>
      <c r="J3" t="s">
        <v>6</v>
      </c>
      <c r="L3" t="s">
        <v>5</v>
      </c>
      <c r="M3" t="s">
        <v>6</v>
      </c>
      <c r="O3" s="6" t="s">
        <v>5</v>
      </c>
      <c r="P3" s="6" t="s">
        <v>6</v>
      </c>
    </row>
    <row r="4" spans="2:16">
      <c r="C4">
        <v>2.2749999999999999</v>
      </c>
      <c r="D4">
        <v>2.4289999999999998</v>
      </c>
      <c r="F4">
        <v>129.6</v>
      </c>
      <c r="G4">
        <v>152.80000000000001</v>
      </c>
      <c r="I4">
        <v>98.21</v>
      </c>
      <c r="J4">
        <v>86.91</v>
      </c>
      <c r="L4">
        <v>28.34</v>
      </c>
      <c r="M4">
        <v>25.16</v>
      </c>
      <c r="O4" s="6">
        <f>I4/L4</f>
        <v>3.46541990119972</v>
      </c>
      <c r="P4" s="6">
        <f>J4/M4</f>
        <v>3.4542925278219401</v>
      </c>
    </row>
    <row r="5" spans="2:16">
      <c r="C5">
        <v>2.262</v>
      </c>
      <c r="D5">
        <v>2.411</v>
      </c>
      <c r="F5">
        <v>141</v>
      </c>
      <c r="G5">
        <v>163.30000000000001</v>
      </c>
      <c r="I5">
        <v>97.11</v>
      </c>
      <c r="J5">
        <v>86.17</v>
      </c>
      <c r="L5">
        <v>28.17</v>
      </c>
      <c r="M5">
        <v>25.55</v>
      </c>
      <c r="O5" s="6">
        <f t="shared" ref="O5:O36" si="0">I5/L5</f>
        <v>3.4472843450479198</v>
      </c>
      <c r="P5" s="6">
        <f t="shared" ref="P5:P36" si="1">J5/M5</f>
        <v>3.3726027397260299</v>
      </c>
    </row>
    <row r="6" spans="2:16">
      <c r="C6">
        <v>2.2770000000000001</v>
      </c>
      <c r="D6">
        <v>2.4689999999999999</v>
      </c>
      <c r="F6">
        <v>135</v>
      </c>
      <c r="G6">
        <v>167.6</v>
      </c>
      <c r="I6">
        <v>97.87</v>
      </c>
      <c r="J6">
        <v>86.77</v>
      </c>
      <c r="L6">
        <v>27.97</v>
      </c>
      <c r="M6">
        <v>25.19</v>
      </c>
      <c r="O6" s="6">
        <f t="shared" si="0"/>
        <v>3.4991061851984302</v>
      </c>
      <c r="P6" s="6">
        <f t="shared" si="1"/>
        <v>3.4446208813021002</v>
      </c>
    </row>
    <row r="7" spans="2:16">
      <c r="C7">
        <v>2.266</v>
      </c>
      <c r="D7">
        <v>2.4820000000000002</v>
      </c>
      <c r="F7">
        <v>126.8</v>
      </c>
      <c r="G7">
        <v>152.80000000000001</v>
      </c>
      <c r="I7">
        <v>98.11</v>
      </c>
      <c r="J7">
        <v>86.46</v>
      </c>
      <c r="L7">
        <v>27.89</v>
      </c>
      <c r="M7">
        <v>25.32</v>
      </c>
      <c r="O7" s="6">
        <f t="shared" si="0"/>
        <v>3.5177482968806002</v>
      </c>
      <c r="P7" s="6">
        <f t="shared" si="1"/>
        <v>3.4146919431279601</v>
      </c>
    </row>
    <row r="8" spans="2:16">
      <c r="C8">
        <v>2.2490000000000001</v>
      </c>
      <c r="D8">
        <v>2.4980000000000002</v>
      </c>
      <c r="F8">
        <v>130.9</v>
      </c>
      <c r="G8">
        <v>163</v>
      </c>
      <c r="I8">
        <v>98.52</v>
      </c>
      <c r="J8">
        <v>86.7</v>
      </c>
      <c r="L8">
        <v>28.39</v>
      </c>
      <c r="M8">
        <v>25.53</v>
      </c>
      <c r="O8" s="6">
        <f t="shared" si="0"/>
        <v>3.47023599859105</v>
      </c>
      <c r="P8" s="6">
        <f t="shared" si="1"/>
        <v>3.3960047003525302</v>
      </c>
    </row>
    <row r="9" spans="2:16">
      <c r="C9">
        <v>4.5869999999999997</v>
      </c>
      <c r="D9">
        <v>2.3620000000000001</v>
      </c>
      <c r="F9">
        <v>225.2</v>
      </c>
      <c r="G9">
        <v>167.5</v>
      </c>
      <c r="I9">
        <v>93.29</v>
      </c>
      <c r="J9">
        <v>96.3</v>
      </c>
      <c r="L9">
        <v>22.09</v>
      </c>
      <c r="M9">
        <v>28.79</v>
      </c>
      <c r="O9" s="6">
        <f t="shared" si="0"/>
        <v>4.2231779085559102</v>
      </c>
      <c r="P9" s="6">
        <f t="shared" si="1"/>
        <v>3.3449114275790199</v>
      </c>
    </row>
    <row r="10" spans="2:16">
      <c r="C10">
        <v>4.5490000000000004</v>
      </c>
      <c r="D10">
        <v>2.36</v>
      </c>
      <c r="F10">
        <v>180.3</v>
      </c>
      <c r="G10">
        <v>173.6</v>
      </c>
      <c r="I10">
        <v>93.39</v>
      </c>
      <c r="J10">
        <v>96.47</v>
      </c>
      <c r="L10">
        <v>21.76</v>
      </c>
      <c r="M10">
        <v>28.62</v>
      </c>
      <c r="O10" s="6">
        <f t="shared" si="0"/>
        <v>4.2918198529411802</v>
      </c>
      <c r="P10" s="6">
        <f t="shared" si="1"/>
        <v>3.3707197763801502</v>
      </c>
    </row>
    <row r="11" spans="2:16">
      <c r="C11">
        <v>4.4870000000000001</v>
      </c>
      <c r="D11">
        <v>2.3570000000000002</v>
      </c>
      <c r="F11">
        <v>186.9</v>
      </c>
      <c r="G11">
        <v>120</v>
      </c>
      <c r="I11">
        <v>94.22</v>
      </c>
      <c r="J11">
        <v>96.53</v>
      </c>
      <c r="L11">
        <v>21.9</v>
      </c>
      <c r="M11">
        <v>28.2</v>
      </c>
      <c r="O11" s="6">
        <f t="shared" si="0"/>
        <v>4.3022831050228296</v>
      </c>
      <c r="P11" s="6">
        <f t="shared" si="1"/>
        <v>3.4230496453900701</v>
      </c>
    </row>
    <row r="12" spans="2:16">
      <c r="C12">
        <v>4.4269999999999996</v>
      </c>
      <c r="D12">
        <v>2.3730000000000002</v>
      </c>
      <c r="F12">
        <v>206.2</v>
      </c>
      <c r="G12">
        <v>123.2</v>
      </c>
      <c r="I12">
        <v>94.87</v>
      </c>
      <c r="J12">
        <v>96.69</v>
      </c>
      <c r="L12">
        <v>20.95</v>
      </c>
      <c r="M12">
        <v>28.24</v>
      </c>
      <c r="O12" s="6">
        <f t="shared" si="0"/>
        <v>4.5284009546539403</v>
      </c>
      <c r="P12" s="6">
        <f t="shared" si="1"/>
        <v>3.4238668555240799</v>
      </c>
    </row>
    <row r="13" spans="2:16">
      <c r="C13">
        <v>4.516</v>
      </c>
      <c r="D13">
        <v>2.399</v>
      </c>
      <c r="F13">
        <v>180.6</v>
      </c>
      <c r="G13">
        <v>145.6</v>
      </c>
      <c r="I13">
        <v>94.28</v>
      </c>
      <c r="J13">
        <v>96.63</v>
      </c>
      <c r="L13">
        <v>21.22</v>
      </c>
      <c r="M13">
        <v>28.72</v>
      </c>
      <c r="O13" s="6">
        <f t="shared" si="0"/>
        <v>4.44297832233742</v>
      </c>
      <c r="P13" s="6">
        <f t="shared" si="1"/>
        <v>3.36455431754875</v>
      </c>
    </row>
    <row r="14" spans="2:16">
      <c r="C14">
        <v>2.9529999999999998</v>
      </c>
      <c r="D14">
        <v>2.2440000000000002</v>
      </c>
      <c r="F14">
        <v>387.4</v>
      </c>
      <c r="G14">
        <v>126.1</v>
      </c>
      <c r="I14">
        <v>101.7</v>
      </c>
      <c r="J14">
        <v>94.29</v>
      </c>
      <c r="L14">
        <v>34.46</v>
      </c>
      <c r="M14">
        <v>24.69</v>
      </c>
      <c r="O14" s="6">
        <f t="shared" si="0"/>
        <v>2.9512478235635502</v>
      </c>
      <c r="P14" s="6">
        <f t="shared" si="1"/>
        <v>3.8189550425273402</v>
      </c>
    </row>
    <row r="15" spans="2:16">
      <c r="C15">
        <v>2.88</v>
      </c>
      <c r="D15">
        <v>2.2069999999999999</v>
      </c>
      <c r="F15">
        <v>329.8</v>
      </c>
      <c r="G15">
        <v>122.1</v>
      </c>
      <c r="I15">
        <v>101.8</v>
      </c>
      <c r="J15">
        <v>94.98</v>
      </c>
      <c r="L15">
        <v>33.72</v>
      </c>
      <c r="M15">
        <v>24.25</v>
      </c>
      <c r="O15" s="6">
        <f t="shared" si="0"/>
        <v>3.01897983392645</v>
      </c>
      <c r="P15" s="6">
        <f t="shared" si="1"/>
        <v>3.9167010309278298</v>
      </c>
    </row>
    <row r="16" spans="2:16">
      <c r="C16">
        <v>2.8029999999999999</v>
      </c>
      <c r="D16">
        <v>2.2469999999999999</v>
      </c>
      <c r="F16">
        <v>334</v>
      </c>
      <c r="G16">
        <v>124.6</v>
      </c>
      <c r="I16">
        <v>102.2</v>
      </c>
      <c r="J16">
        <v>95.14</v>
      </c>
      <c r="L16">
        <v>33.68</v>
      </c>
      <c r="M16">
        <v>25.95</v>
      </c>
      <c r="O16" s="6">
        <f t="shared" si="0"/>
        <v>3.0344418052256499</v>
      </c>
      <c r="P16" s="6">
        <f t="shared" si="1"/>
        <v>3.66628131021195</v>
      </c>
    </row>
    <row r="17" spans="3:16">
      <c r="C17">
        <v>2.9790000000000001</v>
      </c>
      <c r="D17">
        <v>2.302</v>
      </c>
      <c r="F17">
        <v>338.4</v>
      </c>
      <c r="G17">
        <v>139.1</v>
      </c>
      <c r="I17">
        <v>101.5</v>
      </c>
      <c r="J17">
        <v>95.3</v>
      </c>
      <c r="L17">
        <v>33.6</v>
      </c>
      <c r="M17">
        <v>24.19</v>
      </c>
      <c r="O17" s="6">
        <f t="shared" si="0"/>
        <v>3.0208333333333299</v>
      </c>
      <c r="P17" s="6">
        <f t="shared" si="1"/>
        <v>3.93964448119057</v>
      </c>
    </row>
    <row r="18" spans="3:16">
      <c r="C18">
        <v>3.0379999999999998</v>
      </c>
      <c r="D18">
        <v>2.3540000000000001</v>
      </c>
      <c r="F18">
        <v>368.9</v>
      </c>
      <c r="G18">
        <v>134.5</v>
      </c>
      <c r="I18">
        <v>101.7</v>
      </c>
      <c r="J18">
        <v>95.73</v>
      </c>
      <c r="L18">
        <v>33.369999999999997</v>
      </c>
      <c r="M18">
        <v>24.41</v>
      </c>
      <c r="O18" s="6">
        <f t="shared" si="0"/>
        <v>3.04764758765358</v>
      </c>
      <c r="P18" s="6">
        <f t="shared" si="1"/>
        <v>3.9217533797623898</v>
      </c>
    </row>
    <row r="19" spans="3:16">
      <c r="C19">
        <v>2.6680000000000001</v>
      </c>
      <c r="D19">
        <v>2.577</v>
      </c>
      <c r="F19">
        <v>206.1</v>
      </c>
      <c r="G19">
        <v>109.7</v>
      </c>
      <c r="I19">
        <v>100</v>
      </c>
      <c r="J19">
        <v>100.7</v>
      </c>
      <c r="L19">
        <v>38.200000000000003</v>
      </c>
      <c r="M19">
        <v>31.31</v>
      </c>
      <c r="O19" s="6">
        <f t="shared" si="0"/>
        <v>2.6178010471204201</v>
      </c>
      <c r="P19" s="6">
        <f t="shared" si="1"/>
        <v>3.2162248482912799</v>
      </c>
    </row>
    <row r="20" spans="3:16">
      <c r="C20">
        <v>2.673</v>
      </c>
      <c r="D20">
        <v>2.5379999999999998</v>
      </c>
      <c r="F20">
        <v>192.6</v>
      </c>
      <c r="G20">
        <v>101</v>
      </c>
      <c r="I20">
        <v>99.24</v>
      </c>
      <c r="J20">
        <v>101.3</v>
      </c>
      <c r="L20">
        <v>38.6</v>
      </c>
      <c r="M20">
        <v>31.78</v>
      </c>
      <c r="O20" s="6">
        <f t="shared" si="0"/>
        <v>2.5709844559585502</v>
      </c>
      <c r="P20" s="6">
        <f t="shared" si="1"/>
        <v>3.1875393329137802</v>
      </c>
    </row>
    <row r="21" spans="3:16">
      <c r="C21">
        <v>2.7080000000000002</v>
      </c>
      <c r="D21">
        <v>2.6059999999999999</v>
      </c>
      <c r="F21">
        <v>212.8</v>
      </c>
      <c r="G21">
        <v>129</v>
      </c>
      <c r="I21">
        <v>98.39</v>
      </c>
      <c r="J21">
        <v>100.7</v>
      </c>
      <c r="L21">
        <v>37.39</v>
      </c>
      <c r="M21">
        <v>32.04</v>
      </c>
      <c r="O21" s="6">
        <f t="shared" si="0"/>
        <v>2.6314522599625598</v>
      </c>
      <c r="P21" s="6">
        <f t="shared" si="1"/>
        <v>3.14294631710362</v>
      </c>
    </row>
    <row r="22" spans="3:16">
      <c r="C22">
        <v>2.71</v>
      </c>
      <c r="D22">
        <v>2.6150000000000002</v>
      </c>
      <c r="F22">
        <v>226.8</v>
      </c>
      <c r="G22">
        <v>102.2</v>
      </c>
      <c r="I22">
        <v>98.41</v>
      </c>
      <c r="J22">
        <v>101</v>
      </c>
      <c r="L22">
        <v>37.729999999999997</v>
      </c>
      <c r="M22">
        <v>32.479999999999997</v>
      </c>
      <c r="O22" s="6">
        <f t="shared" si="0"/>
        <v>2.6082692817386701</v>
      </c>
      <c r="P22" s="6">
        <f t="shared" si="1"/>
        <v>3.1096059113300498</v>
      </c>
    </row>
    <row r="23" spans="3:16">
      <c r="C23">
        <v>2.6859999999999999</v>
      </c>
      <c r="D23">
        <v>2.5990000000000002</v>
      </c>
      <c r="F23">
        <v>224.6</v>
      </c>
      <c r="G23">
        <v>113.3</v>
      </c>
      <c r="I23">
        <v>98.74</v>
      </c>
      <c r="J23">
        <v>101.2</v>
      </c>
      <c r="L23">
        <v>37.33</v>
      </c>
      <c r="M23">
        <v>32.07</v>
      </c>
      <c r="O23" s="6">
        <f t="shared" si="0"/>
        <v>2.6450575944280699</v>
      </c>
      <c r="P23" s="6">
        <f t="shared" si="1"/>
        <v>3.1555971312753401</v>
      </c>
    </row>
    <row r="24" spans="3:16">
      <c r="C24">
        <v>3.4289999999999998</v>
      </c>
      <c r="D24">
        <v>3.1579999999999999</v>
      </c>
      <c r="F24">
        <v>353.1</v>
      </c>
      <c r="G24">
        <v>228.4</v>
      </c>
      <c r="I24">
        <v>104.5</v>
      </c>
      <c r="J24">
        <v>93.8</v>
      </c>
      <c r="L24">
        <v>40.799999999999997</v>
      </c>
      <c r="M24">
        <v>37.340000000000003</v>
      </c>
      <c r="O24" s="6">
        <f t="shared" si="0"/>
        <v>2.56127450980392</v>
      </c>
      <c r="P24" s="6">
        <f t="shared" si="1"/>
        <v>2.5120514193893899</v>
      </c>
    </row>
    <row r="25" spans="3:16">
      <c r="C25">
        <v>3.2280000000000002</v>
      </c>
      <c r="D25">
        <v>3.06</v>
      </c>
      <c r="F25">
        <v>344.3</v>
      </c>
      <c r="G25">
        <v>246.5</v>
      </c>
      <c r="I25">
        <v>104.2</v>
      </c>
      <c r="J25">
        <v>94.05</v>
      </c>
      <c r="L25">
        <v>39.92</v>
      </c>
      <c r="M25">
        <v>37.26</v>
      </c>
      <c r="O25" s="6">
        <f t="shared" si="0"/>
        <v>2.61022044088176</v>
      </c>
      <c r="P25" s="6">
        <f t="shared" si="1"/>
        <v>2.5241545893719799</v>
      </c>
    </row>
    <row r="26" spans="3:16">
      <c r="C26">
        <v>3.3450000000000002</v>
      </c>
      <c r="D26">
        <v>2.9929999999999999</v>
      </c>
      <c r="F26">
        <v>366.7</v>
      </c>
      <c r="G26">
        <v>271.89999999999998</v>
      </c>
      <c r="I26">
        <v>104</v>
      </c>
      <c r="J26">
        <v>92.95</v>
      </c>
      <c r="L26">
        <v>39.17</v>
      </c>
      <c r="M26">
        <v>37.03</v>
      </c>
      <c r="O26" s="6">
        <f t="shared" si="0"/>
        <v>2.6550931835588498</v>
      </c>
      <c r="P26" s="6">
        <f t="shared" si="1"/>
        <v>2.5101269241155801</v>
      </c>
    </row>
    <row r="27" spans="3:16">
      <c r="C27">
        <v>3.218</v>
      </c>
      <c r="D27">
        <v>3.1179999999999999</v>
      </c>
      <c r="F27">
        <v>360.5</v>
      </c>
      <c r="G27">
        <v>246.5</v>
      </c>
      <c r="I27">
        <v>104.2</v>
      </c>
      <c r="J27">
        <v>93.13</v>
      </c>
      <c r="L27">
        <v>39.47</v>
      </c>
      <c r="M27">
        <v>37.200000000000003</v>
      </c>
      <c r="O27" s="6">
        <f t="shared" si="0"/>
        <v>2.6399797314416</v>
      </c>
      <c r="P27" s="6">
        <f t="shared" si="1"/>
        <v>2.5034946236559099</v>
      </c>
    </row>
    <row r="28" spans="3:16">
      <c r="C28">
        <v>3.4510000000000001</v>
      </c>
      <c r="D28">
        <v>3.1080000000000001</v>
      </c>
      <c r="F28">
        <v>340.7</v>
      </c>
      <c r="G28">
        <v>220.3</v>
      </c>
      <c r="I28">
        <v>104.4</v>
      </c>
      <c r="J28">
        <v>93.04</v>
      </c>
      <c r="L28">
        <v>39.630000000000003</v>
      </c>
      <c r="M28">
        <v>37.28</v>
      </c>
      <c r="O28" s="6">
        <f t="shared" si="0"/>
        <v>2.6343679031037102</v>
      </c>
      <c r="P28" s="6">
        <f t="shared" si="1"/>
        <v>2.4957081545064401</v>
      </c>
    </row>
    <row r="29" spans="3:16">
      <c r="C29">
        <v>2.9860000000000002</v>
      </c>
      <c r="D29">
        <v>3.145</v>
      </c>
      <c r="F29">
        <v>272.5</v>
      </c>
      <c r="G29">
        <v>182</v>
      </c>
      <c r="I29">
        <v>113.4</v>
      </c>
      <c r="J29">
        <v>115.8</v>
      </c>
      <c r="L29">
        <v>33.880000000000003</v>
      </c>
      <c r="M29">
        <v>32.86</v>
      </c>
      <c r="O29" s="6">
        <f t="shared" si="0"/>
        <v>3.34710743801653</v>
      </c>
      <c r="P29" s="6">
        <f t="shared" si="1"/>
        <v>3.5240413877054202</v>
      </c>
    </row>
    <row r="30" spans="3:16">
      <c r="C30">
        <v>3.04</v>
      </c>
      <c r="D30">
        <v>3.1269999999999998</v>
      </c>
      <c r="F30">
        <v>246.3</v>
      </c>
      <c r="G30">
        <v>200.3</v>
      </c>
      <c r="I30">
        <v>113.1</v>
      </c>
      <c r="J30">
        <v>116</v>
      </c>
      <c r="L30">
        <v>33.520000000000003</v>
      </c>
      <c r="M30">
        <v>32.53</v>
      </c>
      <c r="O30" s="6">
        <f t="shared" si="0"/>
        <v>3.3741050119331701</v>
      </c>
      <c r="P30" s="6">
        <f t="shared" si="1"/>
        <v>3.5659391331079</v>
      </c>
    </row>
    <row r="31" spans="3:16">
      <c r="C31">
        <v>3.056</v>
      </c>
      <c r="D31">
        <v>3.12</v>
      </c>
      <c r="F31">
        <v>256.10000000000002</v>
      </c>
      <c r="G31">
        <v>183.6</v>
      </c>
      <c r="I31">
        <v>112.5</v>
      </c>
      <c r="J31">
        <v>115.4</v>
      </c>
      <c r="L31">
        <v>33.65</v>
      </c>
      <c r="M31">
        <v>32.700000000000003</v>
      </c>
      <c r="O31" s="6">
        <f t="shared" si="0"/>
        <v>3.3432392273402698</v>
      </c>
      <c r="P31" s="6">
        <f t="shared" si="1"/>
        <v>3.5290519877675801</v>
      </c>
    </row>
    <row r="32" spans="3:16">
      <c r="C32">
        <v>2.8610000000000002</v>
      </c>
      <c r="D32">
        <v>3.0680000000000001</v>
      </c>
      <c r="F32">
        <v>288.60000000000002</v>
      </c>
      <c r="G32">
        <v>185.2</v>
      </c>
      <c r="I32">
        <v>111.9</v>
      </c>
      <c r="J32">
        <v>115.1</v>
      </c>
      <c r="L32">
        <v>33.07</v>
      </c>
      <c r="M32">
        <v>32.99</v>
      </c>
      <c r="O32" s="6">
        <f t="shared" si="0"/>
        <v>3.3837314786815802</v>
      </c>
      <c r="P32" s="6">
        <f t="shared" si="1"/>
        <v>3.4889360412246102</v>
      </c>
    </row>
    <row r="33" spans="3:16">
      <c r="C33">
        <v>2.911</v>
      </c>
      <c r="D33">
        <v>3.0470000000000002</v>
      </c>
      <c r="F33">
        <v>242.7</v>
      </c>
      <c r="G33">
        <v>183</v>
      </c>
      <c r="I33">
        <v>112.6</v>
      </c>
      <c r="J33">
        <v>115.5</v>
      </c>
      <c r="L33">
        <v>33.6</v>
      </c>
      <c r="M33">
        <v>32.94</v>
      </c>
      <c r="O33" s="6">
        <f t="shared" si="0"/>
        <v>3.3511904761904798</v>
      </c>
      <c r="P33" s="6">
        <f t="shared" si="1"/>
        <v>3.5063752276867</v>
      </c>
    </row>
    <row r="34" spans="3:16">
      <c r="C34">
        <v>3.7879999999999998</v>
      </c>
      <c r="D34">
        <v>3.012</v>
      </c>
      <c r="F34">
        <v>238.4</v>
      </c>
      <c r="G34">
        <v>228.8</v>
      </c>
      <c r="I34">
        <v>107.4</v>
      </c>
      <c r="J34">
        <v>103.2</v>
      </c>
      <c r="L34">
        <v>36.96</v>
      </c>
      <c r="M34">
        <v>45.9</v>
      </c>
      <c r="O34" s="6">
        <f t="shared" si="0"/>
        <v>2.9058441558441599</v>
      </c>
      <c r="P34" s="6">
        <f t="shared" si="1"/>
        <v>2.2483660130718999</v>
      </c>
    </row>
    <row r="35" spans="3:16">
      <c r="C35">
        <v>3.706</v>
      </c>
      <c r="D35">
        <v>3.028</v>
      </c>
      <c r="F35">
        <v>284.8</v>
      </c>
      <c r="G35">
        <v>276</v>
      </c>
      <c r="I35">
        <v>106.6</v>
      </c>
      <c r="J35">
        <v>103.7</v>
      </c>
      <c r="L35">
        <v>36.369999999999997</v>
      </c>
      <c r="M35">
        <v>45.32</v>
      </c>
      <c r="O35" s="6">
        <f t="shared" si="0"/>
        <v>2.9309870772614799</v>
      </c>
      <c r="P35" s="6">
        <f t="shared" si="1"/>
        <v>2.2881729920564902</v>
      </c>
    </row>
    <row r="36" spans="3:16">
      <c r="C36">
        <v>3.6840000000000002</v>
      </c>
      <c r="D36">
        <v>2.996</v>
      </c>
      <c r="F36">
        <v>236.7</v>
      </c>
      <c r="G36">
        <v>235.5</v>
      </c>
      <c r="I36">
        <v>106.7</v>
      </c>
      <c r="J36">
        <v>103.8</v>
      </c>
      <c r="L36">
        <v>36.42</v>
      </c>
      <c r="M36">
        <v>45.4</v>
      </c>
      <c r="O36" s="6">
        <f t="shared" si="0"/>
        <v>2.9297089511257499</v>
      </c>
      <c r="P36" s="6">
        <f t="shared" si="1"/>
        <v>2.2863436123348002</v>
      </c>
    </row>
    <row r="37" spans="3:16">
      <c r="C37">
        <v>3.7879999999999998</v>
      </c>
      <c r="D37">
        <v>3.04</v>
      </c>
      <c r="F37">
        <v>252.5</v>
      </c>
      <c r="G37">
        <v>230.2</v>
      </c>
      <c r="I37">
        <v>106.5</v>
      </c>
      <c r="J37">
        <v>104.1</v>
      </c>
      <c r="L37">
        <v>36.94</v>
      </c>
      <c r="M37">
        <v>45.85</v>
      </c>
      <c r="O37" s="6">
        <f t="shared" ref="O37:O58" si="2">I37/L37</f>
        <v>2.8830536004331302</v>
      </c>
      <c r="P37" s="6">
        <f t="shared" ref="P37:P58" si="3">J37/M37</f>
        <v>2.2704471101417698</v>
      </c>
    </row>
    <row r="38" spans="3:16">
      <c r="C38">
        <v>3.75</v>
      </c>
      <c r="D38">
        <v>2.9119999999999999</v>
      </c>
      <c r="F38">
        <v>240</v>
      </c>
      <c r="G38">
        <v>236.8</v>
      </c>
      <c r="I38">
        <v>107</v>
      </c>
      <c r="J38">
        <v>104.3</v>
      </c>
      <c r="L38">
        <v>37</v>
      </c>
      <c r="M38">
        <v>46.05</v>
      </c>
      <c r="O38" s="6">
        <f t="shared" si="2"/>
        <v>2.8918918918918899</v>
      </c>
      <c r="P38" s="6">
        <f t="shared" si="3"/>
        <v>2.2649294245385501</v>
      </c>
    </row>
    <row r="39" spans="3:16">
      <c r="C39">
        <v>2.9239999999999999</v>
      </c>
      <c r="D39">
        <v>2.5579999999999998</v>
      </c>
      <c r="F39">
        <v>267.7</v>
      </c>
      <c r="G39">
        <v>180.7</v>
      </c>
      <c r="I39">
        <v>95.42</v>
      </c>
      <c r="J39">
        <v>114.3</v>
      </c>
      <c r="L39">
        <v>33.94</v>
      </c>
      <c r="M39">
        <v>35.409999999999997</v>
      </c>
      <c r="O39" s="6">
        <f t="shared" si="2"/>
        <v>2.8114319387153799</v>
      </c>
      <c r="P39" s="6">
        <f t="shared" si="3"/>
        <v>3.2279017226772102</v>
      </c>
    </row>
    <row r="40" spans="3:16">
      <c r="C40">
        <v>2.948</v>
      </c>
      <c r="D40">
        <v>2.5670000000000002</v>
      </c>
      <c r="F40">
        <v>251.8</v>
      </c>
      <c r="G40">
        <v>139.4</v>
      </c>
      <c r="I40">
        <v>95</v>
      </c>
      <c r="J40">
        <v>114.6</v>
      </c>
      <c r="L40">
        <v>33.909999999999997</v>
      </c>
      <c r="M40">
        <v>35.22</v>
      </c>
      <c r="O40" s="6">
        <f t="shared" si="2"/>
        <v>2.8015334709525201</v>
      </c>
      <c r="P40" s="6">
        <f t="shared" si="3"/>
        <v>3.2538330494037502</v>
      </c>
    </row>
    <row r="41" spans="3:16">
      <c r="C41">
        <v>2.9430000000000001</v>
      </c>
      <c r="D41">
        <v>2.5619999999999998</v>
      </c>
      <c r="F41">
        <v>270.89999999999998</v>
      </c>
      <c r="G41">
        <v>140.69999999999999</v>
      </c>
      <c r="I41">
        <v>95.89</v>
      </c>
      <c r="J41">
        <v>114.7</v>
      </c>
      <c r="L41">
        <v>34.01</v>
      </c>
      <c r="M41">
        <v>35.25</v>
      </c>
      <c r="O41" s="6">
        <f t="shared" si="2"/>
        <v>2.8194648632755102</v>
      </c>
      <c r="P41" s="6">
        <f t="shared" si="3"/>
        <v>3.25390070921986</v>
      </c>
    </row>
    <row r="42" spans="3:16">
      <c r="C42">
        <v>2.9289999999999998</v>
      </c>
      <c r="D42">
        <v>2.5379999999999998</v>
      </c>
      <c r="F42">
        <v>231</v>
      </c>
      <c r="G42">
        <v>153.30000000000001</v>
      </c>
      <c r="I42">
        <v>96.24</v>
      </c>
      <c r="J42">
        <v>115</v>
      </c>
      <c r="L42">
        <v>33.36</v>
      </c>
      <c r="M42">
        <v>35.590000000000003</v>
      </c>
      <c r="O42" s="6">
        <f t="shared" si="2"/>
        <v>2.8848920863309302</v>
      </c>
      <c r="P42" s="6">
        <f t="shared" si="3"/>
        <v>3.2312447316661999</v>
      </c>
    </row>
    <row r="43" spans="3:16">
      <c r="C43">
        <v>2.9329999999999998</v>
      </c>
      <c r="D43">
        <v>2.57</v>
      </c>
      <c r="F43">
        <v>271.39999999999998</v>
      </c>
      <c r="G43">
        <v>153</v>
      </c>
      <c r="I43">
        <v>96.32</v>
      </c>
      <c r="J43">
        <v>114.8</v>
      </c>
      <c r="L43">
        <v>33.26</v>
      </c>
      <c r="M43">
        <v>36.03</v>
      </c>
      <c r="O43" s="6">
        <f t="shared" si="2"/>
        <v>2.8959711365002998</v>
      </c>
      <c r="P43" s="6">
        <f t="shared" si="3"/>
        <v>3.1862336941437701</v>
      </c>
    </row>
    <row r="44" spans="3:16">
      <c r="C44">
        <v>1.5249999999999999</v>
      </c>
      <c r="D44">
        <v>2.6190000000000002</v>
      </c>
      <c r="F44">
        <v>221</v>
      </c>
      <c r="G44">
        <v>122.6</v>
      </c>
      <c r="I44">
        <v>81.02</v>
      </c>
      <c r="J44">
        <v>111.8</v>
      </c>
      <c r="L44">
        <v>31.34</v>
      </c>
      <c r="M44">
        <v>27.35</v>
      </c>
      <c r="O44" s="6">
        <f t="shared" si="2"/>
        <v>2.58519463943842</v>
      </c>
      <c r="P44" s="6">
        <f t="shared" si="3"/>
        <v>4.0877513711151696</v>
      </c>
    </row>
    <row r="45" spans="3:16">
      <c r="C45">
        <v>1.5249999999999999</v>
      </c>
      <c r="D45">
        <v>2.5920000000000001</v>
      </c>
      <c r="F45">
        <v>224.3</v>
      </c>
      <c r="G45">
        <v>118.4</v>
      </c>
      <c r="I45">
        <v>80.010000000000005</v>
      </c>
      <c r="J45">
        <v>111.4</v>
      </c>
      <c r="L45">
        <v>31.87</v>
      </c>
      <c r="M45">
        <v>27.26</v>
      </c>
      <c r="O45" s="6">
        <f t="shared" si="2"/>
        <v>2.5105114527769099</v>
      </c>
      <c r="P45" s="6">
        <f t="shared" si="3"/>
        <v>4.0865737344093898</v>
      </c>
    </row>
    <row r="46" spans="3:16">
      <c r="C46">
        <v>1.536</v>
      </c>
      <c r="D46">
        <v>2.6440000000000001</v>
      </c>
      <c r="F46">
        <v>208.2</v>
      </c>
      <c r="G46">
        <v>123</v>
      </c>
      <c r="I46">
        <v>80.38</v>
      </c>
      <c r="J46">
        <v>111.1</v>
      </c>
      <c r="L46">
        <v>31.64</v>
      </c>
      <c r="M46">
        <v>27.88</v>
      </c>
      <c r="O46" s="6">
        <f t="shared" si="2"/>
        <v>2.5404551201011398</v>
      </c>
      <c r="P46" s="6">
        <f t="shared" si="3"/>
        <v>3.9849354375896699</v>
      </c>
    </row>
    <row r="47" spans="3:16">
      <c r="C47">
        <v>1.5580000000000001</v>
      </c>
      <c r="D47">
        <v>2.6560000000000001</v>
      </c>
      <c r="F47">
        <v>201.3</v>
      </c>
      <c r="G47">
        <v>115.6</v>
      </c>
      <c r="I47">
        <v>80.34</v>
      </c>
      <c r="J47">
        <v>111.3</v>
      </c>
      <c r="L47">
        <v>31.71</v>
      </c>
      <c r="M47">
        <v>27.92</v>
      </c>
      <c r="O47" s="6">
        <f t="shared" si="2"/>
        <v>2.53358561967833</v>
      </c>
      <c r="P47" s="6">
        <f t="shared" si="3"/>
        <v>3.9863896848137501</v>
      </c>
    </row>
    <row r="48" spans="3:16">
      <c r="C48">
        <v>1.544</v>
      </c>
      <c r="D48">
        <v>2.6269999999999998</v>
      </c>
      <c r="F48">
        <v>190.4</v>
      </c>
      <c r="G48">
        <v>120.2</v>
      </c>
      <c r="I48">
        <v>80.64</v>
      </c>
      <c r="J48">
        <v>110</v>
      </c>
      <c r="L48">
        <v>31.43</v>
      </c>
      <c r="M48">
        <v>28.31</v>
      </c>
      <c r="O48" s="6">
        <f t="shared" si="2"/>
        <v>2.5657015590200398</v>
      </c>
      <c r="P48" s="6">
        <f t="shared" si="3"/>
        <v>3.8855528081949799</v>
      </c>
    </row>
    <row r="49" spans="2:16">
      <c r="C49">
        <v>3.0459999999999998</v>
      </c>
      <c r="D49">
        <v>2.976</v>
      </c>
      <c r="F49">
        <v>329.3</v>
      </c>
      <c r="G49">
        <v>129.4</v>
      </c>
      <c r="I49">
        <v>99.48</v>
      </c>
      <c r="J49">
        <v>105.1</v>
      </c>
      <c r="L49">
        <v>36.82</v>
      </c>
      <c r="M49">
        <v>34.79</v>
      </c>
      <c r="O49" s="6">
        <f t="shared" si="2"/>
        <v>2.7017925040738699</v>
      </c>
      <c r="P49" s="6">
        <f t="shared" si="3"/>
        <v>3.0209830411037699</v>
      </c>
    </row>
    <row r="50" spans="2:16">
      <c r="C50">
        <v>3.0110000000000001</v>
      </c>
      <c r="D50">
        <v>3.0019999999999998</v>
      </c>
      <c r="F50">
        <v>279.3</v>
      </c>
      <c r="G50">
        <v>136.4</v>
      </c>
      <c r="I50">
        <v>100</v>
      </c>
      <c r="J50">
        <v>104.4</v>
      </c>
      <c r="L50">
        <v>36.1</v>
      </c>
      <c r="M50">
        <v>34.64</v>
      </c>
      <c r="O50" s="6">
        <f t="shared" si="2"/>
        <v>2.7700831024930701</v>
      </c>
      <c r="P50" s="6">
        <f t="shared" si="3"/>
        <v>3.0138568129330299</v>
      </c>
    </row>
    <row r="51" spans="2:16">
      <c r="C51">
        <v>3.0379999999999998</v>
      </c>
      <c r="D51">
        <v>3.0230000000000001</v>
      </c>
      <c r="F51">
        <v>298.3</v>
      </c>
      <c r="G51">
        <v>148.4</v>
      </c>
      <c r="I51">
        <v>99.64</v>
      </c>
      <c r="J51">
        <v>104.6</v>
      </c>
      <c r="L51">
        <v>36.22</v>
      </c>
      <c r="M51">
        <v>34.19</v>
      </c>
      <c r="O51" s="6">
        <f t="shared" si="2"/>
        <v>2.7509663169519598</v>
      </c>
      <c r="P51" s="6">
        <f t="shared" si="3"/>
        <v>3.05937408599006</v>
      </c>
    </row>
    <row r="52" spans="2:16">
      <c r="C52">
        <v>3.1240000000000001</v>
      </c>
      <c r="D52">
        <v>3.0059999999999998</v>
      </c>
      <c r="F52">
        <v>307.10000000000002</v>
      </c>
      <c r="G52">
        <v>139.69999999999999</v>
      </c>
      <c r="I52">
        <v>100.2</v>
      </c>
      <c r="J52">
        <v>104.8</v>
      </c>
      <c r="L52">
        <v>36.07</v>
      </c>
      <c r="M52">
        <v>34.15</v>
      </c>
      <c r="O52" s="6">
        <f t="shared" si="2"/>
        <v>2.7779317992791799</v>
      </c>
      <c r="P52" s="6">
        <f t="shared" si="3"/>
        <v>3.0688140556369001</v>
      </c>
    </row>
    <row r="53" spans="2:16">
      <c r="C53">
        <v>3.121</v>
      </c>
      <c r="D53">
        <v>3</v>
      </c>
      <c r="F53">
        <v>287.8</v>
      </c>
      <c r="G53">
        <v>147.6</v>
      </c>
      <c r="I53">
        <v>99.85</v>
      </c>
      <c r="J53">
        <v>105.3</v>
      </c>
      <c r="L53">
        <v>36.57</v>
      </c>
      <c r="M53">
        <v>34.14</v>
      </c>
      <c r="O53" s="6">
        <f t="shared" si="2"/>
        <v>2.7303800929723798</v>
      </c>
      <c r="P53" s="6">
        <f t="shared" si="3"/>
        <v>3.0843585237258302</v>
      </c>
    </row>
    <row r="54" spans="2:16">
      <c r="C54">
        <v>2.5659999999999998</v>
      </c>
      <c r="D54">
        <v>1.8049999999999999</v>
      </c>
      <c r="F54">
        <v>209.8</v>
      </c>
      <c r="G54">
        <v>121.5</v>
      </c>
      <c r="I54">
        <v>105</v>
      </c>
      <c r="J54">
        <v>102.6</v>
      </c>
      <c r="L54">
        <v>36.76</v>
      </c>
      <c r="M54">
        <v>34.770000000000003</v>
      </c>
      <c r="O54" s="6">
        <f t="shared" si="2"/>
        <v>2.85636561479869</v>
      </c>
      <c r="P54" s="6">
        <f t="shared" si="3"/>
        <v>2.9508196721311499</v>
      </c>
    </row>
    <row r="55" spans="2:16">
      <c r="C55">
        <v>2.6440000000000001</v>
      </c>
      <c r="D55">
        <v>1.7769999999999999</v>
      </c>
      <c r="F55">
        <v>226.6</v>
      </c>
      <c r="G55">
        <v>114.9</v>
      </c>
      <c r="I55">
        <v>105.4</v>
      </c>
      <c r="J55">
        <v>104.1</v>
      </c>
      <c r="L55">
        <v>37.15</v>
      </c>
      <c r="M55">
        <v>35.15</v>
      </c>
      <c r="O55" s="6">
        <f t="shared" si="2"/>
        <v>2.8371467025572001</v>
      </c>
      <c r="P55" s="6">
        <f t="shared" si="3"/>
        <v>2.9615931721194899</v>
      </c>
    </row>
    <row r="56" spans="2:16">
      <c r="C56">
        <v>2.7130000000000001</v>
      </c>
      <c r="D56">
        <v>1.81</v>
      </c>
      <c r="F56">
        <v>218.7</v>
      </c>
      <c r="G56">
        <v>110.7</v>
      </c>
      <c r="I56">
        <v>105.5</v>
      </c>
      <c r="J56">
        <v>103.1</v>
      </c>
      <c r="L56">
        <v>36.93</v>
      </c>
      <c r="M56">
        <v>34.43</v>
      </c>
      <c r="O56" s="6">
        <f t="shared" si="2"/>
        <v>2.8567560249119999</v>
      </c>
      <c r="P56" s="6">
        <f t="shared" si="3"/>
        <v>2.9944815567818801</v>
      </c>
    </row>
    <row r="57" spans="2:16">
      <c r="C57">
        <v>2.746</v>
      </c>
      <c r="D57">
        <v>1.8109999999999999</v>
      </c>
      <c r="F57">
        <v>204.3</v>
      </c>
      <c r="G57">
        <v>138.9</v>
      </c>
      <c r="I57">
        <v>105.3</v>
      </c>
      <c r="J57">
        <v>103</v>
      </c>
      <c r="L57">
        <v>36.78</v>
      </c>
      <c r="M57">
        <v>34.89</v>
      </c>
      <c r="O57" s="6">
        <f t="shared" si="2"/>
        <v>2.86296900489396</v>
      </c>
      <c r="P57" s="6">
        <f t="shared" si="3"/>
        <v>2.95213528231585</v>
      </c>
    </row>
    <row r="58" spans="2:16">
      <c r="C58">
        <v>2.7330000000000001</v>
      </c>
      <c r="D58">
        <v>1.798</v>
      </c>
      <c r="F58">
        <v>272</v>
      </c>
      <c r="G58">
        <v>139.5</v>
      </c>
      <c r="I58">
        <v>104.1</v>
      </c>
      <c r="J58">
        <v>102.9</v>
      </c>
      <c r="L58">
        <v>36.130000000000003</v>
      </c>
      <c r="M58">
        <v>34.79</v>
      </c>
      <c r="O58" s="6">
        <f t="shared" si="2"/>
        <v>2.8812621090506498</v>
      </c>
      <c r="P58" s="6">
        <f t="shared" si="3"/>
        <v>2.9577464788732399</v>
      </c>
    </row>
    <row r="59" spans="2:16" s="6" customFormat="1">
      <c r="B59" s="7" t="s">
        <v>7</v>
      </c>
      <c r="C59" s="7">
        <f>AVERAGE(C4:C58)</f>
        <v>2.9698363636363601</v>
      </c>
      <c r="D59" s="7">
        <f>AVERAGE(D4:D58)</f>
        <v>2.62367272727273</v>
      </c>
      <c r="F59" s="7">
        <f>AVERAGE(F4:F58)</f>
        <v>250.16363636363599</v>
      </c>
      <c r="G59" s="7">
        <f>AVERAGE(G4:G58)</f>
        <v>159.63454545454499</v>
      </c>
      <c r="I59" s="7">
        <f>AVERAGE(I4:I58)</f>
        <v>99.786909090909106</v>
      </c>
      <c r="J59" s="7">
        <f>AVERAGE(J4:J58)</f>
        <v>102.34072727272699</v>
      </c>
      <c r="L59" s="7">
        <f>AVERAGE(L4:L58)</f>
        <v>33.621090909090903</v>
      </c>
      <c r="M59" s="7">
        <f>AVERAGE(M4:M58)</f>
        <v>32.605454545454599</v>
      </c>
      <c r="O59" s="7">
        <f>AVERAGE(O4:O58)</f>
        <v>3.0318429114476402</v>
      </c>
      <c r="P59" s="7">
        <f>AVERAGE(P4:P58)</f>
        <v>3.21547603392376</v>
      </c>
    </row>
    <row r="61" spans="2:16">
      <c r="B61" t="s">
        <v>6</v>
      </c>
      <c r="C61" t="s">
        <v>8</v>
      </c>
      <c r="F61" t="s">
        <v>6</v>
      </c>
      <c r="G61" t="s">
        <v>9</v>
      </c>
      <c r="O61" t="s">
        <v>6</v>
      </c>
      <c r="P61" s="6" t="s">
        <v>10</v>
      </c>
    </row>
    <row r="62" spans="2:16">
      <c r="B62" t="s">
        <v>5</v>
      </c>
      <c r="C62" t="s">
        <v>11</v>
      </c>
      <c r="F62" t="s">
        <v>5</v>
      </c>
      <c r="G62" t="s">
        <v>12</v>
      </c>
      <c r="O62" t="s">
        <v>5</v>
      </c>
      <c r="P62" s="6" t="s">
        <v>13</v>
      </c>
    </row>
  </sheetData>
  <mergeCells count="5">
    <mergeCell ref="C2:D2"/>
    <mergeCell ref="F2:G2"/>
    <mergeCell ref="I2:J2"/>
    <mergeCell ref="L2:M2"/>
    <mergeCell ref="O2:P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L65"/>
  <sheetViews>
    <sheetView topLeftCell="A4" zoomScale="68" zoomScaleNormal="68" workbookViewId="0">
      <selection activeCell="N15" sqref="N15"/>
    </sheetView>
  </sheetViews>
  <sheetFormatPr defaultColWidth="9.08984375" defaultRowHeight="15.6"/>
  <cols>
    <col min="6" max="6" width="17.1796875" customWidth="1"/>
    <col min="7" max="7" width="27.453125" customWidth="1"/>
    <col min="11" max="11" width="19.26953125" customWidth="1"/>
    <col min="12" max="12" width="24.54296875" customWidth="1"/>
  </cols>
  <sheetData>
    <row r="3" spans="5:12">
      <c r="E3" s="10" t="s">
        <v>14</v>
      </c>
      <c r="F3" s="10"/>
      <c r="G3" s="10"/>
      <c r="J3" s="10" t="s">
        <v>15</v>
      </c>
      <c r="K3" s="10"/>
      <c r="L3" s="10"/>
    </row>
    <row r="4" spans="5:12" ht="21">
      <c r="E4" s="1" t="s">
        <v>16</v>
      </c>
      <c r="F4" s="2" t="s">
        <v>17</v>
      </c>
      <c r="G4" s="3" t="s">
        <v>18</v>
      </c>
      <c r="J4" s="1" t="s">
        <v>16</v>
      </c>
      <c r="K4" s="2" t="s">
        <v>17</v>
      </c>
      <c r="L4" s="3" t="s">
        <v>19</v>
      </c>
    </row>
    <row r="5" spans="5:12">
      <c r="E5" s="4">
        <v>1</v>
      </c>
      <c r="F5" s="4">
        <v>403.5</v>
      </c>
      <c r="G5" s="4">
        <v>3.774</v>
      </c>
      <c r="J5" s="4">
        <v>1</v>
      </c>
      <c r="K5" s="4">
        <v>509.8</v>
      </c>
      <c r="L5" s="4">
        <v>4.1269999999999998</v>
      </c>
    </row>
    <row r="6" spans="5:12">
      <c r="E6" s="4"/>
      <c r="F6" s="4">
        <v>395.4</v>
      </c>
      <c r="G6" s="4">
        <v>3.5470000000000002</v>
      </c>
      <c r="J6" s="4"/>
      <c r="K6" s="4">
        <v>517.4</v>
      </c>
      <c r="L6" s="4">
        <v>4.3929999999999998</v>
      </c>
    </row>
    <row r="7" spans="5:12">
      <c r="E7" s="4"/>
      <c r="F7" s="4">
        <v>414.9</v>
      </c>
      <c r="G7" s="4">
        <v>3.8039999999999998</v>
      </c>
      <c r="J7" s="4"/>
      <c r="K7" s="4">
        <v>509.4</v>
      </c>
      <c r="L7" s="4">
        <v>4.4160000000000004</v>
      </c>
    </row>
    <row r="8" spans="5:12">
      <c r="E8" s="4"/>
      <c r="F8" s="4">
        <v>409.9</v>
      </c>
      <c r="G8" s="4">
        <v>3.5649999999999999</v>
      </c>
      <c r="J8" s="4"/>
      <c r="K8" s="4">
        <v>506.8</v>
      </c>
      <c r="L8" s="4">
        <v>4.298</v>
      </c>
    </row>
    <row r="9" spans="5:12">
      <c r="E9" s="4"/>
      <c r="F9" s="4">
        <v>411.2</v>
      </c>
      <c r="G9" s="4">
        <v>3.121</v>
      </c>
      <c r="J9" s="4"/>
      <c r="K9" s="4">
        <v>505.7</v>
      </c>
      <c r="L9" s="4">
        <v>4.3140000000000001</v>
      </c>
    </row>
    <row r="10" spans="5:12">
      <c r="E10" s="4">
        <v>2</v>
      </c>
      <c r="F10" s="4">
        <v>452.3</v>
      </c>
      <c r="G10" s="4">
        <v>3.173</v>
      </c>
      <c r="J10" s="4">
        <v>2</v>
      </c>
      <c r="K10" s="4">
        <v>538.9</v>
      </c>
      <c r="L10" s="4">
        <v>4.8120000000000003</v>
      </c>
    </row>
    <row r="11" spans="5:12">
      <c r="E11" s="4"/>
      <c r="F11" s="4">
        <v>452.1</v>
      </c>
      <c r="G11" s="4">
        <v>2.9689999999999999</v>
      </c>
      <c r="J11" s="4"/>
      <c r="K11" s="4">
        <v>542.29999999999995</v>
      </c>
      <c r="L11" s="4">
        <v>4.5910000000000002</v>
      </c>
    </row>
    <row r="12" spans="5:12">
      <c r="E12" s="4"/>
      <c r="F12" s="4">
        <v>456.1</v>
      </c>
      <c r="G12" s="4">
        <v>3.1429999999999998</v>
      </c>
      <c r="J12" s="4"/>
      <c r="K12" s="4">
        <v>539.29999999999995</v>
      </c>
      <c r="L12" s="4">
        <v>4.45</v>
      </c>
    </row>
    <row r="13" spans="5:12">
      <c r="E13" s="4"/>
      <c r="F13" s="4">
        <v>453.5</v>
      </c>
      <c r="G13" s="4">
        <v>3.1739999999999999</v>
      </c>
      <c r="J13" s="4"/>
      <c r="K13" s="4">
        <v>536</v>
      </c>
      <c r="L13" s="4">
        <v>4.806</v>
      </c>
    </row>
    <row r="14" spans="5:12">
      <c r="E14" s="4"/>
      <c r="F14" s="4">
        <v>439.2</v>
      </c>
      <c r="G14" s="4">
        <v>2.9649999999999999</v>
      </c>
      <c r="J14" s="4"/>
      <c r="K14" s="4">
        <v>541</v>
      </c>
      <c r="L14" s="4">
        <v>4.2439999999999998</v>
      </c>
    </row>
    <row r="15" spans="5:12">
      <c r="E15" s="4">
        <v>3</v>
      </c>
      <c r="F15" s="4">
        <v>411.7</v>
      </c>
      <c r="G15" s="4">
        <v>4.6779999999999999</v>
      </c>
      <c r="J15" s="4">
        <v>3</v>
      </c>
      <c r="K15" s="4">
        <v>503.8</v>
      </c>
      <c r="L15" s="4">
        <v>5</v>
      </c>
    </row>
    <row r="16" spans="5:12">
      <c r="E16" s="4"/>
      <c r="F16" s="4">
        <v>414.6</v>
      </c>
      <c r="G16" s="4">
        <v>4.452</v>
      </c>
      <c r="J16" s="4"/>
      <c r="K16" s="4">
        <v>505.5</v>
      </c>
      <c r="L16" s="4">
        <v>5.1550000000000002</v>
      </c>
    </row>
    <row r="17" spans="5:12">
      <c r="E17" s="4"/>
      <c r="F17" s="4">
        <v>425.8</v>
      </c>
      <c r="G17" s="4">
        <v>4.1920000000000002</v>
      </c>
      <c r="J17" s="4"/>
      <c r="K17" s="4">
        <v>503.7</v>
      </c>
      <c r="L17" s="4">
        <v>5.1369999999999996</v>
      </c>
    </row>
    <row r="18" spans="5:12">
      <c r="E18" s="4"/>
      <c r="F18" s="4">
        <v>406.7</v>
      </c>
      <c r="G18" s="4">
        <v>4.0309999999999997</v>
      </c>
      <c r="J18" s="4"/>
      <c r="K18" s="4">
        <v>505.2</v>
      </c>
      <c r="L18" s="4">
        <v>5.0890000000000004</v>
      </c>
    </row>
    <row r="19" spans="5:12">
      <c r="E19" s="4"/>
      <c r="F19" s="4">
        <v>422.2</v>
      </c>
      <c r="G19" s="4">
        <v>4.2610000000000001</v>
      </c>
      <c r="J19" s="4"/>
      <c r="K19" s="4">
        <v>504.8</v>
      </c>
      <c r="L19" s="4">
        <v>5.016</v>
      </c>
    </row>
    <row r="20" spans="5:12">
      <c r="E20" s="4">
        <v>4</v>
      </c>
      <c r="F20" s="4">
        <v>427.5</v>
      </c>
      <c r="G20" s="4">
        <v>3.5659999999999998</v>
      </c>
      <c r="J20" s="4">
        <v>4</v>
      </c>
      <c r="K20" s="4">
        <v>493.1</v>
      </c>
      <c r="L20" s="4">
        <v>5.07</v>
      </c>
    </row>
    <row r="21" spans="5:12">
      <c r="E21" s="4"/>
      <c r="F21" s="4">
        <v>428.3</v>
      </c>
      <c r="G21" s="4">
        <v>3.4359999999999999</v>
      </c>
      <c r="J21" s="4"/>
      <c r="K21" s="4">
        <v>492.5</v>
      </c>
      <c r="L21" s="4">
        <v>5.0999999999999996</v>
      </c>
    </row>
    <row r="22" spans="5:12">
      <c r="E22" s="4"/>
      <c r="F22" s="4">
        <v>426.8</v>
      </c>
      <c r="G22" s="4">
        <v>3.3690000000000002</v>
      </c>
      <c r="J22" s="4"/>
      <c r="K22" s="4">
        <v>493.7</v>
      </c>
      <c r="L22" s="4">
        <v>5.4189999999999996</v>
      </c>
    </row>
    <row r="23" spans="5:12">
      <c r="E23" s="4"/>
      <c r="F23" s="4">
        <v>431.1</v>
      </c>
      <c r="G23" s="4">
        <v>3.3</v>
      </c>
      <c r="J23" s="4"/>
      <c r="K23" s="4">
        <v>492.9</v>
      </c>
      <c r="L23" s="4">
        <v>5.4139999999999997</v>
      </c>
    </row>
    <row r="24" spans="5:12">
      <c r="E24" s="4"/>
      <c r="F24" s="4">
        <v>426.9</v>
      </c>
      <c r="G24" s="4">
        <v>3.4980000000000002</v>
      </c>
      <c r="J24" s="4"/>
      <c r="K24" s="4">
        <v>492.5</v>
      </c>
      <c r="L24" s="4">
        <v>5.4379999999999997</v>
      </c>
    </row>
    <row r="25" spans="5:12">
      <c r="E25" s="4">
        <v>5</v>
      </c>
      <c r="F25" s="4">
        <v>432.2</v>
      </c>
      <c r="G25" s="4">
        <v>3.8780000000000001</v>
      </c>
      <c r="J25" s="4">
        <v>5</v>
      </c>
      <c r="K25" s="4">
        <v>502.2</v>
      </c>
      <c r="L25" s="4">
        <v>5.7329999999999997</v>
      </c>
    </row>
    <row r="26" spans="5:12">
      <c r="E26" s="4"/>
      <c r="F26" s="4">
        <v>437</v>
      </c>
      <c r="G26" s="4">
        <v>3.9409999999999998</v>
      </c>
      <c r="J26" s="4"/>
      <c r="K26" s="4">
        <v>502.9</v>
      </c>
      <c r="L26" s="4">
        <v>5.6550000000000002</v>
      </c>
    </row>
    <row r="27" spans="5:12">
      <c r="E27" s="4"/>
      <c r="F27" s="4">
        <v>436.9</v>
      </c>
      <c r="G27" s="4">
        <v>3.3439999999999999</v>
      </c>
      <c r="J27" s="4"/>
      <c r="K27" s="4">
        <v>507.9</v>
      </c>
      <c r="L27" s="4">
        <v>5.4390000000000001</v>
      </c>
    </row>
    <row r="28" spans="5:12">
      <c r="E28" s="4"/>
      <c r="F28" s="4">
        <v>438.6</v>
      </c>
      <c r="G28" s="4">
        <v>3.7069999999999999</v>
      </c>
      <c r="J28" s="4"/>
      <c r="K28" s="4">
        <v>504.1</v>
      </c>
      <c r="L28" s="4">
        <v>5.843</v>
      </c>
    </row>
    <row r="29" spans="5:12">
      <c r="E29" s="4"/>
      <c r="F29" s="4">
        <v>448.4</v>
      </c>
      <c r="G29" s="4">
        <v>3.7050000000000001</v>
      </c>
      <c r="J29" s="4"/>
      <c r="K29" s="4">
        <v>503.9</v>
      </c>
      <c r="L29" s="4">
        <v>6.0919999999999996</v>
      </c>
    </row>
    <row r="30" spans="5:12">
      <c r="E30" s="4">
        <v>6</v>
      </c>
      <c r="F30" s="4">
        <v>400</v>
      </c>
      <c r="G30" s="4">
        <v>1.863</v>
      </c>
      <c r="J30" s="4">
        <v>6</v>
      </c>
      <c r="K30" s="4">
        <v>598.5</v>
      </c>
      <c r="L30" s="4">
        <v>5.6920000000000002</v>
      </c>
    </row>
    <row r="31" spans="5:12">
      <c r="E31" s="4"/>
      <c r="F31" s="4">
        <v>407.3</v>
      </c>
      <c r="G31" s="4">
        <v>1.661</v>
      </c>
      <c r="J31" s="4"/>
      <c r="K31" s="4">
        <v>598.4</v>
      </c>
      <c r="L31" s="4">
        <v>5.6219999999999999</v>
      </c>
    </row>
    <row r="32" spans="5:12">
      <c r="E32" s="4"/>
      <c r="F32" s="4">
        <v>408.3</v>
      </c>
      <c r="G32" s="4">
        <v>1.5680000000000001</v>
      </c>
      <c r="J32" s="4"/>
      <c r="K32" s="4">
        <v>586.9</v>
      </c>
      <c r="L32" s="4">
        <v>5.6230000000000002</v>
      </c>
    </row>
    <row r="33" spans="5:12">
      <c r="E33" s="4"/>
      <c r="F33" s="4">
        <v>405.2</v>
      </c>
      <c r="G33" s="4">
        <v>1.853</v>
      </c>
      <c r="J33" s="4"/>
      <c r="K33" s="4">
        <v>582.1</v>
      </c>
      <c r="L33" s="4">
        <v>5.7969999999999997</v>
      </c>
    </row>
    <row r="34" spans="5:12">
      <c r="E34" s="4"/>
      <c r="F34" s="4">
        <v>407.1</v>
      </c>
      <c r="G34" s="4">
        <v>1.4750000000000001</v>
      </c>
      <c r="J34" s="4"/>
      <c r="K34" s="4">
        <v>584.70000000000005</v>
      </c>
      <c r="L34" s="4">
        <v>5.7590000000000003</v>
      </c>
    </row>
    <row r="35" spans="5:12">
      <c r="E35" s="4">
        <v>7</v>
      </c>
      <c r="F35" s="4">
        <v>387.4</v>
      </c>
      <c r="G35" s="4">
        <v>3.8969999999999998</v>
      </c>
      <c r="J35" s="4">
        <v>7</v>
      </c>
      <c r="K35" s="4">
        <v>505.6</v>
      </c>
      <c r="L35" s="4">
        <v>4.7350000000000003</v>
      </c>
    </row>
    <row r="36" spans="5:12">
      <c r="E36" s="4"/>
      <c r="F36" s="4">
        <v>391.7</v>
      </c>
      <c r="G36" s="4">
        <v>3.7789999999999999</v>
      </c>
      <c r="J36" s="4"/>
      <c r="K36" s="4">
        <v>507.1</v>
      </c>
      <c r="L36" s="4">
        <v>4.7220000000000004</v>
      </c>
    </row>
    <row r="37" spans="5:12">
      <c r="E37" s="4"/>
      <c r="F37" s="4">
        <v>396</v>
      </c>
      <c r="G37" s="4">
        <v>3.8380000000000001</v>
      </c>
      <c r="J37" s="4"/>
      <c r="K37" s="4">
        <v>506.8</v>
      </c>
      <c r="L37" s="4">
        <v>4.7930000000000001</v>
      </c>
    </row>
    <row r="38" spans="5:12">
      <c r="E38" s="4"/>
      <c r="F38" s="4">
        <v>390.6</v>
      </c>
      <c r="G38" s="4">
        <v>3.7909999999999999</v>
      </c>
      <c r="J38" s="4"/>
      <c r="K38" s="4">
        <v>504.9</v>
      </c>
      <c r="L38" s="4">
        <v>4.5999999999999996</v>
      </c>
    </row>
    <row r="39" spans="5:12">
      <c r="E39" s="4"/>
      <c r="F39" s="4">
        <v>358.3</v>
      </c>
      <c r="G39" s="4">
        <v>3.8330000000000002</v>
      </c>
      <c r="J39" s="4"/>
      <c r="K39" s="4">
        <v>507.1</v>
      </c>
      <c r="L39" s="4">
        <v>4.7789999999999999</v>
      </c>
    </row>
    <row r="40" spans="5:12">
      <c r="E40" s="4">
        <v>8</v>
      </c>
      <c r="F40" s="4">
        <v>416</v>
      </c>
      <c r="G40" s="4">
        <v>3.0579999999999998</v>
      </c>
      <c r="J40" s="4">
        <v>8</v>
      </c>
      <c r="K40" s="4">
        <v>486.6</v>
      </c>
      <c r="L40" s="4">
        <v>5.2009999999999996</v>
      </c>
    </row>
    <row r="41" spans="5:12">
      <c r="E41" s="4"/>
      <c r="F41" s="4">
        <v>414.8</v>
      </c>
      <c r="G41" s="4">
        <v>2.93</v>
      </c>
      <c r="J41" s="4"/>
      <c r="K41" s="4">
        <v>487.2</v>
      </c>
      <c r="L41" s="4">
        <v>5.0179999999999998</v>
      </c>
    </row>
    <row r="42" spans="5:12">
      <c r="E42" s="4"/>
      <c r="F42" s="4">
        <v>415.9</v>
      </c>
      <c r="G42" s="4">
        <v>2.8820000000000001</v>
      </c>
      <c r="J42" s="4"/>
      <c r="K42" s="4">
        <v>486.4</v>
      </c>
      <c r="L42" s="4">
        <v>5.1689999999999996</v>
      </c>
    </row>
    <row r="43" spans="5:12">
      <c r="E43" s="4"/>
      <c r="F43" s="4">
        <v>422.9</v>
      </c>
      <c r="G43" s="4">
        <v>3.16</v>
      </c>
      <c r="J43" s="4"/>
      <c r="K43" s="4">
        <v>483.5</v>
      </c>
      <c r="L43" s="4">
        <v>5.1550000000000002</v>
      </c>
    </row>
    <row r="44" spans="5:12">
      <c r="E44" s="4"/>
      <c r="F44" s="4">
        <v>418</v>
      </c>
      <c r="G44" s="4">
        <v>3.0579999999999998</v>
      </c>
      <c r="J44" s="4"/>
      <c r="K44" s="4">
        <v>481.2</v>
      </c>
      <c r="L44" s="4">
        <v>5.3070000000000004</v>
      </c>
    </row>
    <row r="45" spans="5:12">
      <c r="E45" s="4">
        <v>9</v>
      </c>
      <c r="F45" s="4">
        <v>420.2</v>
      </c>
      <c r="G45" s="4">
        <v>2.8679999999999999</v>
      </c>
      <c r="J45" s="4">
        <v>9</v>
      </c>
      <c r="K45" s="4">
        <v>451.9</v>
      </c>
      <c r="L45" s="4">
        <v>3.9649999999999999</v>
      </c>
    </row>
    <row r="46" spans="5:12">
      <c r="E46" s="4"/>
      <c r="F46" s="4">
        <v>416.1</v>
      </c>
      <c r="G46" s="4">
        <v>3.1720000000000002</v>
      </c>
      <c r="J46" s="4"/>
      <c r="K46" s="4">
        <v>456.7</v>
      </c>
      <c r="L46" s="4">
        <v>3.4860000000000002</v>
      </c>
    </row>
    <row r="47" spans="5:12">
      <c r="E47" s="4"/>
      <c r="F47" s="4">
        <v>418.2</v>
      </c>
      <c r="G47" s="4">
        <v>3.2290000000000001</v>
      </c>
      <c r="J47" s="4"/>
      <c r="K47" s="4">
        <v>450.7</v>
      </c>
      <c r="L47" s="4">
        <v>4.3259999999999996</v>
      </c>
    </row>
    <row r="48" spans="5:12">
      <c r="E48" s="4"/>
      <c r="F48" s="4">
        <v>421.7</v>
      </c>
      <c r="G48" s="4">
        <v>2.98</v>
      </c>
      <c r="J48" s="4"/>
      <c r="K48" s="4">
        <v>455.3</v>
      </c>
      <c r="L48" s="4">
        <v>4.2220000000000004</v>
      </c>
    </row>
    <row r="49" spans="5:12">
      <c r="E49" s="4"/>
      <c r="F49" s="4">
        <v>415.2</v>
      </c>
      <c r="G49" s="4">
        <v>3.1829999999999998</v>
      </c>
      <c r="J49" s="4"/>
      <c r="K49" s="4">
        <v>448.5</v>
      </c>
      <c r="L49" s="4">
        <v>4.4020000000000001</v>
      </c>
    </row>
    <row r="50" spans="5:12">
      <c r="E50" s="4">
        <v>10</v>
      </c>
      <c r="F50" s="4">
        <v>402.5</v>
      </c>
      <c r="G50" s="4">
        <v>3.9089999999999998</v>
      </c>
      <c r="J50" s="4">
        <v>10</v>
      </c>
      <c r="K50" s="4">
        <v>444</v>
      </c>
      <c r="L50" s="4">
        <v>6.4729999999999999</v>
      </c>
    </row>
    <row r="51" spans="5:12">
      <c r="E51" s="4"/>
      <c r="F51" s="4">
        <v>399.7</v>
      </c>
      <c r="G51" s="4">
        <v>4.1020000000000003</v>
      </c>
      <c r="J51" s="4"/>
      <c r="K51" s="4">
        <v>441.6</v>
      </c>
      <c r="L51" s="4">
        <v>6.2430000000000003</v>
      </c>
    </row>
    <row r="52" spans="5:12">
      <c r="E52" s="4"/>
      <c r="F52" s="4">
        <v>403.4</v>
      </c>
      <c r="G52" s="4">
        <v>3.94</v>
      </c>
      <c r="J52" s="4"/>
      <c r="K52" s="4">
        <v>442.2</v>
      </c>
      <c r="L52" s="4">
        <v>6.5529999999999999</v>
      </c>
    </row>
    <row r="53" spans="5:12">
      <c r="E53" s="4"/>
      <c r="F53" s="4">
        <v>401.9</v>
      </c>
      <c r="G53" s="4">
        <v>3.8969999999999998</v>
      </c>
      <c r="J53" s="4"/>
      <c r="K53" s="4">
        <v>441.8</v>
      </c>
      <c r="L53" s="4">
        <v>6.8120000000000003</v>
      </c>
    </row>
    <row r="54" spans="5:12">
      <c r="E54" s="4"/>
      <c r="F54" s="4">
        <v>400.5</v>
      </c>
      <c r="G54" s="4">
        <v>3.972</v>
      </c>
      <c r="J54" s="4"/>
      <c r="K54" s="4">
        <v>443.1</v>
      </c>
      <c r="L54" s="4">
        <v>6.4729999999999999</v>
      </c>
    </row>
    <row r="55" spans="5:12">
      <c r="E55" s="4">
        <v>11</v>
      </c>
      <c r="F55" s="4">
        <v>418.5</v>
      </c>
      <c r="G55" s="4">
        <v>2.1669999999999998</v>
      </c>
      <c r="J55" s="4">
        <v>11</v>
      </c>
      <c r="K55" s="4">
        <v>424.3</v>
      </c>
      <c r="L55" s="4">
        <v>3.4289999999999998</v>
      </c>
    </row>
    <row r="56" spans="5:12">
      <c r="E56" s="4"/>
      <c r="F56" s="4">
        <v>409.6</v>
      </c>
      <c r="G56" s="4">
        <v>2.222</v>
      </c>
      <c r="J56" s="4"/>
      <c r="K56" s="4">
        <v>422.7</v>
      </c>
      <c r="L56" s="4">
        <v>3.407</v>
      </c>
    </row>
    <row r="57" spans="5:12">
      <c r="E57" s="4"/>
      <c r="F57" s="4">
        <v>415.5</v>
      </c>
      <c r="G57" s="4">
        <v>2.121</v>
      </c>
      <c r="J57" s="4"/>
      <c r="K57" s="4">
        <v>417.6</v>
      </c>
      <c r="L57" s="4">
        <v>3.3359999999999999</v>
      </c>
    </row>
    <row r="58" spans="5:12">
      <c r="E58" s="4"/>
      <c r="F58" s="4">
        <v>413.8</v>
      </c>
      <c r="G58" s="4">
        <v>1.9610000000000001</v>
      </c>
      <c r="J58" s="4"/>
      <c r="K58" s="4">
        <v>418.7</v>
      </c>
      <c r="L58" s="4">
        <v>3.6739999999999999</v>
      </c>
    </row>
    <row r="59" spans="5:12">
      <c r="E59" s="4"/>
      <c r="F59" s="4">
        <v>414.8</v>
      </c>
      <c r="G59" s="4">
        <v>2.21</v>
      </c>
      <c r="J59" s="4"/>
      <c r="K59" s="4">
        <v>428.3</v>
      </c>
      <c r="L59" s="4">
        <v>3.7839999999999998</v>
      </c>
    </row>
    <row r="60" spans="5:12">
      <c r="E60" s="4">
        <v>12</v>
      </c>
      <c r="F60" s="4">
        <v>399</v>
      </c>
      <c r="G60" s="4">
        <v>2.7549999999999999</v>
      </c>
      <c r="J60" s="4">
        <v>12</v>
      </c>
      <c r="K60" s="4">
        <v>431</v>
      </c>
      <c r="L60" s="4">
        <v>3.782</v>
      </c>
    </row>
    <row r="61" spans="5:12">
      <c r="E61" s="4"/>
      <c r="F61" s="4">
        <v>401.4</v>
      </c>
      <c r="G61" s="4">
        <v>2.8159999999999998</v>
      </c>
      <c r="J61" s="4"/>
      <c r="K61" s="4">
        <v>430.8</v>
      </c>
      <c r="L61" s="4">
        <v>3.4510000000000001</v>
      </c>
    </row>
    <row r="62" spans="5:12">
      <c r="E62" s="4"/>
      <c r="F62" s="4">
        <v>403.4</v>
      </c>
      <c r="G62" s="4">
        <v>2.3919999999999999</v>
      </c>
      <c r="J62" s="4"/>
      <c r="K62" s="4">
        <v>429.2</v>
      </c>
      <c r="L62" s="4">
        <v>3.6389999999999998</v>
      </c>
    </row>
    <row r="63" spans="5:12">
      <c r="E63" s="4"/>
      <c r="F63" s="4">
        <v>399</v>
      </c>
      <c r="G63" s="4">
        <v>2.6949999999999998</v>
      </c>
      <c r="J63" s="4"/>
      <c r="K63" s="4">
        <v>429</v>
      </c>
      <c r="L63" s="4">
        <v>3.7010000000000001</v>
      </c>
    </row>
    <row r="64" spans="5:12">
      <c r="E64" s="4"/>
      <c r="F64" s="4">
        <v>399.6</v>
      </c>
      <c r="G64" s="4">
        <v>2.5640000000000001</v>
      </c>
      <c r="J64" s="4"/>
      <c r="K64" s="4">
        <v>431.5</v>
      </c>
      <c r="L64" s="4">
        <v>3.2269999999999999</v>
      </c>
    </row>
    <row r="65" spans="5:12">
      <c r="E65" s="5"/>
      <c r="F65" s="5">
        <f t="shared" ref="F65:L65" si="0">AVERAGE(F5:F64)</f>
        <v>415.27166666666699</v>
      </c>
      <c r="G65" s="5">
        <f t="shared" si="0"/>
        <v>3.2065666666666699</v>
      </c>
      <c r="J65" s="5"/>
      <c r="K65" s="5">
        <f t="shared" si="0"/>
        <v>490.02</v>
      </c>
      <c r="L65" s="5">
        <f t="shared" si="0"/>
        <v>4.8567999999999998</v>
      </c>
    </row>
  </sheetData>
  <mergeCells count="2">
    <mergeCell ref="E3:G3"/>
    <mergeCell ref="J3:L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形貌</vt:lpstr>
      <vt:lpstr>力学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睿昱 王</cp:lastModifiedBy>
  <dcterms:created xsi:type="dcterms:W3CDTF">2025-11-07T17:35:00Z</dcterms:created>
  <dcterms:modified xsi:type="dcterms:W3CDTF">2025-11-20T07:07:59Z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317B5751526446818189FBE437F264D1_13</vt:lpwstr>
  </property>
</Properties>
</file>