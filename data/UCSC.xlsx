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79f07ce8b574d11/Desktop/code/data/"/>
    </mc:Choice>
  </mc:AlternateContent>
  <xr:revisionPtr revIDLastSave="5" documentId="13_ncr:1_{7D10B494-8432-4C22-8009-9663D780600D}" xr6:coauthVersionLast="47" xr6:coauthVersionMax="47" xr10:uidLastSave="{C871D35D-044F-4650-9487-CCD84E3440E2}"/>
  <bookViews>
    <workbookView xWindow="-108" yWindow="-108" windowWidth="30936" windowHeight="16776" xr2:uid="{00000000-000D-0000-FFFF-FFFF00000000}"/>
  </bookViews>
  <sheets>
    <sheet name="P4" sheetId="1" r:id="rId1"/>
    <sheet name="P6" sheetId="2" r:id="rId2"/>
    <sheet name="P8" sheetId="3" r:id="rId3"/>
    <sheet name="P10" sheetId="4" r:id="rId4"/>
    <sheet name="统计" sheetId="5" r:id="rId5"/>
    <sheet name="Sheet1" sheetId="6" r:id="rId6"/>
  </sheets>
  <calcPr calcId="191029"/>
</workbook>
</file>

<file path=xl/calcChain.xml><?xml version="1.0" encoding="utf-8"?>
<calcChain xmlns="http://schemas.openxmlformats.org/spreadsheetml/2006/main">
  <c r="D2002" i="2" l="1"/>
  <c r="D2002" i="3"/>
  <c r="D2002" i="4"/>
  <c r="D2002" i="1"/>
  <c r="T33" i="5"/>
  <c r="S33" i="5"/>
  <c r="R33" i="5"/>
  <c r="Q33" i="5"/>
  <c r="T32" i="5"/>
  <c r="S32" i="5"/>
  <c r="R32" i="5"/>
  <c r="Q32" i="5"/>
  <c r="I32" i="5"/>
  <c r="T31" i="5"/>
  <c r="S31" i="5"/>
  <c r="R31" i="5"/>
  <c r="Q31" i="5"/>
  <c r="I31" i="5"/>
  <c r="T30" i="5"/>
  <c r="S30" i="5"/>
  <c r="R30" i="5"/>
  <c r="Q30" i="5"/>
  <c r="I30" i="5"/>
  <c r="T27" i="5"/>
  <c r="S27" i="5"/>
  <c r="R27" i="5"/>
  <c r="Q27" i="5"/>
  <c r="T26" i="5"/>
  <c r="S26" i="5"/>
  <c r="R26" i="5"/>
  <c r="Q26" i="5"/>
  <c r="T25" i="5"/>
  <c r="S25" i="5"/>
  <c r="R25" i="5"/>
  <c r="Q25" i="5"/>
  <c r="T24" i="5"/>
  <c r="S24" i="5"/>
  <c r="R24" i="5"/>
  <c r="Q24" i="5"/>
  <c r="J24" i="5"/>
  <c r="T21" i="5"/>
  <c r="S21" i="5"/>
  <c r="R21" i="5"/>
  <c r="Q21" i="5"/>
  <c r="I21" i="5"/>
  <c r="T20" i="5"/>
  <c r="S20" i="5"/>
  <c r="R20" i="5"/>
  <c r="Q20" i="5"/>
  <c r="I20" i="5"/>
  <c r="T19" i="5"/>
  <c r="S19" i="5"/>
  <c r="R19" i="5"/>
  <c r="Q19" i="5"/>
  <c r="I19" i="5"/>
  <c r="T18" i="5"/>
  <c r="S18" i="5"/>
  <c r="R18" i="5"/>
  <c r="Q18" i="5"/>
  <c r="T15" i="5"/>
  <c r="S15" i="5"/>
  <c r="R15" i="5"/>
  <c r="Q15" i="5"/>
  <c r="I15" i="5"/>
  <c r="T14" i="5"/>
  <c r="S14" i="5"/>
  <c r="R14" i="5"/>
  <c r="Q14" i="5"/>
  <c r="I14" i="5"/>
  <c r="T13" i="5"/>
  <c r="S13" i="5"/>
  <c r="R13" i="5"/>
  <c r="Q13" i="5"/>
  <c r="I13" i="5"/>
  <c r="T12" i="5"/>
  <c r="S12" i="5"/>
  <c r="R12" i="5"/>
  <c r="Q12" i="5"/>
  <c r="T9" i="5"/>
  <c r="S9" i="5"/>
  <c r="R9" i="5"/>
  <c r="Q9" i="5"/>
  <c r="I9" i="5"/>
  <c r="T8" i="5"/>
  <c r="S8" i="5"/>
  <c r="R8" i="5"/>
  <c r="Q8" i="5"/>
  <c r="I8" i="5"/>
  <c r="T7" i="5"/>
  <c r="S7" i="5"/>
  <c r="R7" i="5"/>
  <c r="I7" i="5"/>
  <c r="T6" i="5"/>
  <c r="S6" i="5"/>
  <c r="R6" i="5"/>
  <c r="Q6" i="5"/>
  <c r="I2002" i="4"/>
  <c r="H2002" i="4"/>
  <c r="G2002" i="4"/>
  <c r="F2002" i="4"/>
  <c r="E2002" i="4"/>
  <c r="C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K361" i="4"/>
  <c r="I361" i="4"/>
  <c r="K360" i="4"/>
  <c r="I360" i="4"/>
  <c r="K359" i="4"/>
  <c r="I359" i="4"/>
  <c r="K358" i="4"/>
  <c r="I358" i="4"/>
  <c r="K357" i="4"/>
  <c r="I357" i="4"/>
  <c r="K356" i="4"/>
  <c r="I356" i="4"/>
  <c r="K355" i="4"/>
  <c r="I355" i="4"/>
  <c r="K354" i="4"/>
  <c r="I354" i="4"/>
  <c r="K353" i="4"/>
  <c r="I353" i="4"/>
  <c r="K352" i="4"/>
  <c r="I352" i="4"/>
  <c r="K351" i="4"/>
  <c r="I351" i="4"/>
  <c r="K350" i="4"/>
  <c r="I350" i="4"/>
  <c r="K349" i="4"/>
  <c r="I349" i="4"/>
  <c r="K348" i="4"/>
  <c r="I348" i="4"/>
  <c r="K347" i="4"/>
  <c r="I347" i="4"/>
  <c r="K346" i="4"/>
  <c r="I346" i="4"/>
  <c r="K345" i="4"/>
  <c r="I345" i="4"/>
  <c r="K344" i="4"/>
  <c r="I344" i="4"/>
  <c r="K343" i="4"/>
  <c r="I343" i="4"/>
  <c r="K342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2002" i="3"/>
  <c r="G2002" i="3"/>
  <c r="F2002" i="3"/>
  <c r="E2002" i="3"/>
  <c r="C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2002" i="2"/>
  <c r="G2002" i="2"/>
  <c r="F2002" i="2"/>
  <c r="E2002" i="2"/>
  <c r="C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2002" i="1"/>
  <c r="G2002" i="1"/>
  <c r="F2002" i="1"/>
  <c r="E2002" i="1"/>
  <c r="C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2002" i="1" s="1"/>
  <c r="I2002" i="3" l="1"/>
  <c r="I2002" i="2"/>
</calcChain>
</file>

<file path=xl/sharedStrings.xml><?xml version="1.0" encoding="utf-8"?>
<sst xmlns="http://schemas.openxmlformats.org/spreadsheetml/2006/main" count="136" uniqueCount="39">
  <si>
    <t>Num.</t>
  </si>
  <si>
    <r>
      <rPr>
        <sz val="14"/>
        <color theme="1"/>
        <rFont val="Times New Roman Regular"/>
        <family val="1"/>
      </rPr>
      <t>Height</t>
    </r>
    <r>
      <rPr>
        <sz val="14"/>
        <color theme="1"/>
        <rFont val="宋体-简"/>
        <charset val="134"/>
      </rPr>
      <t>（</t>
    </r>
    <r>
      <rPr>
        <sz val="14"/>
        <color theme="1"/>
        <rFont val="Times New Roman Regular"/>
        <family val="1"/>
      </rPr>
      <t xml:space="preserve"> um</t>
    </r>
    <r>
      <rPr>
        <sz val="14"/>
        <color theme="1"/>
        <rFont val="宋体-简"/>
        <charset val="134"/>
      </rPr>
      <t>）</t>
    </r>
  </si>
  <si>
    <r>
      <rPr>
        <sz val="14"/>
        <color theme="1"/>
        <rFont val="Times New Roman Regular"/>
        <family val="1"/>
      </rPr>
      <t xml:space="preserve">Roughness </t>
    </r>
    <r>
      <rPr>
        <sz val="14"/>
        <color theme="1"/>
        <rFont val="宋体-简"/>
        <charset val="134"/>
      </rPr>
      <t>（</t>
    </r>
    <r>
      <rPr>
        <sz val="14"/>
        <color theme="1"/>
        <rFont val="Times New Roman Regular"/>
        <family val="1"/>
      </rPr>
      <t>nm</t>
    </r>
    <r>
      <rPr>
        <sz val="14"/>
        <color theme="1"/>
        <rFont val="宋体-简"/>
        <charset val="134"/>
      </rPr>
      <t>）</t>
    </r>
  </si>
  <si>
    <t>Length</t>
  </si>
  <si>
    <t>Wideth</t>
  </si>
  <si>
    <t>Adhesion (pN)</t>
  </si>
  <si>
    <t>Elastic modulus</t>
  </si>
  <si>
    <t>Aspect Ratio</t>
  </si>
  <si>
    <t>平均值</t>
  </si>
  <si>
    <t>Aspect ratio</t>
  </si>
  <si>
    <t>AVE.</t>
  </si>
  <si>
    <t>Height</t>
  </si>
  <si>
    <t>Group</t>
  </si>
  <si>
    <t>&gt;3.5</t>
  </si>
  <si>
    <t>2.5-3.5</t>
  </si>
  <si>
    <t>2—2.5</t>
  </si>
  <si>
    <t>&lt;2</t>
  </si>
  <si>
    <t>P4</t>
  </si>
  <si>
    <t>P6</t>
  </si>
  <si>
    <t>P8</t>
  </si>
  <si>
    <t>P10</t>
  </si>
  <si>
    <t>&gt;4</t>
  </si>
  <si>
    <t>3—4</t>
  </si>
  <si>
    <t>2—3</t>
  </si>
  <si>
    <t>Roughness</t>
  </si>
  <si>
    <t>&gt;250</t>
  </si>
  <si>
    <t>200-250</t>
  </si>
  <si>
    <t>100—200</t>
  </si>
  <si>
    <t>&lt;100</t>
  </si>
  <si>
    <t>Adhesion</t>
  </si>
  <si>
    <t>&gt;600</t>
  </si>
  <si>
    <t>500-600</t>
  </si>
  <si>
    <t>400—500</t>
  </si>
  <si>
    <t>&lt;400</t>
  </si>
  <si>
    <t>Elasticmodulues</t>
  </si>
  <si>
    <t>&gt;10</t>
  </si>
  <si>
    <t>6-10</t>
  </si>
  <si>
    <t>4—6</t>
  </si>
  <si>
    <t>&lt;4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</si>
</sst>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 "/>
    <numFmt numFmtId="177" formatCode="0_ "/>
    <numFmt numFmtId="178" formatCode="0.000_ "/>
    <numFmt numFmtId="179" formatCode="0.0_ "/>
  </numFmts>
  <fonts count="8">
    <font>
      <sz val="11"/>
      <color theme="1"/>
      <name val="宋体"/>
      <charset val="134"/>
      <scheme val="minor"/>
    </font>
    <font>
      <sz val="11"/>
      <color theme="7"/>
      <name val="宋体"/>
      <charset val="134"/>
      <scheme val="minor"/>
    </font>
    <font>
      <sz val="16"/>
      <color theme="1"/>
      <name val="Times New Roman Regular"/>
      <family val="1"/>
    </font>
    <font>
      <sz val="14"/>
      <color theme="1"/>
      <name val="Times New Roman Regular"/>
      <family val="1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4"/>
      <color theme="1"/>
      <name val="宋体-简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1" fillId="0" borderId="0" xfId="0" applyFont="1">
      <alignment vertical="center"/>
    </xf>
    <xf numFmtId="58" fontId="0" fillId="3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5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9" fontId="0" fillId="5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9" fontId="0" fillId="4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178" fontId="0" fillId="7" borderId="0" xfId="0" applyNumberFormat="1" applyFill="1">
      <alignment vertical="center"/>
    </xf>
    <xf numFmtId="0" fontId="4" fillId="0" borderId="0" xfId="0" applyFont="1" applyAlignment="1">
      <alignment horizontal="left" vertical="center"/>
    </xf>
    <xf numFmtId="179" fontId="4" fillId="0" borderId="0" xfId="0" applyNumberFormat="1" applyFont="1" applyAlignment="1">
      <alignment horizontal="center" vertical="center"/>
    </xf>
    <xf numFmtId="0" fontId="0" fillId="4" borderId="0" xfId="0" applyFill="1">
      <alignment vertical="center"/>
    </xf>
    <xf numFmtId="0" fontId="4" fillId="4" borderId="0" xfId="0" applyFont="1" applyFill="1" applyAlignment="1">
      <alignment horizontal="left" vertical="center"/>
    </xf>
    <xf numFmtId="179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0" fillId="7" borderId="0" xfId="0" applyFill="1">
      <alignment vertical="center"/>
    </xf>
    <xf numFmtId="178" fontId="4" fillId="7" borderId="0" xfId="0" applyNumberFormat="1" applyFont="1" applyFill="1" applyAlignment="1">
      <alignment horizontal="left" vertical="center"/>
    </xf>
    <xf numFmtId="179" fontId="4" fillId="7" borderId="0" xfId="0" applyNumberFormat="1" applyFont="1" applyFill="1" applyAlignment="1">
      <alignment horizontal="center" vertical="center"/>
    </xf>
    <xf numFmtId="178" fontId="4" fillId="7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178" fontId="4" fillId="8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78" fontId="4" fillId="9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8" fontId="0" fillId="7" borderId="0" xfId="0" applyNumberFormat="1" applyFill="1" applyAlignment="1">
      <alignment horizontal="left" vertical="center"/>
    </xf>
    <xf numFmtId="179" fontId="0" fillId="7" borderId="0" xfId="0" applyNumberFormat="1" applyFill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13</xdr:row>
      <xdr:rowOff>152400</xdr:rowOff>
    </xdr:from>
    <xdr:to>
      <xdr:col>13</xdr:col>
      <xdr:colOff>170815</xdr:colOff>
      <xdr:row>16</xdr:row>
      <xdr:rowOff>123825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465945" y="2381250"/>
          <a:ext cx="977900" cy="485775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003"/>
  <sheetViews>
    <sheetView tabSelected="1" zoomScale="70" zoomScaleNormal="70" workbookViewId="0">
      <selection activeCell="P21" sqref="P21"/>
    </sheetView>
  </sheetViews>
  <sheetFormatPr defaultColWidth="9.21875" defaultRowHeight="14.4"/>
  <cols>
    <col min="2" max="2" width="14.5546875" style="3" customWidth="1"/>
    <col min="3" max="3" width="22.21875" style="46" customWidth="1"/>
    <col min="4" max="4" width="26" style="3" customWidth="1"/>
    <col min="5" max="6" width="15.5546875" style="3" customWidth="1"/>
    <col min="7" max="7" width="22.21875" style="3" customWidth="1"/>
    <col min="8" max="8" width="22" style="3" customWidth="1"/>
    <col min="9" max="9" width="22.109375" style="13" customWidth="1"/>
  </cols>
  <sheetData>
    <row r="1" spans="2:9" ht="21">
      <c r="B1" s="14" t="s">
        <v>0</v>
      </c>
      <c r="C1" s="54" t="s">
        <v>1</v>
      </c>
      <c r="D1" s="5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6">
        <v>1</v>
      </c>
      <c r="C2" s="47">
        <v>3.4289999999999998</v>
      </c>
      <c r="D2" s="18">
        <v>78.260000000000005</v>
      </c>
      <c r="E2" s="16">
        <v>69.680000000000007</v>
      </c>
      <c r="F2" s="16">
        <v>28.48</v>
      </c>
      <c r="G2" s="16">
        <v>452.9</v>
      </c>
      <c r="H2" s="16">
        <v>3.294</v>
      </c>
      <c r="I2" s="13">
        <f>E2/F2</f>
        <v>2.4466292134831464</v>
      </c>
    </row>
    <row r="3" spans="2:9">
      <c r="C3" s="46">
        <v>3.3719999999999999</v>
      </c>
      <c r="D3" s="3">
        <v>84.8</v>
      </c>
      <c r="E3" s="3">
        <v>69.81</v>
      </c>
      <c r="F3" s="3">
        <v>28.43</v>
      </c>
      <c r="G3" s="3">
        <v>452.5</v>
      </c>
      <c r="H3" s="3">
        <v>2.4529999999999998</v>
      </c>
      <c r="I3" s="13">
        <f t="shared" ref="I3:I21" si="0">E3/F3</f>
        <v>2.4555047485051005</v>
      </c>
    </row>
    <row r="4" spans="2:9">
      <c r="C4" s="46">
        <v>3.2970000000000002</v>
      </c>
      <c r="D4" s="3">
        <v>112.7</v>
      </c>
      <c r="E4" s="3">
        <v>69.459999999999994</v>
      </c>
      <c r="F4" s="3">
        <v>27.23</v>
      </c>
      <c r="G4" s="3">
        <v>454.8</v>
      </c>
      <c r="H4" s="3">
        <v>3.33</v>
      </c>
      <c r="I4" s="13">
        <f t="shared" si="0"/>
        <v>2.5508630187293422</v>
      </c>
    </row>
    <row r="5" spans="2:9">
      <c r="C5" s="46">
        <v>3.3980000000000001</v>
      </c>
      <c r="D5" s="3">
        <v>90.45</v>
      </c>
      <c r="E5" s="3">
        <v>69.959999999999994</v>
      </c>
      <c r="F5" s="3">
        <v>26.94</v>
      </c>
      <c r="G5" s="3">
        <v>453.2</v>
      </c>
      <c r="H5" s="3">
        <v>3.35</v>
      </c>
      <c r="I5" s="13">
        <f t="shared" si="0"/>
        <v>2.5968819599109128</v>
      </c>
    </row>
    <row r="6" spans="2:9">
      <c r="C6" s="46">
        <v>3.391</v>
      </c>
      <c r="D6" s="3">
        <v>76.28</v>
      </c>
      <c r="E6" s="3">
        <v>70.150000000000006</v>
      </c>
      <c r="F6" s="3">
        <v>26.08</v>
      </c>
      <c r="G6" s="3">
        <v>456.3</v>
      </c>
      <c r="H6" s="3">
        <v>3.04</v>
      </c>
      <c r="I6" s="13">
        <f t="shared" si="0"/>
        <v>2.6898006134969328</v>
      </c>
    </row>
    <row r="7" spans="2:9">
      <c r="C7" s="46">
        <v>3.43</v>
      </c>
      <c r="D7" s="3">
        <v>77.91</v>
      </c>
      <c r="E7" s="3">
        <v>69.72</v>
      </c>
      <c r="F7" s="3">
        <v>26.74</v>
      </c>
      <c r="G7" s="3">
        <v>454.9</v>
      </c>
      <c r="H7" s="3">
        <v>3.74</v>
      </c>
      <c r="I7" s="13">
        <f t="shared" si="0"/>
        <v>2.6073298429319371</v>
      </c>
    </row>
    <row r="8" spans="2:9">
      <c r="C8" s="46">
        <v>3.4159999999999999</v>
      </c>
      <c r="D8" s="3">
        <v>84.8</v>
      </c>
      <c r="E8" s="3">
        <v>69.84</v>
      </c>
      <c r="F8" s="3">
        <v>27.07</v>
      </c>
      <c r="G8" s="3">
        <v>453.9</v>
      </c>
      <c r="H8" s="3">
        <v>3.04</v>
      </c>
      <c r="I8" s="13">
        <f t="shared" si="0"/>
        <v>2.5799778352419653</v>
      </c>
    </row>
    <row r="9" spans="2:9">
      <c r="C9" s="46">
        <v>3.41</v>
      </c>
      <c r="D9" s="3">
        <v>121.1</v>
      </c>
      <c r="E9" s="3">
        <v>70.260000000000005</v>
      </c>
      <c r="F9" s="3">
        <v>27.96</v>
      </c>
      <c r="G9" s="3">
        <v>456.7</v>
      </c>
      <c r="H9" s="3">
        <v>3</v>
      </c>
      <c r="I9" s="13">
        <f t="shared" si="0"/>
        <v>2.5128755364806867</v>
      </c>
    </row>
    <row r="10" spans="2:9">
      <c r="C10" s="46">
        <v>3.3410000000000002</v>
      </c>
      <c r="D10" s="3">
        <v>92.92</v>
      </c>
      <c r="E10" s="3">
        <v>70.040000000000006</v>
      </c>
      <c r="F10" s="3">
        <v>27.66</v>
      </c>
      <c r="G10" s="3">
        <v>452.5</v>
      </c>
      <c r="H10" s="3">
        <v>2.77</v>
      </c>
      <c r="I10" s="13">
        <f t="shared" si="0"/>
        <v>2.532176428054953</v>
      </c>
    </row>
    <row r="11" spans="2:9">
      <c r="C11" s="46">
        <v>3.2949999999999999</v>
      </c>
      <c r="D11" s="3">
        <v>78.63</v>
      </c>
      <c r="E11" s="3">
        <v>69.58</v>
      </c>
      <c r="F11" s="3">
        <v>26.29</v>
      </c>
      <c r="G11" s="3">
        <v>453.9</v>
      </c>
      <c r="H11" s="3">
        <v>3.08</v>
      </c>
      <c r="I11" s="13">
        <f t="shared" si="0"/>
        <v>2.6466337010270067</v>
      </c>
    </row>
    <row r="12" spans="2:9">
      <c r="C12" s="46">
        <v>3.3879999999999999</v>
      </c>
      <c r="D12" s="3">
        <v>102.7</v>
      </c>
      <c r="E12" s="3">
        <v>69.3</v>
      </c>
      <c r="F12" s="3">
        <v>28.27</v>
      </c>
      <c r="G12" s="3">
        <v>455</v>
      </c>
      <c r="H12" s="3">
        <v>2.76</v>
      </c>
      <c r="I12" s="13">
        <f t="shared" si="0"/>
        <v>2.4513618677042799</v>
      </c>
    </row>
    <row r="13" spans="2:9">
      <c r="C13" s="46">
        <v>3.3980000000000001</v>
      </c>
      <c r="D13" s="3">
        <v>103</v>
      </c>
      <c r="E13" s="3">
        <v>69.06</v>
      </c>
      <c r="F13" s="3">
        <v>28.22</v>
      </c>
      <c r="G13" s="3">
        <v>460.9</v>
      </c>
      <c r="H13" s="3">
        <v>2.62</v>
      </c>
      <c r="I13" s="13">
        <f t="shared" si="0"/>
        <v>2.4472005669737777</v>
      </c>
    </row>
    <row r="14" spans="2:9">
      <c r="C14" s="46">
        <v>3.43</v>
      </c>
      <c r="D14" s="3">
        <v>107.1</v>
      </c>
      <c r="E14" s="3">
        <v>68.94</v>
      </c>
      <c r="F14" s="3">
        <v>28.62</v>
      </c>
      <c r="G14" s="3">
        <v>464.2</v>
      </c>
      <c r="H14" s="3">
        <v>3.1</v>
      </c>
      <c r="I14" s="13">
        <f t="shared" si="0"/>
        <v>2.4088050314465406</v>
      </c>
    </row>
    <row r="15" spans="2:9">
      <c r="C15" s="46">
        <v>3.427</v>
      </c>
      <c r="D15" s="3">
        <v>154.69999999999999</v>
      </c>
      <c r="E15" s="3">
        <v>69</v>
      </c>
      <c r="F15" s="3">
        <v>28.6</v>
      </c>
      <c r="G15" s="3">
        <v>454.1</v>
      </c>
      <c r="H15" s="3">
        <v>3.68</v>
      </c>
      <c r="I15" s="13">
        <f t="shared" si="0"/>
        <v>2.4125874125874125</v>
      </c>
    </row>
    <row r="16" spans="2:9">
      <c r="C16" s="46">
        <v>3.3479999999999999</v>
      </c>
      <c r="D16" s="3">
        <v>105.5</v>
      </c>
      <c r="E16" s="3">
        <v>69.27</v>
      </c>
      <c r="F16" s="3">
        <v>28.76</v>
      </c>
      <c r="G16" s="3">
        <v>454.9</v>
      </c>
      <c r="H16" s="3">
        <v>3.69</v>
      </c>
      <c r="I16" s="13">
        <f t="shared" si="0"/>
        <v>2.4085535465924894</v>
      </c>
    </row>
    <row r="17" spans="2:9">
      <c r="C17" s="46">
        <v>3.415</v>
      </c>
      <c r="D17" s="3">
        <v>105.1</v>
      </c>
      <c r="E17" s="3">
        <v>70.430000000000007</v>
      </c>
      <c r="F17" s="3">
        <v>27.68</v>
      </c>
      <c r="G17" s="3">
        <v>462.7</v>
      </c>
      <c r="H17" s="3">
        <v>2.77</v>
      </c>
      <c r="I17" s="13">
        <f t="shared" si="0"/>
        <v>2.5444364161849715</v>
      </c>
    </row>
    <row r="18" spans="2:9">
      <c r="C18" s="46">
        <v>3.4159999999999999</v>
      </c>
      <c r="D18" s="3">
        <v>99.34</v>
      </c>
      <c r="E18" s="3">
        <v>69.97</v>
      </c>
      <c r="F18" s="3">
        <v>28.1</v>
      </c>
      <c r="G18" s="3">
        <v>474.4</v>
      </c>
      <c r="H18" s="3">
        <v>3</v>
      </c>
      <c r="I18" s="13">
        <f t="shared" si="0"/>
        <v>2.4900355871886117</v>
      </c>
    </row>
    <row r="19" spans="2:9">
      <c r="C19" s="46">
        <v>3.427</v>
      </c>
      <c r="D19" s="3">
        <v>115.7</v>
      </c>
      <c r="E19" s="3">
        <v>68.88</v>
      </c>
      <c r="F19" s="3">
        <v>27.67</v>
      </c>
      <c r="G19" s="3">
        <v>458.2</v>
      </c>
      <c r="H19" s="3">
        <v>3.38</v>
      </c>
      <c r="I19" s="13">
        <f t="shared" si="0"/>
        <v>2.4893386338995298</v>
      </c>
    </row>
    <row r="20" spans="2:9">
      <c r="C20" s="46">
        <v>3.41</v>
      </c>
      <c r="D20" s="3">
        <v>92.14</v>
      </c>
      <c r="E20" s="3">
        <v>69.099999999999994</v>
      </c>
      <c r="F20" s="3">
        <v>27.01</v>
      </c>
      <c r="G20" s="3">
        <v>465.6</v>
      </c>
      <c r="H20" s="3">
        <v>3.64</v>
      </c>
      <c r="I20" s="13">
        <f t="shared" si="0"/>
        <v>2.5583117363939278</v>
      </c>
    </row>
    <row r="21" spans="2:9">
      <c r="C21" s="46">
        <v>3.427</v>
      </c>
      <c r="D21" s="3">
        <v>123.4</v>
      </c>
      <c r="E21" s="3">
        <v>68.930000000000007</v>
      </c>
      <c r="F21" s="3">
        <v>27.6</v>
      </c>
      <c r="G21" s="3">
        <v>463.5</v>
      </c>
      <c r="H21" s="3">
        <v>3.35</v>
      </c>
      <c r="I21" s="13">
        <f t="shared" si="0"/>
        <v>2.4974637681159422</v>
      </c>
    </row>
    <row r="22" spans="2:9">
      <c r="B22" s="16">
        <v>2</v>
      </c>
      <c r="C22" s="47">
        <v>3.3210000000000002</v>
      </c>
      <c r="D22" s="18">
        <v>100.2</v>
      </c>
      <c r="E22" s="16">
        <v>102.7</v>
      </c>
      <c r="F22" s="16">
        <v>24.82</v>
      </c>
      <c r="G22" s="16">
        <v>514.6</v>
      </c>
      <c r="H22" s="16">
        <v>3.0470000000000002</v>
      </c>
      <c r="I22" s="13">
        <f t="shared" ref="I22:I85" si="1">E22/F22</f>
        <v>4.137792103142627</v>
      </c>
    </row>
    <row r="23" spans="2:9">
      <c r="C23" s="46">
        <v>3.3410000000000002</v>
      </c>
      <c r="D23" s="3">
        <v>123.8</v>
      </c>
      <c r="E23" s="3">
        <v>102.3</v>
      </c>
      <c r="F23" s="3">
        <v>24.95</v>
      </c>
      <c r="G23" s="3">
        <v>526.1</v>
      </c>
      <c r="H23" s="3">
        <v>3.0259999999999998</v>
      </c>
      <c r="I23" s="13">
        <f t="shared" si="1"/>
        <v>4.1002004008016035</v>
      </c>
    </row>
    <row r="24" spans="2:9">
      <c r="C24" s="46">
        <v>3.395</v>
      </c>
      <c r="D24" s="3">
        <v>126.4</v>
      </c>
      <c r="E24" s="3">
        <v>101.9</v>
      </c>
      <c r="F24" s="3">
        <v>24.34</v>
      </c>
      <c r="G24" s="3">
        <v>515.79999999999995</v>
      </c>
      <c r="H24" s="3">
        <v>3.1539999999999999</v>
      </c>
      <c r="I24" s="13">
        <f t="shared" si="1"/>
        <v>4.1865242399342648</v>
      </c>
    </row>
    <row r="25" spans="2:9">
      <c r="C25" s="46">
        <v>3.3519999999999999</v>
      </c>
      <c r="D25" s="3">
        <v>131.5</v>
      </c>
      <c r="E25" s="3">
        <v>102.5</v>
      </c>
      <c r="F25" s="3">
        <v>24.21</v>
      </c>
      <c r="G25" s="3">
        <v>520.9</v>
      </c>
      <c r="H25" s="3">
        <v>3.1269999999999998</v>
      </c>
      <c r="I25" s="13">
        <f t="shared" si="1"/>
        <v>4.2337876910367616</v>
      </c>
    </row>
    <row r="26" spans="2:9">
      <c r="C26" s="46">
        <v>3.3410000000000002</v>
      </c>
      <c r="D26" s="3">
        <v>121</v>
      </c>
      <c r="E26" s="3">
        <v>102.3</v>
      </c>
      <c r="F26" s="3">
        <v>24.39</v>
      </c>
      <c r="G26" s="3">
        <v>515.4</v>
      </c>
      <c r="H26" s="3">
        <v>3.1</v>
      </c>
      <c r="I26" s="13">
        <f t="shared" si="1"/>
        <v>4.1943419434194338</v>
      </c>
    </row>
    <row r="27" spans="2:9">
      <c r="C27" s="46">
        <v>3.4009999999999998</v>
      </c>
      <c r="D27" s="3">
        <v>136.9</v>
      </c>
      <c r="E27" s="3">
        <v>102.1</v>
      </c>
      <c r="F27" s="3">
        <v>24.78</v>
      </c>
      <c r="G27" s="3">
        <v>512.4</v>
      </c>
      <c r="H27" s="3">
        <v>3.024</v>
      </c>
      <c r="I27" s="13">
        <f t="shared" si="1"/>
        <v>4.1202582728006449</v>
      </c>
    </row>
    <row r="28" spans="2:9">
      <c r="C28" s="46">
        <v>3.3250000000000002</v>
      </c>
      <c r="D28" s="3">
        <v>156.1</v>
      </c>
      <c r="E28" s="3">
        <v>100.3</v>
      </c>
      <c r="F28" s="3">
        <v>24.47</v>
      </c>
      <c r="G28" s="3">
        <v>528.70000000000005</v>
      </c>
      <c r="H28" s="3">
        <v>2.9580000000000002</v>
      </c>
      <c r="I28" s="13">
        <f t="shared" si="1"/>
        <v>4.0988966080915405</v>
      </c>
    </row>
    <row r="29" spans="2:9">
      <c r="C29" s="46">
        <v>3.3210000000000002</v>
      </c>
      <c r="D29" s="3">
        <v>131.5</v>
      </c>
      <c r="E29" s="3">
        <v>100.8</v>
      </c>
      <c r="F29" s="3">
        <v>24.77</v>
      </c>
      <c r="G29" s="3">
        <v>525.4</v>
      </c>
      <c r="H29" s="3">
        <v>2.9969999999999999</v>
      </c>
      <c r="I29" s="13">
        <f t="shared" si="1"/>
        <v>4.0694388373031893</v>
      </c>
    </row>
    <row r="30" spans="2:9">
      <c r="C30" s="46">
        <v>3.2839999999999998</v>
      </c>
      <c r="D30" s="3">
        <v>112</v>
      </c>
      <c r="E30" s="3">
        <v>101.6</v>
      </c>
      <c r="F30" s="3">
        <v>24.64</v>
      </c>
      <c r="G30" s="3">
        <v>505.9</v>
      </c>
      <c r="H30" s="3">
        <v>2.9870000000000001</v>
      </c>
      <c r="I30" s="13">
        <f t="shared" si="1"/>
        <v>4.1233766233766227</v>
      </c>
    </row>
    <row r="31" spans="2:9">
      <c r="C31" s="46">
        <v>3.3460000000000001</v>
      </c>
      <c r="D31" s="3">
        <v>107.2</v>
      </c>
      <c r="E31" s="3">
        <v>103.6</v>
      </c>
      <c r="F31" s="3">
        <v>24.21</v>
      </c>
      <c r="G31" s="3">
        <v>507.8</v>
      </c>
      <c r="H31" s="3">
        <v>3.0590000000000002</v>
      </c>
      <c r="I31" s="13">
        <f t="shared" si="1"/>
        <v>4.279223461379595</v>
      </c>
    </row>
    <row r="32" spans="2:9">
      <c r="C32" s="46">
        <v>3.3210000000000002</v>
      </c>
      <c r="D32" s="3">
        <v>124.8</v>
      </c>
      <c r="E32" s="3">
        <v>102.8</v>
      </c>
      <c r="F32" s="3">
        <v>24.47</v>
      </c>
      <c r="G32" s="3">
        <v>531.4</v>
      </c>
      <c r="H32" s="3">
        <v>3.105</v>
      </c>
      <c r="I32" s="13">
        <f t="shared" si="1"/>
        <v>4.2010625255414791</v>
      </c>
    </row>
    <row r="33" spans="2:9">
      <c r="C33" s="46">
        <v>3.2530000000000001</v>
      </c>
      <c r="D33" s="3">
        <v>141.4</v>
      </c>
      <c r="E33" s="3">
        <v>103.4</v>
      </c>
      <c r="F33" s="3">
        <v>24.39</v>
      </c>
      <c r="G33" s="3">
        <v>511.7</v>
      </c>
      <c r="H33" s="3">
        <v>3.1749999999999998</v>
      </c>
      <c r="I33" s="13">
        <f t="shared" si="1"/>
        <v>4.2394423944239445</v>
      </c>
    </row>
    <row r="34" spans="2:9">
      <c r="C34" s="46">
        <v>3.2719999999999998</v>
      </c>
      <c r="D34" s="3">
        <v>123.4</v>
      </c>
      <c r="E34" s="3">
        <v>102.4</v>
      </c>
      <c r="F34" s="3">
        <v>34.31</v>
      </c>
      <c r="G34" s="3">
        <v>532.5</v>
      </c>
      <c r="H34" s="3">
        <v>3.137</v>
      </c>
      <c r="I34" s="13">
        <f t="shared" si="1"/>
        <v>2.9845526085689302</v>
      </c>
    </row>
    <row r="35" spans="2:9">
      <c r="C35" s="46">
        <v>3.3460000000000001</v>
      </c>
      <c r="D35" s="3">
        <v>115.6</v>
      </c>
      <c r="E35" s="3">
        <v>102.8</v>
      </c>
      <c r="F35" s="3">
        <v>24.03</v>
      </c>
      <c r="G35" s="3">
        <v>516.79999999999995</v>
      </c>
      <c r="H35" s="3">
        <v>2.8929999999999998</v>
      </c>
      <c r="I35" s="13">
        <f t="shared" si="1"/>
        <v>4.277985851019559</v>
      </c>
    </row>
    <row r="36" spans="2:9">
      <c r="C36" s="46">
        <v>3.4060000000000001</v>
      </c>
      <c r="D36" s="3">
        <v>115.9</v>
      </c>
      <c r="E36" s="3">
        <v>103</v>
      </c>
      <c r="F36" s="3">
        <v>24.34</v>
      </c>
      <c r="G36" s="3">
        <v>517.6</v>
      </c>
      <c r="H36" s="3">
        <v>2.9870000000000001</v>
      </c>
      <c r="I36" s="13">
        <f t="shared" si="1"/>
        <v>4.2317173377156942</v>
      </c>
    </row>
    <row r="37" spans="2:9">
      <c r="C37" s="46">
        <v>3.395</v>
      </c>
      <c r="D37" s="3">
        <v>94.2</v>
      </c>
      <c r="E37" s="3">
        <v>101.4</v>
      </c>
      <c r="F37" s="3">
        <v>24.15</v>
      </c>
      <c r="G37" s="3">
        <v>515.79999999999995</v>
      </c>
      <c r="H37" s="3">
        <v>2.9969999999999999</v>
      </c>
      <c r="I37" s="13">
        <f t="shared" si="1"/>
        <v>4.1987577639751557</v>
      </c>
    </row>
    <row r="38" spans="2:9">
      <c r="C38" s="46">
        <v>3.3759999999999999</v>
      </c>
      <c r="D38" s="3">
        <v>144.80000000000001</v>
      </c>
      <c r="E38" s="3">
        <v>101.8</v>
      </c>
      <c r="F38" s="3">
        <v>24.45</v>
      </c>
      <c r="G38" s="3">
        <v>501.5</v>
      </c>
      <c r="H38" s="3">
        <v>2.827</v>
      </c>
      <c r="I38" s="13">
        <f t="shared" si="1"/>
        <v>4.1635991820040896</v>
      </c>
    </row>
    <row r="39" spans="2:9">
      <c r="C39" s="46">
        <v>3.2530000000000001</v>
      </c>
      <c r="D39" s="3">
        <v>115.9</v>
      </c>
      <c r="E39" s="3">
        <v>102.6</v>
      </c>
      <c r="F39" s="3">
        <v>24.75</v>
      </c>
      <c r="G39" s="3">
        <v>512.1</v>
      </c>
      <c r="H39" s="3">
        <v>3.1179999999999999</v>
      </c>
      <c r="I39" s="13">
        <f t="shared" si="1"/>
        <v>4.1454545454545455</v>
      </c>
    </row>
    <row r="40" spans="2:9">
      <c r="C40" s="46">
        <v>3.2080000000000002</v>
      </c>
      <c r="D40" s="3">
        <v>131.1</v>
      </c>
      <c r="E40" s="3">
        <v>101.6</v>
      </c>
      <c r="F40" s="3">
        <v>24.03</v>
      </c>
      <c r="G40" s="3">
        <v>535.20000000000005</v>
      </c>
      <c r="H40" s="3">
        <v>3.0720000000000001</v>
      </c>
      <c r="I40" s="13">
        <f t="shared" si="1"/>
        <v>4.2280482729920932</v>
      </c>
    </row>
    <row r="41" spans="2:9">
      <c r="C41" s="46">
        <v>3.1269999999999998</v>
      </c>
      <c r="D41" s="3">
        <v>107.2</v>
      </c>
      <c r="E41" s="3">
        <v>102.1</v>
      </c>
      <c r="F41" s="3">
        <v>24.77</v>
      </c>
      <c r="G41" s="3">
        <v>506.2</v>
      </c>
      <c r="H41" s="3">
        <v>3.0579999999999998</v>
      </c>
      <c r="I41" s="13">
        <f t="shared" si="1"/>
        <v>4.1219216794509483</v>
      </c>
    </row>
    <row r="42" spans="2:9">
      <c r="B42" s="16">
        <v>3</v>
      </c>
      <c r="C42" s="47">
        <v>2.3199999999999998</v>
      </c>
      <c r="D42" s="18">
        <v>111.3</v>
      </c>
      <c r="E42" s="16">
        <v>96.54</v>
      </c>
      <c r="F42" s="16">
        <v>36.020000000000003</v>
      </c>
      <c r="G42" s="16">
        <v>517.1</v>
      </c>
      <c r="H42" s="16">
        <v>2.6230000000000002</v>
      </c>
      <c r="I42" s="13">
        <f t="shared" si="1"/>
        <v>2.6801776790671847</v>
      </c>
    </row>
    <row r="43" spans="2:9">
      <c r="C43" s="46">
        <v>2.2589999999999999</v>
      </c>
      <c r="D43" s="3">
        <v>141.6</v>
      </c>
      <c r="E43" s="3">
        <v>96.68</v>
      </c>
      <c r="F43" s="3">
        <v>35.85</v>
      </c>
      <c r="G43" s="3">
        <v>507.1</v>
      </c>
      <c r="H43" s="3">
        <v>2.8559999999999999</v>
      </c>
      <c r="I43" s="13">
        <f t="shared" si="1"/>
        <v>2.6967921896792189</v>
      </c>
    </row>
    <row r="44" spans="2:9">
      <c r="C44" s="46">
        <v>2.2570000000000001</v>
      </c>
      <c r="D44" s="3">
        <v>124.4</v>
      </c>
      <c r="E44" s="3">
        <v>97.14</v>
      </c>
      <c r="F44" s="3">
        <v>36.14</v>
      </c>
      <c r="G44" s="3">
        <v>515.5</v>
      </c>
      <c r="H44" s="3">
        <v>1.99</v>
      </c>
      <c r="I44" s="13">
        <f t="shared" si="1"/>
        <v>2.6878804648588819</v>
      </c>
    </row>
    <row r="45" spans="2:9">
      <c r="C45" s="46">
        <v>2.3090000000000002</v>
      </c>
      <c r="D45" s="3">
        <v>114.1</v>
      </c>
      <c r="E45" s="3">
        <v>96.92</v>
      </c>
      <c r="F45" s="3">
        <v>35.880000000000003</v>
      </c>
      <c r="G45" s="3">
        <v>522</v>
      </c>
      <c r="H45" s="3">
        <v>2.3530000000000002</v>
      </c>
      <c r="I45" s="13">
        <f t="shared" si="1"/>
        <v>2.701226309921962</v>
      </c>
    </row>
    <row r="46" spans="2:9">
      <c r="C46" s="46">
        <v>2.282</v>
      </c>
      <c r="D46" s="3">
        <v>111.3</v>
      </c>
      <c r="E46" s="3">
        <v>96.69</v>
      </c>
      <c r="F46" s="3">
        <v>35.729999999999997</v>
      </c>
      <c r="G46" s="3">
        <v>509.7</v>
      </c>
      <c r="H46" s="3">
        <v>2.5009999999999999</v>
      </c>
      <c r="I46" s="13">
        <f t="shared" si="1"/>
        <v>2.7061293031066334</v>
      </c>
    </row>
    <row r="47" spans="2:9">
      <c r="C47" s="46">
        <v>2.278</v>
      </c>
      <c r="D47" s="3">
        <v>132.19999999999999</v>
      </c>
      <c r="E47" s="3">
        <v>96.47</v>
      </c>
      <c r="F47" s="3">
        <v>35.270000000000003</v>
      </c>
      <c r="G47" s="3">
        <v>509.8</v>
      </c>
      <c r="H47" s="3">
        <v>2.327</v>
      </c>
      <c r="I47" s="13">
        <f t="shared" si="1"/>
        <v>2.7351857102353274</v>
      </c>
    </row>
    <row r="48" spans="2:9">
      <c r="C48" s="46">
        <v>2.3239999999999998</v>
      </c>
      <c r="D48" s="3">
        <v>147.19999999999999</v>
      </c>
      <c r="E48" s="3">
        <v>96.47</v>
      </c>
      <c r="F48" s="3">
        <v>35.78</v>
      </c>
      <c r="G48" s="3">
        <v>512.20000000000005</v>
      </c>
      <c r="H48" s="3">
        <v>1.859</v>
      </c>
      <c r="I48" s="13">
        <f t="shared" si="1"/>
        <v>2.6961989938513136</v>
      </c>
    </row>
    <row r="49" spans="2:9">
      <c r="C49" s="46">
        <v>2.3250000000000002</v>
      </c>
      <c r="D49" s="3">
        <v>124.6</v>
      </c>
      <c r="E49" s="3">
        <v>96.45</v>
      </c>
      <c r="F49" s="3">
        <v>36.67</v>
      </c>
      <c r="G49" s="3">
        <v>518.5</v>
      </c>
      <c r="H49" s="3">
        <v>2.1040000000000001</v>
      </c>
      <c r="I49" s="13">
        <f t="shared" si="1"/>
        <v>2.6302154349604581</v>
      </c>
    </row>
    <row r="50" spans="2:9">
      <c r="C50" s="46">
        <v>2.3199999999999998</v>
      </c>
      <c r="D50" s="3">
        <v>142.19999999999999</v>
      </c>
      <c r="E50" s="3">
        <v>96.44</v>
      </c>
      <c r="F50" s="3">
        <v>37.200000000000003</v>
      </c>
      <c r="G50" s="3">
        <v>522.4</v>
      </c>
      <c r="H50" s="3">
        <v>2.3530000000000002</v>
      </c>
      <c r="I50" s="13">
        <f t="shared" si="1"/>
        <v>2.5924731182795697</v>
      </c>
    </row>
    <row r="51" spans="2:9">
      <c r="C51" s="46">
        <v>2.3090000000000002</v>
      </c>
      <c r="D51" s="3">
        <v>120.2</v>
      </c>
      <c r="E51" s="3">
        <v>96.22</v>
      </c>
      <c r="F51" s="3">
        <v>36.54</v>
      </c>
      <c r="G51" s="3">
        <v>526</v>
      </c>
      <c r="H51" s="3">
        <v>2.2759999999999998</v>
      </c>
      <c r="I51" s="13">
        <f t="shared" si="1"/>
        <v>2.6332785987958403</v>
      </c>
    </row>
    <row r="52" spans="2:9">
      <c r="C52" s="46">
        <v>2.3250000000000002</v>
      </c>
      <c r="D52" s="3">
        <v>135.1</v>
      </c>
      <c r="E52" s="3">
        <v>96.71</v>
      </c>
      <c r="F52" s="3">
        <v>36.81</v>
      </c>
      <c r="G52" s="3">
        <v>528.29999999999995</v>
      </c>
      <c r="H52" s="3">
        <v>2.375</v>
      </c>
      <c r="I52" s="13">
        <f t="shared" si="1"/>
        <v>2.6272751969573482</v>
      </c>
    </row>
    <row r="53" spans="2:9">
      <c r="C53" s="46">
        <v>2.3050000000000002</v>
      </c>
      <c r="D53" s="3">
        <v>121.2</v>
      </c>
      <c r="E53" s="3">
        <v>96.94</v>
      </c>
      <c r="F53" s="3">
        <v>36.24</v>
      </c>
      <c r="G53" s="3">
        <v>531.1</v>
      </c>
      <c r="H53" s="3">
        <v>2.6829999999999998</v>
      </c>
      <c r="I53" s="13">
        <f t="shared" si="1"/>
        <v>2.6749448123620305</v>
      </c>
    </row>
    <row r="54" spans="2:9">
      <c r="C54" s="46">
        <v>2.3239999999999998</v>
      </c>
      <c r="D54" s="3">
        <v>124.6</v>
      </c>
      <c r="E54" s="3">
        <v>95.04</v>
      </c>
      <c r="F54" s="3">
        <v>36.33</v>
      </c>
      <c r="G54" s="3">
        <v>515.29999999999995</v>
      </c>
      <c r="H54" s="3">
        <v>2.1629999999999998</v>
      </c>
      <c r="I54" s="13">
        <f t="shared" si="1"/>
        <v>2.6160198183319574</v>
      </c>
    </row>
    <row r="55" spans="2:9">
      <c r="C55" s="46">
        <v>2.302</v>
      </c>
      <c r="D55" s="3">
        <v>106.8</v>
      </c>
      <c r="E55" s="3">
        <v>95.98</v>
      </c>
      <c r="F55" s="3">
        <v>35.880000000000003</v>
      </c>
      <c r="G55" s="3">
        <v>508.9</v>
      </c>
      <c r="H55" s="3">
        <v>2.161</v>
      </c>
      <c r="I55" s="13">
        <f t="shared" si="1"/>
        <v>2.6750278706800446</v>
      </c>
    </row>
    <row r="56" spans="2:9">
      <c r="C56" s="46">
        <v>2.3090000000000002</v>
      </c>
      <c r="D56" s="3">
        <v>108.8</v>
      </c>
      <c r="E56" s="3">
        <v>95.48</v>
      </c>
      <c r="F56" s="3">
        <v>35.619999999999997</v>
      </c>
      <c r="G56" s="3">
        <v>539.4</v>
      </c>
      <c r="H56" s="3">
        <v>2.2730000000000001</v>
      </c>
      <c r="I56" s="13">
        <f t="shared" si="1"/>
        <v>2.6805165637282427</v>
      </c>
    </row>
    <row r="57" spans="2:9">
      <c r="C57" s="46">
        <v>2.2280000000000002</v>
      </c>
      <c r="D57" s="3">
        <v>109.6</v>
      </c>
      <c r="E57" s="3">
        <v>95.49</v>
      </c>
      <c r="F57" s="3">
        <v>36.64</v>
      </c>
      <c r="G57" s="3">
        <v>525.79999999999995</v>
      </c>
      <c r="H57" s="3">
        <v>2.3580000000000001</v>
      </c>
      <c r="I57" s="13">
        <f t="shared" si="1"/>
        <v>2.6061681222707422</v>
      </c>
    </row>
    <row r="58" spans="2:9">
      <c r="C58" s="46">
        <v>2.2559999999999998</v>
      </c>
      <c r="D58" s="3">
        <v>119</v>
      </c>
      <c r="E58" s="3">
        <v>95.61</v>
      </c>
      <c r="F58" s="3">
        <v>36.47</v>
      </c>
      <c r="G58" s="3">
        <v>515.29999999999995</v>
      </c>
      <c r="H58" s="3">
        <v>2.375</v>
      </c>
      <c r="I58" s="13">
        <f t="shared" si="1"/>
        <v>2.6216068001096793</v>
      </c>
    </row>
    <row r="59" spans="2:9">
      <c r="C59" s="46">
        <v>2.3050000000000002</v>
      </c>
      <c r="D59" s="3">
        <v>138.6</v>
      </c>
      <c r="E59" s="3">
        <v>95.37</v>
      </c>
      <c r="F59" s="3">
        <v>36.299999999999997</v>
      </c>
      <c r="G59" s="3">
        <v>555</v>
      </c>
      <c r="H59" s="3">
        <v>1.974</v>
      </c>
      <c r="I59" s="13">
        <f t="shared" si="1"/>
        <v>2.6272727272727274</v>
      </c>
    </row>
    <row r="60" spans="2:9">
      <c r="C60" s="46">
        <v>2.371</v>
      </c>
      <c r="D60" s="3">
        <v>109.3</v>
      </c>
      <c r="E60" s="3">
        <v>96.11</v>
      </c>
      <c r="F60" s="3">
        <v>35.200000000000003</v>
      </c>
      <c r="G60" s="3">
        <v>508.5</v>
      </c>
      <c r="H60" s="3">
        <v>1.99</v>
      </c>
      <c r="I60" s="13">
        <f t="shared" si="1"/>
        <v>2.7303977272727269</v>
      </c>
    </row>
    <row r="61" spans="2:9">
      <c r="C61" s="46">
        <v>2.3340000000000001</v>
      </c>
      <c r="D61" s="3">
        <v>104.7</v>
      </c>
      <c r="E61" s="3">
        <v>96.55</v>
      </c>
      <c r="F61" s="3">
        <v>36.1</v>
      </c>
      <c r="G61" s="3">
        <v>509.3</v>
      </c>
      <c r="H61" s="3">
        <v>2.4209999999999998</v>
      </c>
      <c r="I61" s="13">
        <f t="shared" si="1"/>
        <v>2.6745152354570636</v>
      </c>
    </row>
    <row r="62" spans="2:9">
      <c r="B62" s="16">
        <v>4</v>
      </c>
      <c r="C62" s="47">
        <v>2.9289999999999998</v>
      </c>
      <c r="D62" s="18">
        <v>116.7</v>
      </c>
      <c r="E62" s="16">
        <v>76.650000000000006</v>
      </c>
      <c r="F62" s="16">
        <v>23.21</v>
      </c>
      <c r="G62" s="16">
        <v>524</v>
      </c>
      <c r="H62" s="16">
        <v>2.4590000000000001</v>
      </c>
      <c r="I62" s="13">
        <f t="shared" si="1"/>
        <v>3.3024558380008617</v>
      </c>
    </row>
    <row r="63" spans="2:9">
      <c r="C63" s="46">
        <v>2.9279999999999999</v>
      </c>
      <c r="D63" s="3">
        <v>96.4</v>
      </c>
      <c r="E63" s="3">
        <v>76.94</v>
      </c>
      <c r="F63" s="3">
        <v>23.8</v>
      </c>
      <c r="G63" s="3">
        <v>521.4</v>
      </c>
      <c r="H63" s="3">
        <v>2.4260000000000002</v>
      </c>
      <c r="I63" s="13">
        <f t="shared" si="1"/>
        <v>3.2327731092436971</v>
      </c>
    </row>
    <row r="64" spans="2:9">
      <c r="C64" s="46">
        <v>2.88</v>
      </c>
      <c r="D64" s="3">
        <v>123.2</v>
      </c>
      <c r="E64" s="3">
        <v>76.91</v>
      </c>
      <c r="F64" s="3">
        <v>24</v>
      </c>
      <c r="G64" s="3">
        <v>537.29999999999995</v>
      </c>
      <c r="H64" s="3">
        <v>2.3809999999999998</v>
      </c>
      <c r="I64" s="13">
        <f t="shared" si="1"/>
        <v>3.2045833333333333</v>
      </c>
    </row>
    <row r="65" spans="3:9">
      <c r="C65" s="46">
        <v>2.9289999999999998</v>
      </c>
      <c r="D65" s="3">
        <v>98.7</v>
      </c>
      <c r="E65" s="3">
        <v>76.97</v>
      </c>
      <c r="F65" s="3">
        <v>23.27</v>
      </c>
      <c r="G65" s="3">
        <v>515.5</v>
      </c>
      <c r="H65" s="3">
        <v>2.4489999999999998</v>
      </c>
      <c r="I65" s="13">
        <f t="shared" si="1"/>
        <v>3.3076923076923075</v>
      </c>
    </row>
    <row r="66" spans="3:9">
      <c r="C66" s="46">
        <v>2.9359999999999999</v>
      </c>
      <c r="D66" s="3">
        <v>95.8</v>
      </c>
      <c r="E66" s="3">
        <v>77.39</v>
      </c>
      <c r="F66" s="3">
        <v>23.76</v>
      </c>
      <c r="G66" s="3">
        <v>521.9</v>
      </c>
      <c r="H66" s="3">
        <v>2.5150000000000001</v>
      </c>
      <c r="I66" s="13">
        <f t="shared" si="1"/>
        <v>3.2571548821548819</v>
      </c>
    </row>
    <row r="67" spans="3:9">
      <c r="C67" s="46">
        <v>2.9420000000000002</v>
      </c>
      <c r="D67" s="3">
        <v>105</v>
      </c>
      <c r="E67" s="3">
        <v>77.03</v>
      </c>
      <c r="F67" s="3">
        <v>23.68</v>
      </c>
      <c r="G67" s="3">
        <v>533.9</v>
      </c>
      <c r="H67" s="3">
        <v>2.6709999999999998</v>
      </c>
      <c r="I67" s="13">
        <f t="shared" si="1"/>
        <v>3.2529560810810811</v>
      </c>
    </row>
    <row r="68" spans="3:9">
      <c r="C68" s="46">
        <v>2.9249999999999998</v>
      </c>
      <c r="D68" s="3">
        <v>82.6</v>
      </c>
      <c r="E68" s="3">
        <v>76.62</v>
      </c>
      <c r="F68" s="3">
        <v>23.95</v>
      </c>
      <c r="G68" s="3">
        <v>520.5</v>
      </c>
      <c r="H68" s="3">
        <v>2.569</v>
      </c>
      <c r="I68" s="13">
        <f t="shared" si="1"/>
        <v>3.1991649269311067</v>
      </c>
    </row>
    <row r="69" spans="3:9">
      <c r="C69" s="46">
        <v>2.9409999999999998</v>
      </c>
      <c r="D69" s="3">
        <v>73.8</v>
      </c>
      <c r="E69" s="3">
        <v>76.83</v>
      </c>
      <c r="F69" s="3">
        <v>23.74</v>
      </c>
      <c r="G69" s="3">
        <v>517.29999999999995</v>
      </c>
      <c r="H69" s="3">
        <v>2.5979999999999999</v>
      </c>
      <c r="I69" s="13">
        <f t="shared" si="1"/>
        <v>3.2363100252737995</v>
      </c>
    </row>
    <row r="70" spans="3:9">
      <c r="C70" s="46">
        <v>2.9279999999999999</v>
      </c>
      <c r="D70" s="3">
        <v>128.4</v>
      </c>
      <c r="E70" s="3">
        <v>77.010000000000005</v>
      </c>
      <c r="F70" s="3">
        <v>23.58</v>
      </c>
      <c r="G70" s="3">
        <v>520.79999999999995</v>
      </c>
      <c r="H70" s="3">
        <v>2.798</v>
      </c>
      <c r="I70" s="13">
        <f t="shared" si="1"/>
        <v>3.2659033078880411</v>
      </c>
    </row>
    <row r="71" spans="3:9">
      <c r="C71" s="46">
        <v>2.9460000000000002</v>
      </c>
      <c r="D71" s="3">
        <v>100.6</v>
      </c>
      <c r="E71" s="3">
        <v>77.12</v>
      </c>
      <c r="F71" s="3">
        <v>23.95</v>
      </c>
      <c r="G71" s="3">
        <v>519</v>
      </c>
      <c r="H71" s="3">
        <v>2.8959999999999999</v>
      </c>
      <c r="I71" s="13">
        <f t="shared" si="1"/>
        <v>3.2200417536534451</v>
      </c>
    </row>
    <row r="72" spans="3:9">
      <c r="C72" s="46">
        <v>2.9249999999999998</v>
      </c>
      <c r="D72" s="3">
        <v>127.1</v>
      </c>
      <c r="E72" s="3">
        <v>77.510000000000005</v>
      </c>
      <c r="F72" s="3">
        <v>24.32</v>
      </c>
      <c r="G72" s="3">
        <v>518.6</v>
      </c>
      <c r="H72" s="3">
        <v>2.9609999999999999</v>
      </c>
      <c r="I72" s="13">
        <f t="shared" si="1"/>
        <v>3.1870888157894739</v>
      </c>
    </row>
    <row r="73" spans="3:9">
      <c r="C73" s="46">
        <v>2.9319999999999999</v>
      </c>
      <c r="D73" s="3">
        <v>149.30000000000001</v>
      </c>
      <c r="E73" s="3">
        <v>77.239999999999995</v>
      </c>
      <c r="F73" s="3">
        <v>23.9</v>
      </c>
      <c r="G73" s="3">
        <v>537.4</v>
      </c>
      <c r="H73" s="3">
        <v>2.68</v>
      </c>
      <c r="I73" s="13">
        <f t="shared" si="1"/>
        <v>3.2317991631799163</v>
      </c>
    </row>
    <row r="74" spans="3:9">
      <c r="C74" s="46">
        <v>2.9460000000000002</v>
      </c>
      <c r="D74" s="3">
        <v>123.2</v>
      </c>
      <c r="E74" s="3">
        <v>77.28</v>
      </c>
      <c r="F74" s="3">
        <v>24.41</v>
      </c>
      <c r="G74" s="3">
        <v>531.29999999999995</v>
      </c>
      <c r="H74" s="3">
        <v>2.5979999999999999</v>
      </c>
      <c r="I74" s="13">
        <f t="shared" si="1"/>
        <v>3.1659156083572308</v>
      </c>
    </row>
    <row r="75" spans="3:9">
      <c r="C75" s="46">
        <v>2.9289999999999998</v>
      </c>
      <c r="D75" s="3">
        <v>61.3</v>
      </c>
      <c r="E75" s="3">
        <v>77.64</v>
      </c>
      <c r="F75" s="3">
        <v>24.69</v>
      </c>
      <c r="G75" s="3">
        <v>520.5</v>
      </c>
      <c r="H75" s="3">
        <v>2.5569999999999999</v>
      </c>
      <c r="I75" s="13">
        <f t="shared" si="1"/>
        <v>3.1445929526123937</v>
      </c>
    </row>
    <row r="76" spans="3:9">
      <c r="C76" s="46">
        <v>2.9049999999999998</v>
      </c>
      <c r="D76" s="3">
        <v>168.4</v>
      </c>
      <c r="E76" s="3">
        <v>77.34</v>
      </c>
      <c r="F76" s="3">
        <v>24.53</v>
      </c>
      <c r="G76" s="3">
        <v>522.1</v>
      </c>
      <c r="H76" s="3">
        <v>2.577</v>
      </c>
      <c r="I76" s="13">
        <f t="shared" si="1"/>
        <v>3.1528740317977988</v>
      </c>
    </row>
    <row r="77" spans="3:9">
      <c r="C77" s="46">
        <v>2.83</v>
      </c>
      <c r="D77" s="3">
        <v>187.6</v>
      </c>
      <c r="E77" s="3">
        <v>77.34</v>
      </c>
      <c r="F77" s="3">
        <v>24.25</v>
      </c>
      <c r="G77" s="3">
        <v>519.4</v>
      </c>
      <c r="H77" s="3">
        <v>2.4580000000000002</v>
      </c>
      <c r="I77" s="13">
        <f t="shared" si="1"/>
        <v>3.189278350515464</v>
      </c>
    </row>
    <row r="78" spans="3:9">
      <c r="C78" s="46">
        <v>2.7770000000000001</v>
      </c>
      <c r="D78" s="3">
        <v>135.1</v>
      </c>
      <c r="E78" s="3">
        <v>77.489999999999995</v>
      </c>
      <c r="F78" s="3">
        <v>24.68</v>
      </c>
      <c r="G78" s="3">
        <v>517.6</v>
      </c>
      <c r="H78" s="3">
        <v>2.3370000000000002</v>
      </c>
      <c r="I78" s="13">
        <f t="shared" si="1"/>
        <v>3.1397893030794162</v>
      </c>
    </row>
    <row r="79" spans="3:9">
      <c r="C79" s="46">
        <v>2.8279999999999998</v>
      </c>
      <c r="D79" s="3">
        <v>115.4</v>
      </c>
      <c r="E79" s="3">
        <v>77.099999999999994</v>
      </c>
      <c r="F79" s="3">
        <v>24.59</v>
      </c>
      <c r="G79" s="3">
        <v>518.29999999999995</v>
      </c>
      <c r="H79" s="3">
        <v>2.2759999999999998</v>
      </c>
      <c r="I79" s="13">
        <f t="shared" si="1"/>
        <v>3.1354209028060187</v>
      </c>
    </row>
    <row r="80" spans="3:9">
      <c r="C80" s="46">
        <v>2.871</v>
      </c>
      <c r="D80" s="3">
        <v>119.1</v>
      </c>
      <c r="E80" s="3">
        <v>76.97</v>
      </c>
      <c r="F80" s="3">
        <v>24.08</v>
      </c>
      <c r="G80" s="3">
        <v>524.70000000000005</v>
      </c>
      <c r="H80" s="3">
        <v>2.3919999999999999</v>
      </c>
      <c r="I80" s="13">
        <f t="shared" si="1"/>
        <v>3.1964285714285716</v>
      </c>
    </row>
    <row r="81" spans="2:9">
      <c r="C81" s="46">
        <v>2.8980000000000001</v>
      </c>
      <c r="D81" s="3">
        <v>100.3</v>
      </c>
      <c r="E81" s="3">
        <v>76.989999999999995</v>
      </c>
      <c r="F81" s="3">
        <v>24</v>
      </c>
      <c r="G81" s="3">
        <v>518.79999999999995</v>
      </c>
      <c r="H81" s="3">
        <v>2.5339999999999998</v>
      </c>
      <c r="I81" s="13">
        <f t="shared" si="1"/>
        <v>3.2079166666666663</v>
      </c>
    </row>
    <row r="82" spans="2:9">
      <c r="B82" s="16">
        <v>5</v>
      </c>
      <c r="C82" s="47">
        <v>2.758</v>
      </c>
      <c r="D82" s="18">
        <v>100.8</v>
      </c>
      <c r="E82" s="16">
        <v>98.69</v>
      </c>
      <c r="F82" s="16">
        <v>26.54</v>
      </c>
      <c r="G82" s="16">
        <v>528.79999999999995</v>
      </c>
      <c r="H82" s="16">
        <v>3.83</v>
      </c>
      <c r="I82" s="13">
        <f t="shared" si="1"/>
        <v>3.7185380557648831</v>
      </c>
    </row>
    <row r="83" spans="2:9">
      <c r="C83" s="46">
        <v>2.8010000000000002</v>
      </c>
      <c r="D83" s="3">
        <v>78.599999999999994</v>
      </c>
      <c r="E83" s="3">
        <v>98.7</v>
      </c>
      <c r="F83" s="3">
        <v>25.85</v>
      </c>
      <c r="G83" s="3">
        <v>523.9</v>
      </c>
      <c r="H83" s="3">
        <v>3.9</v>
      </c>
      <c r="I83" s="13">
        <f t="shared" si="1"/>
        <v>3.8181818181818179</v>
      </c>
    </row>
    <row r="84" spans="2:9">
      <c r="C84" s="46">
        <v>2.7170000000000001</v>
      </c>
      <c r="D84" s="3">
        <v>154.6</v>
      </c>
      <c r="E84" s="3">
        <v>98.5</v>
      </c>
      <c r="F84" s="3">
        <v>26.16</v>
      </c>
      <c r="G84" s="3">
        <v>518</v>
      </c>
      <c r="H84" s="3">
        <v>4.1100000000000003</v>
      </c>
      <c r="I84" s="13">
        <f t="shared" si="1"/>
        <v>3.7652905198776758</v>
      </c>
    </row>
    <row r="85" spans="2:9">
      <c r="C85" s="46">
        <v>2.645</v>
      </c>
      <c r="D85" s="3">
        <v>129</v>
      </c>
      <c r="E85" s="3">
        <v>98.34</v>
      </c>
      <c r="F85" s="3">
        <v>25.73</v>
      </c>
      <c r="G85" s="3">
        <v>524.9</v>
      </c>
      <c r="H85" s="3">
        <v>3.7</v>
      </c>
      <c r="I85" s="13">
        <f t="shared" si="1"/>
        <v>3.8219976680917216</v>
      </c>
    </row>
    <row r="86" spans="2:9">
      <c r="C86" s="46">
        <v>2.593</v>
      </c>
      <c r="D86" s="3">
        <v>136.9</v>
      </c>
      <c r="E86" s="3">
        <v>98.82</v>
      </c>
      <c r="F86" s="3">
        <v>26.27</v>
      </c>
      <c r="G86" s="3">
        <v>520</v>
      </c>
      <c r="H86" s="3">
        <v>3.63</v>
      </c>
      <c r="I86" s="13">
        <f t="shared" ref="I86:I149" si="2">E86/F86</f>
        <v>3.7617053673391698</v>
      </c>
    </row>
    <row r="87" spans="2:9">
      <c r="C87" s="46">
        <v>2.6429999999999998</v>
      </c>
      <c r="D87" s="3">
        <v>111.4</v>
      </c>
      <c r="E87" s="3">
        <v>98.62</v>
      </c>
      <c r="F87" s="3">
        <v>25.87</v>
      </c>
      <c r="G87" s="3">
        <v>518.4</v>
      </c>
      <c r="H87" s="3">
        <v>3.83</v>
      </c>
      <c r="I87" s="13">
        <f t="shared" si="2"/>
        <v>3.8121376111325862</v>
      </c>
    </row>
    <row r="88" spans="2:9">
      <c r="C88" s="46">
        <v>2.746</v>
      </c>
      <c r="D88" s="3">
        <v>123.9</v>
      </c>
      <c r="E88" s="3">
        <v>98.97</v>
      </c>
      <c r="F88" s="3">
        <v>26.34</v>
      </c>
      <c r="G88" s="3">
        <v>523.9</v>
      </c>
      <c r="H88" s="3">
        <v>3.89</v>
      </c>
      <c r="I88" s="13">
        <f t="shared" si="2"/>
        <v>3.7574031890660593</v>
      </c>
    </row>
    <row r="89" spans="2:9">
      <c r="C89" s="46">
        <v>2.6920000000000002</v>
      </c>
      <c r="D89" s="3">
        <v>97.2</v>
      </c>
      <c r="E89" s="3">
        <v>98.47</v>
      </c>
      <c r="F89" s="3">
        <v>26.08</v>
      </c>
      <c r="G89" s="3">
        <v>527.4</v>
      </c>
      <c r="H89" s="3">
        <v>3.8</v>
      </c>
      <c r="I89" s="13">
        <f t="shared" si="2"/>
        <v>3.77569018404908</v>
      </c>
    </row>
    <row r="90" spans="2:9">
      <c r="C90" s="46">
        <v>2.74</v>
      </c>
      <c r="D90" s="3">
        <v>116.2</v>
      </c>
      <c r="E90" s="3">
        <v>98.63</v>
      </c>
      <c r="F90" s="3">
        <v>26</v>
      </c>
      <c r="G90" s="3">
        <v>528.1</v>
      </c>
      <c r="H90" s="3">
        <v>3.7</v>
      </c>
      <c r="I90" s="13">
        <f t="shared" si="2"/>
        <v>3.7934615384615382</v>
      </c>
    </row>
    <row r="91" spans="2:9">
      <c r="C91" s="46">
        <v>2.7040000000000002</v>
      </c>
      <c r="D91" s="3">
        <v>128.80000000000001</v>
      </c>
      <c r="E91" s="3">
        <v>99.2</v>
      </c>
      <c r="F91" s="3">
        <v>26.2</v>
      </c>
      <c r="G91" s="3">
        <v>524.29999999999995</v>
      </c>
      <c r="H91" s="3">
        <v>3.59</v>
      </c>
      <c r="I91" s="13">
        <f t="shared" si="2"/>
        <v>3.7862595419847329</v>
      </c>
    </row>
    <row r="92" spans="2:9">
      <c r="C92" s="46">
        <v>2.7160000000000002</v>
      </c>
      <c r="D92" s="3">
        <v>130.5</v>
      </c>
      <c r="E92" s="3">
        <v>99.26</v>
      </c>
      <c r="F92" s="3">
        <v>26.87</v>
      </c>
      <c r="G92" s="3">
        <v>519</v>
      </c>
      <c r="H92" s="3">
        <v>4.01</v>
      </c>
      <c r="I92" s="13">
        <f t="shared" si="2"/>
        <v>3.6940826200223298</v>
      </c>
    </row>
    <row r="93" spans="2:9">
      <c r="C93" s="46">
        <v>2.7559999999999998</v>
      </c>
      <c r="D93" s="3">
        <v>82.6</v>
      </c>
      <c r="E93" s="3">
        <v>98.78</v>
      </c>
      <c r="F93" s="3">
        <v>26.14</v>
      </c>
      <c r="G93" s="3">
        <v>524.70000000000005</v>
      </c>
      <c r="H93" s="3">
        <v>3.8</v>
      </c>
      <c r="I93" s="13">
        <f t="shared" si="2"/>
        <v>3.7788829380260136</v>
      </c>
    </row>
    <row r="94" spans="2:9">
      <c r="C94" s="46">
        <v>2.7320000000000002</v>
      </c>
      <c r="D94" s="3">
        <v>115.2</v>
      </c>
      <c r="E94" s="3">
        <v>98.89</v>
      </c>
      <c r="F94" s="3">
        <v>26.55</v>
      </c>
      <c r="G94" s="3">
        <v>526.4</v>
      </c>
      <c r="H94" s="3">
        <v>4.01</v>
      </c>
      <c r="I94" s="13">
        <f t="shared" si="2"/>
        <v>3.7246704331450093</v>
      </c>
    </row>
    <row r="95" spans="2:9">
      <c r="C95" s="46">
        <v>2.7789999999999999</v>
      </c>
      <c r="D95" s="3">
        <v>117.8</v>
      </c>
      <c r="E95" s="3">
        <v>99.33</v>
      </c>
      <c r="F95" s="3">
        <v>25.87</v>
      </c>
      <c r="G95" s="3">
        <v>528.1</v>
      </c>
      <c r="H95" s="3">
        <v>3.73</v>
      </c>
      <c r="I95" s="13">
        <f t="shared" si="2"/>
        <v>3.8395825280247387</v>
      </c>
    </row>
    <row r="96" spans="2:9">
      <c r="C96" s="46">
        <v>2.74</v>
      </c>
      <c r="D96" s="3">
        <v>101.2</v>
      </c>
      <c r="E96" s="3">
        <v>99.65</v>
      </c>
      <c r="F96" s="3">
        <v>26.76</v>
      </c>
      <c r="G96" s="3">
        <v>526.4</v>
      </c>
      <c r="H96" s="3">
        <v>3.3</v>
      </c>
      <c r="I96" s="13">
        <f t="shared" si="2"/>
        <v>3.7238415545590433</v>
      </c>
    </row>
    <row r="97" spans="2:9">
      <c r="C97" s="46">
        <v>2.7789999999999999</v>
      </c>
      <c r="D97" s="3">
        <v>120.4</v>
      </c>
      <c r="E97" s="3">
        <v>98.85</v>
      </c>
      <c r="F97" s="3">
        <v>26.29</v>
      </c>
      <c r="G97" s="3">
        <v>527.79999999999995</v>
      </c>
      <c r="H97" s="3">
        <v>3.36</v>
      </c>
      <c r="I97" s="13">
        <f t="shared" si="2"/>
        <v>3.7599847850893875</v>
      </c>
    </row>
    <row r="98" spans="2:9">
      <c r="C98" s="46">
        <v>2.8039999999999998</v>
      </c>
      <c r="D98" s="3">
        <v>139.6</v>
      </c>
      <c r="E98" s="3">
        <v>98.74</v>
      </c>
      <c r="F98" s="3">
        <v>25.43</v>
      </c>
      <c r="G98" s="3">
        <v>525.79999999999995</v>
      </c>
      <c r="H98" s="3">
        <v>3.7</v>
      </c>
      <c r="I98" s="13">
        <f t="shared" si="2"/>
        <v>3.8828155721588673</v>
      </c>
    </row>
    <row r="99" spans="2:9">
      <c r="C99" s="46">
        <v>2.8119999999999998</v>
      </c>
      <c r="D99" s="3">
        <v>106.8</v>
      </c>
      <c r="E99" s="3">
        <v>99.1</v>
      </c>
      <c r="F99" s="3">
        <v>25.52</v>
      </c>
      <c r="G99" s="3">
        <v>522.29999999999995</v>
      </c>
      <c r="H99" s="3">
        <v>3.9</v>
      </c>
      <c r="I99" s="13">
        <f t="shared" si="2"/>
        <v>3.8832288401253918</v>
      </c>
    </row>
    <row r="100" spans="2:9">
      <c r="C100" s="46">
        <v>2.78</v>
      </c>
      <c r="D100" s="3">
        <v>117.8</v>
      </c>
      <c r="E100" s="3">
        <v>98.66</v>
      </c>
      <c r="F100" s="3">
        <v>25.7</v>
      </c>
      <c r="G100" s="3">
        <v>523.79999999999995</v>
      </c>
      <c r="H100" s="3">
        <v>3.62</v>
      </c>
      <c r="I100" s="13">
        <f t="shared" si="2"/>
        <v>3.838910505836576</v>
      </c>
    </row>
    <row r="101" spans="2:9">
      <c r="C101" s="46">
        <v>2.754</v>
      </c>
      <c r="D101" s="3">
        <v>102.1</v>
      </c>
      <c r="E101" s="3">
        <v>98.86</v>
      </c>
      <c r="F101" s="3">
        <v>26.27</v>
      </c>
      <c r="G101" s="3">
        <v>524.9</v>
      </c>
      <c r="H101" s="3">
        <v>3.73</v>
      </c>
      <c r="I101" s="13">
        <f t="shared" si="2"/>
        <v>3.7632280167491436</v>
      </c>
    </row>
    <row r="102" spans="2:9">
      <c r="B102" s="16">
        <v>6</v>
      </c>
      <c r="C102" s="47">
        <v>2.262</v>
      </c>
      <c r="D102" s="18">
        <v>97.5</v>
      </c>
      <c r="E102" s="16">
        <v>103.1</v>
      </c>
      <c r="F102" s="16">
        <v>24.7</v>
      </c>
      <c r="G102" s="16">
        <v>456.3</v>
      </c>
      <c r="H102" s="30">
        <v>2.7789999999999999</v>
      </c>
      <c r="I102" s="13">
        <f t="shared" si="2"/>
        <v>4.1740890688259107</v>
      </c>
    </row>
    <row r="103" spans="2:9">
      <c r="C103" s="46">
        <v>2.2570000000000001</v>
      </c>
      <c r="D103" s="3">
        <v>97.85</v>
      </c>
      <c r="E103" s="3">
        <v>103.6</v>
      </c>
      <c r="F103" s="3">
        <v>24.52</v>
      </c>
      <c r="G103" s="3">
        <v>457</v>
      </c>
      <c r="H103" s="30">
        <v>3.1539999999999999</v>
      </c>
      <c r="I103" s="13">
        <f t="shared" si="2"/>
        <v>4.2251223491027732</v>
      </c>
    </row>
    <row r="104" spans="2:9">
      <c r="C104" s="46">
        <v>2.2850000000000001</v>
      </c>
      <c r="D104" s="3">
        <v>99.18</v>
      </c>
      <c r="E104" s="3">
        <v>104.2</v>
      </c>
      <c r="F104" s="3">
        <v>24.35</v>
      </c>
      <c r="G104" s="3">
        <v>456.5</v>
      </c>
      <c r="H104" s="30">
        <v>3.0670000000000002</v>
      </c>
      <c r="I104" s="13">
        <f t="shared" si="2"/>
        <v>4.2792607802874745</v>
      </c>
    </row>
    <row r="105" spans="2:9">
      <c r="C105" s="46">
        <v>2.2330000000000001</v>
      </c>
      <c r="D105" s="3">
        <v>97.86</v>
      </c>
      <c r="E105" s="3">
        <v>102.9</v>
      </c>
      <c r="F105" s="3">
        <v>24.88</v>
      </c>
      <c r="G105" s="3">
        <v>456.7</v>
      </c>
      <c r="H105" s="30">
        <v>2.9289999999999998</v>
      </c>
      <c r="I105" s="13">
        <f t="shared" si="2"/>
        <v>4.1358520900321549</v>
      </c>
    </row>
    <row r="106" spans="2:9">
      <c r="C106" s="46">
        <v>2.2050000000000001</v>
      </c>
      <c r="D106" s="3">
        <v>114.6</v>
      </c>
      <c r="E106" s="3">
        <v>103.9</v>
      </c>
      <c r="F106" s="3">
        <v>25.34</v>
      </c>
      <c r="G106" s="3">
        <v>460.2</v>
      </c>
      <c r="H106" s="30">
        <v>2.7749999999999999</v>
      </c>
      <c r="I106" s="13">
        <f t="shared" si="2"/>
        <v>4.1002367797947912</v>
      </c>
    </row>
    <row r="107" spans="2:9">
      <c r="C107" s="46">
        <v>2.3130000000000002</v>
      </c>
      <c r="D107" s="3">
        <v>187.5</v>
      </c>
      <c r="E107" s="3">
        <v>103.6</v>
      </c>
      <c r="F107" s="3">
        <v>25.03</v>
      </c>
      <c r="G107" s="3">
        <v>466.3</v>
      </c>
      <c r="H107" s="30">
        <v>3.282</v>
      </c>
      <c r="I107" s="13">
        <f t="shared" si="2"/>
        <v>4.1390331602077506</v>
      </c>
    </row>
    <row r="108" spans="2:9">
      <c r="C108" s="46">
        <v>2.3820000000000001</v>
      </c>
      <c r="D108" s="3">
        <v>104.4</v>
      </c>
      <c r="E108" s="3">
        <v>103</v>
      </c>
      <c r="F108" s="3">
        <v>25.06</v>
      </c>
      <c r="G108" s="3">
        <v>456</v>
      </c>
      <c r="H108" s="30">
        <v>3.14</v>
      </c>
      <c r="I108" s="13">
        <f t="shared" si="2"/>
        <v>4.1101356743814845</v>
      </c>
    </row>
    <row r="109" spans="2:9">
      <c r="C109" s="46">
        <v>2.3879999999999999</v>
      </c>
      <c r="D109" s="3">
        <v>146.9</v>
      </c>
      <c r="E109" s="3">
        <v>102.7</v>
      </c>
      <c r="F109" s="3">
        <v>25.27</v>
      </c>
      <c r="G109" s="3">
        <v>456.3</v>
      </c>
      <c r="H109" s="30">
        <v>3.0230000000000001</v>
      </c>
      <c r="I109" s="13">
        <f t="shared" si="2"/>
        <v>4.0641076375148399</v>
      </c>
    </row>
    <row r="110" spans="2:9">
      <c r="C110" s="46">
        <v>2.4039999999999999</v>
      </c>
      <c r="D110" s="3">
        <v>146.69999999999999</v>
      </c>
      <c r="E110" s="3">
        <v>103.8</v>
      </c>
      <c r="F110" s="3">
        <v>24.77</v>
      </c>
      <c r="G110" s="3">
        <v>470.3</v>
      </c>
      <c r="H110" s="30">
        <v>3.24</v>
      </c>
      <c r="I110" s="13">
        <f t="shared" si="2"/>
        <v>4.1905530884134032</v>
      </c>
    </row>
    <row r="111" spans="2:9">
      <c r="C111" s="46">
        <v>2.407</v>
      </c>
      <c r="D111" s="3">
        <v>138.49</v>
      </c>
      <c r="E111" s="3">
        <v>103.2</v>
      </c>
      <c r="F111" s="3">
        <v>25.19</v>
      </c>
      <c r="G111" s="3">
        <v>453.2</v>
      </c>
      <c r="H111" s="30">
        <v>2.5630000000000002</v>
      </c>
      <c r="I111" s="13">
        <f t="shared" si="2"/>
        <v>4.0968638348551014</v>
      </c>
    </row>
    <row r="112" spans="2:9">
      <c r="C112" s="46">
        <v>2.4169999999999998</v>
      </c>
      <c r="D112" s="3">
        <v>139.6</v>
      </c>
      <c r="E112" s="3">
        <v>102.6</v>
      </c>
      <c r="F112" s="3">
        <v>24.61</v>
      </c>
      <c r="G112" s="3">
        <v>464</v>
      </c>
      <c r="H112" s="30">
        <v>2.8639999999999999</v>
      </c>
      <c r="I112" s="13">
        <f t="shared" si="2"/>
        <v>4.169036976838683</v>
      </c>
    </row>
    <row r="113" spans="2:9">
      <c r="C113" s="46">
        <v>2.415</v>
      </c>
      <c r="D113" s="3">
        <v>120.2</v>
      </c>
      <c r="E113" s="3">
        <v>103.3</v>
      </c>
      <c r="F113" s="3">
        <v>24.47</v>
      </c>
      <c r="G113" s="3">
        <v>459.7</v>
      </c>
      <c r="H113" s="30">
        <v>3.101</v>
      </c>
      <c r="I113" s="13">
        <f t="shared" si="2"/>
        <v>4.2214957090314673</v>
      </c>
    </row>
    <row r="114" spans="2:9">
      <c r="C114" s="46">
        <v>2.3820000000000001</v>
      </c>
      <c r="D114" s="3">
        <v>213.1</v>
      </c>
      <c r="E114" s="3">
        <v>103.6</v>
      </c>
      <c r="F114" s="3">
        <v>25.5</v>
      </c>
      <c r="G114" s="3">
        <v>462.3</v>
      </c>
      <c r="H114" s="30">
        <v>3.4780000000000002</v>
      </c>
      <c r="I114" s="13">
        <f t="shared" si="2"/>
        <v>4.0627450980392155</v>
      </c>
    </row>
    <row r="115" spans="2:9">
      <c r="C115" s="46">
        <v>2.399</v>
      </c>
      <c r="D115" s="3">
        <v>141.19999999999999</v>
      </c>
      <c r="E115" s="3">
        <v>103.8</v>
      </c>
      <c r="F115" s="3">
        <v>25.08</v>
      </c>
      <c r="G115" s="3">
        <v>467.2</v>
      </c>
      <c r="H115" s="30">
        <v>3.468</v>
      </c>
      <c r="I115" s="13">
        <f t="shared" si="2"/>
        <v>4.1387559808612444</v>
      </c>
    </row>
    <row r="116" spans="2:9">
      <c r="C116" s="46">
        <v>2.3580000000000001</v>
      </c>
      <c r="D116" s="3">
        <v>116.3</v>
      </c>
      <c r="E116" s="3">
        <v>103.4</v>
      </c>
      <c r="F116" s="3">
        <v>24.76</v>
      </c>
      <c r="G116" s="3">
        <v>472.7</v>
      </c>
      <c r="H116" s="30">
        <v>3.1819999999999999</v>
      </c>
      <c r="I116" s="13">
        <f t="shared" si="2"/>
        <v>4.176090468497577</v>
      </c>
    </row>
    <row r="117" spans="2:9">
      <c r="C117" s="46">
        <v>2.3559999999999999</v>
      </c>
      <c r="D117" s="3">
        <v>96.06</v>
      </c>
      <c r="E117" s="3">
        <v>103.5</v>
      </c>
      <c r="F117" s="3">
        <v>24.7</v>
      </c>
      <c r="G117" s="3">
        <v>459.1</v>
      </c>
      <c r="H117" s="30">
        <v>3.335</v>
      </c>
      <c r="I117" s="13">
        <f t="shared" si="2"/>
        <v>4.190283400809717</v>
      </c>
    </row>
    <row r="118" spans="2:9">
      <c r="C118" s="46">
        <v>2.3370000000000002</v>
      </c>
      <c r="D118" s="3">
        <v>74.37</v>
      </c>
      <c r="E118" s="3">
        <v>103.8</v>
      </c>
      <c r="F118" s="3">
        <v>25.39</v>
      </c>
      <c r="G118" s="3">
        <v>456.5</v>
      </c>
      <c r="H118" s="30">
        <v>3.1539999999999999</v>
      </c>
      <c r="I118" s="13">
        <f t="shared" si="2"/>
        <v>4.0882237101220955</v>
      </c>
    </row>
    <row r="119" spans="2:9">
      <c r="C119" s="46">
        <v>2.3490000000000002</v>
      </c>
      <c r="D119" s="3">
        <v>127.8</v>
      </c>
      <c r="E119" s="3">
        <v>103.9</v>
      </c>
      <c r="F119" s="3">
        <v>25.41</v>
      </c>
      <c r="G119" s="3">
        <v>473.4</v>
      </c>
      <c r="H119" s="30">
        <v>2.9129999999999998</v>
      </c>
      <c r="I119" s="13">
        <f t="shared" si="2"/>
        <v>4.0889413616686348</v>
      </c>
    </row>
    <row r="120" spans="2:9">
      <c r="C120" s="46">
        <v>2.3290000000000002</v>
      </c>
      <c r="D120" s="3">
        <v>172.1</v>
      </c>
      <c r="E120" s="3">
        <v>103.3</v>
      </c>
      <c r="F120" s="3">
        <v>24.82</v>
      </c>
      <c r="G120" s="3">
        <v>484.5</v>
      </c>
      <c r="H120" s="30">
        <v>2.9289999999999998</v>
      </c>
      <c r="I120" s="13">
        <f t="shared" si="2"/>
        <v>4.1619661563255441</v>
      </c>
    </row>
    <row r="121" spans="2:9">
      <c r="C121" s="46">
        <v>2.3519999999999999</v>
      </c>
      <c r="D121" s="3">
        <v>111.6</v>
      </c>
      <c r="E121" s="3">
        <v>103.7</v>
      </c>
      <c r="F121" s="3">
        <v>24.28</v>
      </c>
      <c r="G121" s="3">
        <v>475.2</v>
      </c>
      <c r="H121" s="30">
        <v>2.7970000000000002</v>
      </c>
      <c r="I121" s="13">
        <f t="shared" si="2"/>
        <v>4.2710049423393741</v>
      </c>
    </row>
    <row r="122" spans="2:9">
      <c r="B122" s="16">
        <v>7</v>
      </c>
      <c r="C122" s="47">
        <v>2.0859999999999999</v>
      </c>
      <c r="D122" s="18">
        <v>101</v>
      </c>
      <c r="E122" s="16">
        <v>82.74</v>
      </c>
      <c r="F122" s="16">
        <v>20.54</v>
      </c>
      <c r="G122" s="16">
        <v>468</v>
      </c>
      <c r="H122" s="56">
        <v>4.5819999999999999</v>
      </c>
      <c r="I122" s="13">
        <f t="shared" si="2"/>
        <v>4.0282375851996104</v>
      </c>
    </row>
    <row r="123" spans="2:9">
      <c r="C123" s="46">
        <v>2.105</v>
      </c>
      <c r="D123" s="3">
        <v>152.4</v>
      </c>
      <c r="E123" s="3">
        <v>83.82</v>
      </c>
      <c r="F123" s="3">
        <v>20.87</v>
      </c>
      <c r="G123" s="3">
        <v>469.8</v>
      </c>
      <c r="H123" s="56">
        <v>4.008</v>
      </c>
      <c r="I123" s="13">
        <f t="shared" si="2"/>
        <v>4.0162913272640148</v>
      </c>
    </row>
    <row r="124" spans="2:9">
      <c r="C124" s="46">
        <v>2.1709999999999998</v>
      </c>
      <c r="D124" s="3">
        <v>127.2</v>
      </c>
      <c r="E124" s="3">
        <v>83.59</v>
      </c>
      <c r="F124" s="3">
        <v>21.14</v>
      </c>
      <c r="G124" s="3">
        <v>473.6</v>
      </c>
      <c r="H124" s="56">
        <v>4.3550000000000004</v>
      </c>
      <c r="I124" s="13">
        <f t="shared" si="2"/>
        <v>3.9541154210028382</v>
      </c>
    </row>
    <row r="125" spans="2:9">
      <c r="C125" s="46">
        <v>2.23</v>
      </c>
      <c r="D125" s="3">
        <v>136.1</v>
      </c>
      <c r="E125" s="3">
        <v>83.33</v>
      </c>
      <c r="F125" s="3">
        <v>20.93</v>
      </c>
      <c r="G125" s="3">
        <v>471.4</v>
      </c>
      <c r="H125" s="56">
        <v>4.0339999999999998</v>
      </c>
      <c r="I125" s="13">
        <f t="shared" si="2"/>
        <v>3.981366459627329</v>
      </c>
    </row>
    <row r="126" spans="2:9">
      <c r="C126" s="46">
        <v>2.2650000000000001</v>
      </c>
      <c r="D126" s="3">
        <v>102.7</v>
      </c>
      <c r="E126" s="3">
        <v>84.52</v>
      </c>
      <c r="F126" s="3">
        <v>21.01</v>
      </c>
      <c r="G126" s="3">
        <v>468.9</v>
      </c>
      <c r="H126" s="56">
        <v>4.5380000000000003</v>
      </c>
      <c r="I126" s="13">
        <f t="shared" si="2"/>
        <v>4.0228462636839595</v>
      </c>
    </row>
    <row r="127" spans="2:9">
      <c r="C127" s="46">
        <v>2.2309999999999999</v>
      </c>
      <c r="D127" s="3">
        <v>141.1</v>
      </c>
      <c r="E127" s="3">
        <v>84.74</v>
      </c>
      <c r="F127" s="3">
        <v>21.04</v>
      </c>
      <c r="G127" s="3">
        <v>467.7</v>
      </c>
      <c r="H127" s="56">
        <v>4.8029999999999999</v>
      </c>
      <c r="I127" s="13">
        <f t="shared" si="2"/>
        <v>4.0275665399239546</v>
      </c>
    </row>
    <row r="128" spans="2:9">
      <c r="C128" s="46">
        <v>2.2810000000000001</v>
      </c>
      <c r="D128" s="3">
        <v>102.5</v>
      </c>
      <c r="E128" s="3">
        <v>84.52</v>
      </c>
      <c r="F128" s="3">
        <v>20.93</v>
      </c>
      <c r="G128" s="3">
        <v>469.1</v>
      </c>
      <c r="H128" s="56">
        <v>4.3550000000000004</v>
      </c>
      <c r="I128" s="13">
        <f t="shared" si="2"/>
        <v>4.0382226469182987</v>
      </c>
    </row>
    <row r="129" spans="2:9">
      <c r="C129" s="46">
        <v>2.3159999999999998</v>
      </c>
      <c r="D129" s="3">
        <v>104.3</v>
      </c>
      <c r="E129" s="3">
        <v>84.21</v>
      </c>
      <c r="F129" s="3">
        <v>20.89</v>
      </c>
      <c r="G129" s="3">
        <v>468.5</v>
      </c>
      <c r="H129" s="56">
        <v>3.8940000000000001</v>
      </c>
      <c r="I129" s="13">
        <f t="shared" si="2"/>
        <v>4.0311153662039247</v>
      </c>
    </row>
    <row r="130" spans="2:9">
      <c r="C130" s="46">
        <v>2.3359999999999999</v>
      </c>
      <c r="D130" s="3">
        <v>113</v>
      </c>
      <c r="E130" s="3">
        <v>84.29</v>
      </c>
      <c r="F130" s="3">
        <v>21.4</v>
      </c>
      <c r="G130" s="3">
        <v>470.9</v>
      </c>
      <c r="H130" s="56">
        <v>3.6040000000000001</v>
      </c>
      <c r="I130" s="13">
        <f t="shared" si="2"/>
        <v>3.9387850467289724</v>
      </c>
    </row>
    <row r="131" spans="2:9">
      <c r="C131" s="46">
        <v>2.3450000000000002</v>
      </c>
      <c r="D131" s="3">
        <v>108.5</v>
      </c>
      <c r="E131" s="3">
        <v>83.82</v>
      </c>
      <c r="F131" s="3">
        <v>20.67</v>
      </c>
      <c r="G131" s="3">
        <v>472.7</v>
      </c>
      <c r="H131" s="56">
        <v>3.847</v>
      </c>
      <c r="I131" s="13">
        <f t="shared" si="2"/>
        <v>4.0551523947750354</v>
      </c>
    </row>
    <row r="132" spans="2:9">
      <c r="C132" s="46">
        <v>2.34</v>
      </c>
      <c r="D132" s="3">
        <v>103.7</v>
      </c>
      <c r="E132" s="3">
        <v>84.05</v>
      </c>
      <c r="F132" s="3">
        <v>21.2</v>
      </c>
      <c r="G132" s="3">
        <v>469.1</v>
      </c>
      <c r="H132" s="56">
        <v>4.0640000000000001</v>
      </c>
      <c r="I132" s="13">
        <f t="shared" si="2"/>
        <v>3.9646226415094339</v>
      </c>
    </row>
    <row r="133" spans="2:9">
      <c r="C133" s="46">
        <v>2.355</v>
      </c>
      <c r="D133" s="3">
        <v>120.2</v>
      </c>
      <c r="E133" s="3">
        <v>84.74</v>
      </c>
      <c r="F133" s="3">
        <v>20.83</v>
      </c>
      <c r="G133" s="3">
        <v>468.6</v>
      </c>
      <c r="H133" s="56">
        <v>3.847</v>
      </c>
      <c r="I133" s="13">
        <f t="shared" si="2"/>
        <v>4.0681709073451753</v>
      </c>
    </row>
    <row r="134" spans="2:9">
      <c r="C134" s="46">
        <v>2.3639999999999999</v>
      </c>
      <c r="D134" s="3">
        <v>129.30000000000001</v>
      </c>
      <c r="E134" s="3">
        <v>84.27</v>
      </c>
      <c r="F134" s="3">
        <v>20.87</v>
      </c>
      <c r="G134" s="3">
        <v>468.1</v>
      </c>
      <c r="H134" s="56">
        <v>3.5369999999999999</v>
      </c>
      <c r="I134" s="13">
        <f t="shared" si="2"/>
        <v>4.0378533780546233</v>
      </c>
    </row>
    <row r="135" spans="2:9">
      <c r="C135" s="46">
        <v>2.359</v>
      </c>
      <c r="D135" s="3">
        <v>97.3</v>
      </c>
      <c r="E135" s="3">
        <v>83.8</v>
      </c>
      <c r="F135" s="3">
        <v>21.34</v>
      </c>
      <c r="G135" s="3">
        <v>467.2</v>
      </c>
      <c r="H135" s="56">
        <v>3.605</v>
      </c>
      <c r="I135" s="13">
        <f t="shared" si="2"/>
        <v>3.9268978444236176</v>
      </c>
    </row>
    <row r="136" spans="2:9">
      <c r="C136" s="46">
        <v>2.355</v>
      </c>
      <c r="D136" s="3">
        <v>128.19999999999999</v>
      </c>
      <c r="E136" s="3">
        <v>83.32</v>
      </c>
      <c r="F136" s="3">
        <v>21.08</v>
      </c>
      <c r="G136" s="3">
        <v>466.1</v>
      </c>
      <c r="H136" s="56">
        <v>3.6150000000000002</v>
      </c>
      <c r="I136" s="13">
        <f t="shared" si="2"/>
        <v>3.9525616698292221</v>
      </c>
    </row>
    <row r="137" spans="2:9">
      <c r="C137" s="46">
        <v>2.3639999999999999</v>
      </c>
      <c r="D137" s="3">
        <v>130</v>
      </c>
      <c r="E137" s="3">
        <v>83.56</v>
      </c>
      <c r="F137" s="3">
        <v>20.82</v>
      </c>
      <c r="G137" s="3">
        <v>468</v>
      </c>
      <c r="H137" s="56">
        <v>4.0339999999999998</v>
      </c>
      <c r="I137" s="13">
        <f t="shared" si="2"/>
        <v>4.0134486071085496</v>
      </c>
    </row>
    <row r="138" spans="2:9">
      <c r="C138" s="46">
        <v>2.3479999999999999</v>
      </c>
      <c r="D138" s="3">
        <v>100.5</v>
      </c>
      <c r="E138" s="3">
        <v>84.74</v>
      </c>
      <c r="F138" s="3">
        <v>21.08</v>
      </c>
      <c r="G138" s="3">
        <v>470.3</v>
      </c>
      <c r="H138" s="56">
        <v>3.8940000000000001</v>
      </c>
      <c r="I138" s="13">
        <f t="shared" si="2"/>
        <v>4.0199240986717264</v>
      </c>
    </row>
    <row r="139" spans="2:9">
      <c r="C139" s="46">
        <v>2.36</v>
      </c>
      <c r="D139" s="3">
        <v>81.400000000000006</v>
      </c>
      <c r="E139" s="3">
        <v>84.04</v>
      </c>
      <c r="F139" s="3">
        <v>21.34</v>
      </c>
      <c r="G139" s="3">
        <v>463</v>
      </c>
      <c r="H139" s="56">
        <v>3.6040000000000001</v>
      </c>
      <c r="I139" s="13">
        <f t="shared" si="2"/>
        <v>3.9381443298969074</v>
      </c>
    </row>
    <row r="140" spans="2:9">
      <c r="C140" s="46">
        <v>2.3570000000000002</v>
      </c>
      <c r="D140" s="3">
        <v>104.2</v>
      </c>
      <c r="E140" s="3">
        <v>84.52</v>
      </c>
      <c r="F140" s="3">
        <v>20.57</v>
      </c>
      <c r="G140" s="3">
        <v>471.9</v>
      </c>
      <c r="H140" s="56">
        <v>3.4670000000000001</v>
      </c>
      <c r="I140" s="13">
        <f t="shared" si="2"/>
        <v>4.1088964511424404</v>
      </c>
    </row>
    <row r="141" spans="2:9">
      <c r="C141" s="46">
        <v>2.3410000000000002</v>
      </c>
      <c r="D141" s="3">
        <v>148.80000000000001</v>
      </c>
      <c r="E141" s="3">
        <v>84.99</v>
      </c>
      <c r="F141" s="3">
        <v>21.34</v>
      </c>
      <c r="G141" s="3">
        <v>467.7</v>
      </c>
      <c r="H141" s="56">
        <v>3.847</v>
      </c>
      <c r="I141" s="13">
        <f t="shared" si="2"/>
        <v>3.9826616682286784</v>
      </c>
    </row>
    <row r="142" spans="2:9">
      <c r="B142" s="16">
        <v>8</v>
      </c>
      <c r="C142" s="47">
        <v>3.149</v>
      </c>
      <c r="D142" s="18">
        <v>108.7</v>
      </c>
      <c r="E142" s="16">
        <v>96.52</v>
      </c>
      <c r="F142" s="16">
        <v>37.81</v>
      </c>
      <c r="G142" s="16">
        <v>495.6</v>
      </c>
      <c r="H142" s="16">
        <v>2.5710000000000002</v>
      </c>
      <c r="I142" s="13">
        <f t="shared" si="2"/>
        <v>2.5527638190954773</v>
      </c>
    </row>
    <row r="143" spans="2:9">
      <c r="C143" s="46">
        <v>3.18</v>
      </c>
      <c r="D143" s="3">
        <v>106.1</v>
      </c>
      <c r="E143" s="3">
        <v>96.15</v>
      </c>
      <c r="F143" s="3">
        <v>38</v>
      </c>
      <c r="G143" s="3">
        <v>494.5</v>
      </c>
      <c r="H143" s="3">
        <v>2.5920000000000001</v>
      </c>
      <c r="I143" s="13">
        <f t="shared" si="2"/>
        <v>2.530263157894737</v>
      </c>
    </row>
    <row r="144" spans="2:9">
      <c r="C144" s="46">
        <v>3.1219999999999999</v>
      </c>
      <c r="D144" s="3">
        <v>105.3</v>
      </c>
      <c r="E144" s="3">
        <v>95.23</v>
      </c>
      <c r="F144" s="3">
        <v>38.75</v>
      </c>
      <c r="G144" s="3">
        <v>522.70000000000005</v>
      </c>
      <c r="H144" s="3">
        <v>2.5870000000000002</v>
      </c>
      <c r="I144" s="13">
        <f t="shared" si="2"/>
        <v>2.4575483870967743</v>
      </c>
    </row>
    <row r="145" spans="3:9">
      <c r="C145" s="46">
        <v>3.024</v>
      </c>
      <c r="D145" s="3">
        <v>108.9</v>
      </c>
      <c r="E145" s="3">
        <v>95.23</v>
      </c>
      <c r="F145" s="3">
        <v>38.56</v>
      </c>
      <c r="G145" s="3">
        <v>506.8</v>
      </c>
      <c r="H145" s="3">
        <v>2.4630000000000001</v>
      </c>
      <c r="I145" s="13">
        <f t="shared" si="2"/>
        <v>2.4696576763485476</v>
      </c>
    </row>
    <row r="146" spans="3:9">
      <c r="C146" s="46">
        <v>2.9889999999999999</v>
      </c>
      <c r="D146" s="3">
        <v>115.1</v>
      </c>
      <c r="E146" s="3">
        <v>95.59</v>
      </c>
      <c r="F146" s="3">
        <v>37.26</v>
      </c>
      <c r="G146" s="3">
        <v>498.2</v>
      </c>
      <c r="H146" s="3">
        <v>2.444</v>
      </c>
      <c r="I146" s="13">
        <f t="shared" si="2"/>
        <v>2.5654857756307035</v>
      </c>
    </row>
    <row r="147" spans="3:9">
      <c r="C147" s="46">
        <v>3.0430000000000001</v>
      </c>
      <c r="D147" s="3">
        <v>97.5</v>
      </c>
      <c r="E147" s="3">
        <v>95.04</v>
      </c>
      <c r="F147" s="3">
        <v>37.82</v>
      </c>
      <c r="G147" s="3">
        <v>502.2</v>
      </c>
      <c r="H147" s="3">
        <v>2.427</v>
      </c>
      <c r="I147" s="13">
        <f t="shared" si="2"/>
        <v>2.5129561078794289</v>
      </c>
    </row>
    <row r="148" spans="3:9">
      <c r="C148" s="46">
        <v>3.0129999999999999</v>
      </c>
      <c r="D148" s="3">
        <v>124.8</v>
      </c>
      <c r="E148" s="3">
        <v>95.96</v>
      </c>
      <c r="F148" s="3">
        <v>37.36</v>
      </c>
      <c r="G148" s="3">
        <v>494.7</v>
      </c>
      <c r="H148" s="3">
        <v>2.504</v>
      </c>
      <c r="I148" s="13">
        <f t="shared" si="2"/>
        <v>2.5685224839400429</v>
      </c>
    </row>
    <row r="149" spans="3:9">
      <c r="C149" s="46">
        <v>3.0379999999999998</v>
      </c>
      <c r="D149" s="3">
        <v>90.3</v>
      </c>
      <c r="E149" s="3">
        <v>95.42</v>
      </c>
      <c r="F149" s="3">
        <v>38.24</v>
      </c>
      <c r="G149" s="3">
        <v>495.6</v>
      </c>
      <c r="H149" s="3">
        <v>2.6269999999999998</v>
      </c>
      <c r="I149" s="13">
        <f t="shared" si="2"/>
        <v>2.4952928870292888</v>
      </c>
    </row>
    <row r="150" spans="3:9">
      <c r="C150" s="46">
        <v>3.0070000000000001</v>
      </c>
      <c r="D150" s="3">
        <v>112.4</v>
      </c>
      <c r="E150" s="3">
        <v>95.72</v>
      </c>
      <c r="F150" s="3">
        <v>37.4</v>
      </c>
      <c r="G150" s="3">
        <v>501.8</v>
      </c>
      <c r="H150" s="3">
        <v>2.5840000000000001</v>
      </c>
      <c r="I150" s="13">
        <f t="shared" ref="I150:I213" si="3">E150/F150</f>
        <v>2.5593582887700537</v>
      </c>
    </row>
    <row r="151" spans="3:9">
      <c r="C151" s="46">
        <v>3.056</v>
      </c>
      <c r="D151" s="3">
        <v>107.5</v>
      </c>
      <c r="E151" s="3">
        <v>94.62</v>
      </c>
      <c r="F151" s="3">
        <v>38.01</v>
      </c>
      <c r="G151" s="3">
        <v>504.4</v>
      </c>
      <c r="H151" s="3">
        <v>2.6120000000000001</v>
      </c>
      <c r="I151" s="13">
        <f t="shared" si="3"/>
        <v>2.4893449092344122</v>
      </c>
    </row>
    <row r="152" spans="3:9">
      <c r="C152" s="46">
        <v>3.1339999999999999</v>
      </c>
      <c r="D152" s="3">
        <v>114.4</v>
      </c>
      <c r="E152" s="3">
        <v>94.95</v>
      </c>
      <c r="F152" s="3">
        <v>36.54</v>
      </c>
      <c r="G152" s="3">
        <v>499.1</v>
      </c>
      <c r="H152" s="3">
        <v>2.5169999999999999</v>
      </c>
      <c r="I152" s="13">
        <f t="shared" si="3"/>
        <v>2.5985221674876851</v>
      </c>
    </row>
    <row r="153" spans="3:9">
      <c r="C153" s="46">
        <v>3.161</v>
      </c>
      <c r="D153" s="3">
        <v>93.4</v>
      </c>
      <c r="E153" s="3">
        <v>95.69</v>
      </c>
      <c r="F153" s="3">
        <v>37.200000000000003</v>
      </c>
      <c r="G153" s="3">
        <v>499.3</v>
      </c>
      <c r="H153" s="3">
        <v>2.4630000000000001</v>
      </c>
      <c r="I153" s="13">
        <f t="shared" si="3"/>
        <v>2.5723118279569892</v>
      </c>
    </row>
    <row r="154" spans="3:9">
      <c r="C154" s="46">
        <v>3.18</v>
      </c>
      <c r="D154" s="3">
        <v>121.2</v>
      </c>
      <c r="E154" s="3">
        <v>95.14</v>
      </c>
      <c r="F154" s="3">
        <v>36.270000000000003</v>
      </c>
      <c r="G154" s="3">
        <v>504.4</v>
      </c>
      <c r="H154" s="3">
        <v>2.4390000000000001</v>
      </c>
      <c r="I154" s="13">
        <f t="shared" si="3"/>
        <v>2.6231044940722357</v>
      </c>
    </row>
    <row r="155" spans="3:9">
      <c r="C155" s="46">
        <v>3.15</v>
      </c>
      <c r="D155" s="3">
        <v>163.5</v>
      </c>
      <c r="E155" s="3">
        <v>95.79</v>
      </c>
      <c r="F155" s="3">
        <v>36.47</v>
      </c>
      <c r="G155" s="3">
        <v>502.2</v>
      </c>
      <c r="H155" s="3">
        <v>2.4849999999999999</v>
      </c>
      <c r="I155" s="13">
        <f t="shared" si="3"/>
        <v>2.6265423635865095</v>
      </c>
    </row>
    <row r="156" spans="3:9">
      <c r="C156" s="46">
        <v>3.085</v>
      </c>
      <c r="D156" s="3">
        <v>97.5</v>
      </c>
      <c r="E156" s="3">
        <v>95.67</v>
      </c>
      <c r="F156" s="3">
        <v>36.74</v>
      </c>
      <c r="G156" s="3">
        <v>511.5</v>
      </c>
      <c r="H156" s="3">
        <v>2.6520000000000001</v>
      </c>
      <c r="I156" s="13">
        <f t="shared" si="3"/>
        <v>2.6039738704409361</v>
      </c>
    </row>
    <row r="157" spans="3:9">
      <c r="C157" s="46">
        <v>3.0710000000000002</v>
      </c>
      <c r="D157" s="3">
        <v>90.3</v>
      </c>
      <c r="E157" s="3">
        <v>95.15</v>
      </c>
      <c r="F157" s="3">
        <v>36.54</v>
      </c>
      <c r="G157" s="3">
        <v>496.4</v>
      </c>
      <c r="H157" s="3">
        <v>2.8679999999999999</v>
      </c>
      <c r="I157" s="13">
        <f t="shared" si="3"/>
        <v>2.6039956212370008</v>
      </c>
    </row>
    <row r="158" spans="3:9">
      <c r="C158" s="46">
        <v>2.931</v>
      </c>
      <c r="D158" s="3">
        <v>110.8</v>
      </c>
      <c r="E158" s="3">
        <v>95.47</v>
      </c>
      <c r="F158" s="3">
        <v>36.93</v>
      </c>
      <c r="G158" s="3">
        <v>498.9</v>
      </c>
      <c r="H158" s="3">
        <v>2.7250000000000001</v>
      </c>
      <c r="I158" s="13">
        <f t="shared" si="3"/>
        <v>2.5851611156241536</v>
      </c>
    </row>
    <row r="159" spans="3:9">
      <c r="C159" s="46">
        <v>2.9660000000000002</v>
      </c>
      <c r="D159" s="3">
        <v>101.1</v>
      </c>
      <c r="E159" s="3">
        <v>95.26</v>
      </c>
      <c r="F159" s="3">
        <v>36.35</v>
      </c>
      <c r="G159" s="3">
        <v>533.6</v>
      </c>
      <c r="H159" s="3">
        <v>2.6120000000000001</v>
      </c>
      <c r="I159" s="13">
        <f t="shared" si="3"/>
        <v>2.6206327372764786</v>
      </c>
    </row>
    <row r="160" spans="3:9">
      <c r="C160" s="46">
        <v>2.931</v>
      </c>
      <c r="D160" s="3">
        <v>116.2</v>
      </c>
      <c r="E160" s="3">
        <v>95.14</v>
      </c>
      <c r="F160" s="3">
        <v>36.67</v>
      </c>
      <c r="G160" s="3">
        <v>506.1</v>
      </c>
      <c r="H160" s="3">
        <v>2.4689999999999999</v>
      </c>
      <c r="I160" s="13">
        <f t="shared" si="3"/>
        <v>2.5944914098718299</v>
      </c>
    </row>
    <row r="161" spans="2:9">
      <c r="C161" s="46">
        <v>2.9409999999999998</v>
      </c>
      <c r="D161" s="3">
        <v>93.7</v>
      </c>
      <c r="E161" s="3">
        <v>94.86</v>
      </c>
      <c r="F161" s="3">
        <v>36.619999999999997</v>
      </c>
      <c r="G161" s="3">
        <v>495.6</v>
      </c>
      <c r="H161" s="3">
        <v>2.4940000000000002</v>
      </c>
      <c r="I161" s="13">
        <f t="shared" si="3"/>
        <v>2.590387766247952</v>
      </c>
    </row>
    <row r="162" spans="2:9">
      <c r="B162" s="16">
        <v>9</v>
      </c>
      <c r="C162" s="47">
        <v>2.4830000000000001</v>
      </c>
      <c r="D162" s="18">
        <v>99.29</v>
      </c>
      <c r="E162" s="16">
        <v>97.42</v>
      </c>
      <c r="F162" s="16">
        <v>15.32</v>
      </c>
      <c r="G162" s="16">
        <v>494.8</v>
      </c>
      <c r="H162" s="16">
        <v>2.9369999999999998</v>
      </c>
      <c r="I162" s="13">
        <f t="shared" si="3"/>
        <v>6.3590078328981727</v>
      </c>
    </row>
    <row r="163" spans="2:9">
      <c r="C163" s="46">
        <v>2.4609999999999999</v>
      </c>
      <c r="D163" s="3">
        <v>125.7</v>
      </c>
      <c r="E163" s="3">
        <v>97.83</v>
      </c>
      <c r="F163" s="3">
        <v>15.37</v>
      </c>
      <c r="G163" s="3">
        <v>488.9</v>
      </c>
      <c r="H163" s="3">
        <v>3.0390000000000001</v>
      </c>
      <c r="I163" s="13">
        <f t="shared" si="3"/>
        <v>6.3649967469095641</v>
      </c>
    </row>
    <row r="164" spans="2:9">
      <c r="C164" s="46">
        <v>2.468</v>
      </c>
      <c r="D164" s="3">
        <v>106.6</v>
      </c>
      <c r="E164" s="3">
        <v>97.44</v>
      </c>
      <c r="F164" s="3">
        <v>15.02</v>
      </c>
      <c r="G164" s="3">
        <v>495.4</v>
      </c>
      <c r="H164" s="3">
        <v>3.319</v>
      </c>
      <c r="I164" s="13">
        <f t="shared" si="3"/>
        <v>6.4873501997336884</v>
      </c>
    </row>
    <row r="165" spans="2:9">
      <c r="C165" s="46">
        <v>2.464</v>
      </c>
      <c r="D165" s="3">
        <v>99.29</v>
      </c>
      <c r="E165" s="3">
        <v>97.16</v>
      </c>
      <c r="F165" s="3">
        <v>15.07</v>
      </c>
      <c r="G165" s="3">
        <v>495</v>
      </c>
      <c r="H165" s="3">
        <v>3.0329999999999999</v>
      </c>
      <c r="I165" s="13">
        <f t="shared" si="3"/>
        <v>6.4472461844724611</v>
      </c>
    </row>
    <row r="166" spans="2:9">
      <c r="C166" s="46">
        <v>2.4319999999999999</v>
      </c>
      <c r="D166" s="3">
        <v>143.6</v>
      </c>
      <c r="E166" s="3">
        <v>97.21</v>
      </c>
      <c r="F166" s="3">
        <v>15.12</v>
      </c>
      <c r="G166" s="3">
        <v>492.2</v>
      </c>
      <c r="H166" s="3">
        <v>3.4079999999999999</v>
      </c>
      <c r="I166" s="13">
        <f t="shared" si="3"/>
        <v>6.4292328042328037</v>
      </c>
    </row>
    <row r="167" spans="2:9">
      <c r="C167" s="46">
        <v>2.431</v>
      </c>
      <c r="D167" s="3">
        <v>111.1</v>
      </c>
      <c r="E167" s="3">
        <v>97.44</v>
      </c>
      <c r="F167" s="3">
        <v>15.5</v>
      </c>
      <c r="G167" s="3">
        <v>497.2</v>
      </c>
      <c r="H167" s="3">
        <v>3.4830000000000001</v>
      </c>
      <c r="I167" s="13">
        <f t="shared" si="3"/>
        <v>6.2864516129032255</v>
      </c>
    </row>
    <row r="168" spans="2:9">
      <c r="C168" s="46">
        <v>2.3450000000000002</v>
      </c>
      <c r="D168" s="3">
        <v>127.8</v>
      </c>
      <c r="E168" s="3">
        <v>97.35</v>
      </c>
      <c r="F168" s="3">
        <v>15.67</v>
      </c>
      <c r="G168" s="3">
        <v>501.6</v>
      </c>
      <c r="H168" s="3">
        <v>2.831</v>
      </c>
      <c r="I168" s="13">
        <f t="shared" si="3"/>
        <v>6.2125079770261644</v>
      </c>
    </row>
    <row r="169" spans="2:9">
      <c r="C169" s="46">
        <v>2.411</v>
      </c>
      <c r="D169" s="3">
        <v>114.7</v>
      </c>
      <c r="E169" s="3">
        <v>96.52</v>
      </c>
      <c r="F169" s="3">
        <v>14.87</v>
      </c>
      <c r="G169" s="3">
        <v>494.1</v>
      </c>
      <c r="H169" s="3">
        <v>3.1960000000000002</v>
      </c>
      <c r="I169" s="13">
        <f t="shared" si="3"/>
        <v>6.4909213180901144</v>
      </c>
    </row>
    <row r="170" spans="2:9">
      <c r="C170" s="46">
        <v>2.371</v>
      </c>
      <c r="D170" s="3">
        <v>152.19999999999999</v>
      </c>
      <c r="E170" s="3">
        <v>97.32</v>
      </c>
      <c r="F170" s="3">
        <v>15.18</v>
      </c>
      <c r="G170" s="3">
        <v>489.9</v>
      </c>
      <c r="H170" s="3">
        <v>3.1309999999999998</v>
      </c>
      <c r="I170" s="13">
        <f t="shared" si="3"/>
        <v>6.4110671936758887</v>
      </c>
    </row>
    <row r="171" spans="2:9">
      <c r="C171" s="46">
        <v>2.359</v>
      </c>
      <c r="D171" s="3">
        <v>145.80000000000001</v>
      </c>
      <c r="E171" s="3">
        <v>97.52</v>
      </c>
      <c r="F171" s="3">
        <v>18.809999999999999</v>
      </c>
      <c r="G171" s="3">
        <v>498.3</v>
      </c>
      <c r="H171" s="3">
        <v>2.931</v>
      </c>
      <c r="I171" s="13">
        <f t="shared" si="3"/>
        <v>5.1844763423710791</v>
      </c>
    </row>
    <row r="172" spans="2:9">
      <c r="C172" s="46">
        <v>2.4670000000000001</v>
      </c>
      <c r="D172" s="3">
        <v>157.19999999999999</v>
      </c>
      <c r="E172" s="3">
        <v>97.5</v>
      </c>
      <c r="F172" s="3">
        <v>15.39</v>
      </c>
      <c r="G172" s="3">
        <v>504.6</v>
      </c>
      <c r="H172" s="3">
        <v>2.9369999999999998</v>
      </c>
      <c r="I172" s="13">
        <f t="shared" si="3"/>
        <v>6.3352826510721245</v>
      </c>
    </row>
    <row r="173" spans="2:9">
      <c r="C173" s="46">
        <v>2.4860000000000002</v>
      </c>
      <c r="D173" s="3">
        <v>156.1</v>
      </c>
      <c r="E173" s="3">
        <v>97.3</v>
      </c>
      <c r="F173" s="3">
        <v>15.67</v>
      </c>
      <c r="G173" s="3">
        <v>501</v>
      </c>
      <c r="H173" s="3">
        <v>3.0630000000000002</v>
      </c>
      <c r="I173" s="13">
        <f t="shared" si="3"/>
        <v>6.2093171665603064</v>
      </c>
    </row>
    <row r="174" spans="2:9">
      <c r="C174" s="46">
        <v>2.4900000000000002</v>
      </c>
      <c r="D174" s="3">
        <v>125.7</v>
      </c>
      <c r="E174" s="3">
        <v>97.42</v>
      </c>
      <c r="F174" s="3">
        <v>15.92</v>
      </c>
      <c r="G174" s="3">
        <v>495.3</v>
      </c>
      <c r="H174" s="3">
        <v>3.3559999999999999</v>
      </c>
      <c r="I174" s="13">
        <f t="shared" si="3"/>
        <v>6.1193467336683423</v>
      </c>
    </row>
    <row r="175" spans="2:9">
      <c r="C175" s="46">
        <v>2.4750000000000001</v>
      </c>
      <c r="D175" s="3">
        <v>89.94</v>
      </c>
      <c r="E175" s="3">
        <v>97.32</v>
      </c>
      <c r="F175" s="3">
        <v>15.61</v>
      </c>
      <c r="G175" s="3">
        <v>489.9</v>
      </c>
      <c r="H175" s="3">
        <v>3.2050000000000001</v>
      </c>
      <c r="I175" s="13">
        <f t="shared" si="3"/>
        <v>6.2344650864830236</v>
      </c>
    </row>
    <row r="176" spans="2:9">
      <c r="C176" s="46">
        <v>2.4569999999999999</v>
      </c>
      <c r="D176" s="3">
        <v>172.2</v>
      </c>
      <c r="E176" s="3">
        <v>96.9</v>
      </c>
      <c r="F176" s="3">
        <v>16.02</v>
      </c>
      <c r="G176" s="3">
        <v>500.2</v>
      </c>
      <c r="H176" s="3">
        <v>3.359</v>
      </c>
      <c r="I176" s="13">
        <f t="shared" si="3"/>
        <v>6.0486891385767798</v>
      </c>
    </row>
    <row r="177" spans="2:9">
      <c r="C177" s="46">
        <v>2.444</v>
      </c>
      <c r="D177" s="3">
        <v>102.5</v>
      </c>
      <c r="E177" s="3">
        <v>97.48</v>
      </c>
      <c r="F177" s="3">
        <v>15.54</v>
      </c>
      <c r="G177" s="3">
        <v>500.3</v>
      </c>
      <c r="H177" s="3">
        <v>3.0209999999999999</v>
      </c>
      <c r="I177" s="13">
        <f t="shared" si="3"/>
        <v>6.2728442728442735</v>
      </c>
    </row>
    <row r="178" spans="2:9">
      <c r="C178" s="46">
        <v>2.423</v>
      </c>
      <c r="D178" s="3">
        <v>90.97</v>
      </c>
      <c r="E178" s="3">
        <v>98.08</v>
      </c>
      <c r="F178" s="3">
        <v>15.41</v>
      </c>
      <c r="G178" s="3">
        <v>493.9</v>
      </c>
      <c r="H178" s="3">
        <v>2.6480000000000001</v>
      </c>
      <c r="I178" s="13">
        <f t="shared" si="3"/>
        <v>6.3646982478909795</v>
      </c>
    </row>
    <row r="179" spans="2:9">
      <c r="C179" s="46">
        <v>2.3929999999999998</v>
      </c>
      <c r="D179" s="3">
        <v>165.6</v>
      </c>
      <c r="E179" s="3">
        <v>97.64</v>
      </c>
      <c r="F179" s="3">
        <v>15.5</v>
      </c>
      <c r="G179" s="3">
        <v>498.8</v>
      </c>
      <c r="H179" s="3">
        <v>3.3149999999999999</v>
      </c>
      <c r="I179" s="13">
        <f t="shared" si="3"/>
        <v>6.2993548387096778</v>
      </c>
    </row>
    <row r="180" spans="2:9">
      <c r="C180" s="46">
        <v>2.431</v>
      </c>
      <c r="D180" s="3">
        <v>147.9</v>
      </c>
      <c r="E180" s="3">
        <v>97.9</v>
      </c>
      <c r="F180" s="3">
        <v>15.61</v>
      </c>
      <c r="G180" s="3">
        <v>503.3</v>
      </c>
      <c r="H180" s="3">
        <v>2.9239999999999999</v>
      </c>
      <c r="I180" s="13">
        <f t="shared" si="3"/>
        <v>6.2716207559256896</v>
      </c>
    </row>
    <row r="181" spans="2:9">
      <c r="C181" s="46">
        <v>2.4750000000000001</v>
      </c>
      <c r="D181" s="3">
        <v>142.80000000000001</v>
      </c>
      <c r="E181" s="3">
        <v>97.76</v>
      </c>
      <c r="F181" s="3">
        <v>15.71</v>
      </c>
      <c r="G181" s="3">
        <v>491.8</v>
      </c>
      <c r="H181" s="3">
        <v>2.6840000000000002</v>
      </c>
      <c r="I181" s="13">
        <f t="shared" si="3"/>
        <v>6.2227880330999366</v>
      </c>
    </row>
    <row r="182" spans="2:9">
      <c r="B182" s="16">
        <v>10</v>
      </c>
      <c r="C182" s="47">
        <v>3.3460000000000001</v>
      </c>
      <c r="D182" s="18">
        <v>100.5</v>
      </c>
      <c r="E182" s="16">
        <v>93.68</v>
      </c>
      <c r="F182" s="16">
        <v>27.72</v>
      </c>
      <c r="G182" s="16">
        <v>518.9</v>
      </c>
      <c r="H182" s="16">
        <v>3.1150000000000002</v>
      </c>
      <c r="I182" s="13">
        <f t="shared" si="3"/>
        <v>3.37950937950938</v>
      </c>
    </row>
    <row r="183" spans="2:9">
      <c r="C183" s="46">
        <v>3.3809999999999998</v>
      </c>
      <c r="D183" s="3">
        <v>98.1</v>
      </c>
      <c r="E183" s="3">
        <v>93.73</v>
      </c>
      <c r="F183" s="3">
        <v>26.67</v>
      </c>
      <c r="G183" s="3">
        <v>518.1</v>
      </c>
      <c r="H183" s="3">
        <v>3.8719999999999999</v>
      </c>
      <c r="I183" s="13">
        <f t="shared" si="3"/>
        <v>3.5144356955380576</v>
      </c>
    </row>
    <row r="184" spans="2:9">
      <c r="C184" s="46">
        <v>3.4239999999999999</v>
      </c>
      <c r="D184" s="3">
        <v>91.3</v>
      </c>
      <c r="E184" s="3">
        <v>93</v>
      </c>
      <c r="F184" s="3">
        <v>27.01</v>
      </c>
      <c r="G184" s="3">
        <v>512.1</v>
      </c>
      <c r="H184" s="3">
        <v>3.5640000000000001</v>
      </c>
      <c r="I184" s="13">
        <f t="shared" si="3"/>
        <v>3.4431691965938538</v>
      </c>
    </row>
    <row r="185" spans="2:9">
      <c r="C185" s="46">
        <v>3.4489999999999998</v>
      </c>
      <c r="D185" s="3">
        <v>94.5</v>
      </c>
      <c r="E185" s="3">
        <v>93.01</v>
      </c>
      <c r="F185" s="3">
        <v>26.65</v>
      </c>
      <c r="G185" s="3">
        <v>510.9</v>
      </c>
      <c r="H185" s="3">
        <v>3.4609999999999999</v>
      </c>
      <c r="I185" s="13">
        <f t="shared" si="3"/>
        <v>3.4900562851782366</v>
      </c>
    </row>
    <row r="186" spans="2:9">
      <c r="C186" s="46">
        <v>3.4390000000000001</v>
      </c>
      <c r="D186" s="3">
        <v>97</v>
      </c>
      <c r="E186" s="3">
        <v>93.07</v>
      </c>
      <c r="F186" s="3">
        <v>26.01</v>
      </c>
      <c r="G186" s="3">
        <v>510.7</v>
      </c>
      <c r="H186" s="3">
        <v>3.629</v>
      </c>
      <c r="I186" s="13">
        <f t="shared" si="3"/>
        <v>3.5782391387927714</v>
      </c>
    </row>
    <row r="187" spans="2:9">
      <c r="C187" s="46">
        <v>3.3780000000000001</v>
      </c>
      <c r="D187" s="3">
        <v>115.5</v>
      </c>
      <c r="E187" s="3">
        <v>93.13</v>
      </c>
      <c r="F187" s="3">
        <v>26.34</v>
      </c>
      <c r="G187" s="3">
        <v>513.29999999999995</v>
      </c>
      <c r="H187" s="3">
        <v>3.7410000000000001</v>
      </c>
      <c r="I187" s="13">
        <f t="shared" si="3"/>
        <v>3.5356871678056185</v>
      </c>
    </row>
    <row r="188" spans="2:9">
      <c r="C188" s="46">
        <v>3.347</v>
      </c>
      <c r="D188" s="3">
        <v>126.4</v>
      </c>
      <c r="E188" s="3">
        <v>93.17</v>
      </c>
      <c r="F188" s="3">
        <v>26.67</v>
      </c>
      <c r="G188" s="3">
        <v>510</v>
      </c>
      <c r="H188" s="3">
        <v>2.6789999999999998</v>
      </c>
      <c r="I188" s="13">
        <f t="shared" si="3"/>
        <v>3.4934383202099735</v>
      </c>
    </row>
    <row r="189" spans="2:9">
      <c r="C189" s="46">
        <v>3.3039999999999998</v>
      </c>
      <c r="D189" s="3">
        <v>124.2</v>
      </c>
      <c r="E189" s="3">
        <v>93.26</v>
      </c>
      <c r="F189" s="3">
        <v>26</v>
      </c>
      <c r="G189" s="3">
        <v>513.70000000000005</v>
      </c>
      <c r="H189" s="3">
        <v>2.5289999999999999</v>
      </c>
      <c r="I189" s="13">
        <f t="shared" si="3"/>
        <v>3.5869230769230773</v>
      </c>
    </row>
    <row r="190" spans="2:9">
      <c r="C190" s="46">
        <v>3.2509999999999999</v>
      </c>
      <c r="D190" s="3">
        <v>81</v>
      </c>
      <c r="E190" s="3">
        <v>94.37</v>
      </c>
      <c r="F190" s="3">
        <v>26.33</v>
      </c>
      <c r="G190" s="3">
        <v>513.20000000000005</v>
      </c>
      <c r="H190" s="3">
        <v>2.516</v>
      </c>
      <c r="I190" s="13">
        <f t="shared" si="3"/>
        <v>3.5841245727307256</v>
      </c>
    </row>
    <row r="191" spans="2:9">
      <c r="C191" s="46">
        <v>3.2519999999999998</v>
      </c>
      <c r="D191" s="3">
        <v>135.4</v>
      </c>
      <c r="E191" s="3">
        <v>94.38</v>
      </c>
      <c r="F191" s="3">
        <v>26.67</v>
      </c>
      <c r="G191" s="3">
        <v>513.79999999999995</v>
      </c>
      <c r="H191" s="3">
        <v>1.296</v>
      </c>
      <c r="I191" s="13">
        <f t="shared" si="3"/>
        <v>3.5388076490438691</v>
      </c>
    </row>
    <row r="192" spans="2:9">
      <c r="C192" s="46">
        <v>3.19</v>
      </c>
      <c r="D192" s="3">
        <v>113</v>
      </c>
      <c r="E192" s="3">
        <v>94.39</v>
      </c>
      <c r="F192" s="3">
        <v>26.72</v>
      </c>
      <c r="G192" s="3">
        <v>512.6</v>
      </c>
      <c r="H192" s="3">
        <v>2.2029999999999998</v>
      </c>
      <c r="I192" s="13">
        <f t="shared" si="3"/>
        <v>3.5325598802395213</v>
      </c>
    </row>
    <row r="193" spans="2:9">
      <c r="C193" s="46">
        <v>3.2519999999999998</v>
      </c>
      <c r="D193" s="3">
        <v>117.7</v>
      </c>
      <c r="E193" s="3">
        <v>94.8</v>
      </c>
      <c r="F193" s="3">
        <v>27.02</v>
      </c>
      <c r="G193" s="3">
        <v>510.6</v>
      </c>
      <c r="H193" s="3">
        <v>2.9249999999999998</v>
      </c>
      <c r="I193" s="13">
        <f t="shared" si="3"/>
        <v>3.5085122131754254</v>
      </c>
    </row>
    <row r="194" spans="2:9">
      <c r="C194" s="46">
        <v>3.2669999999999999</v>
      </c>
      <c r="D194" s="3">
        <v>101.7</v>
      </c>
      <c r="E194" s="3">
        <v>94.78</v>
      </c>
      <c r="F194" s="3">
        <v>26.01</v>
      </c>
      <c r="G194" s="3">
        <v>512.9</v>
      </c>
      <c r="H194" s="3">
        <v>3.5150000000000001</v>
      </c>
      <c r="I194" s="13">
        <f t="shared" si="3"/>
        <v>3.64398308342945</v>
      </c>
    </row>
    <row r="195" spans="2:9">
      <c r="C195" s="46">
        <v>3.2250000000000001</v>
      </c>
      <c r="D195" s="3">
        <v>91.7</v>
      </c>
      <c r="E195" s="3">
        <v>94.71</v>
      </c>
      <c r="F195" s="3">
        <v>26.34</v>
      </c>
      <c r="G195" s="3">
        <v>512.20000000000005</v>
      </c>
      <c r="H195" s="3">
        <v>3.8140000000000001</v>
      </c>
      <c r="I195" s="13">
        <f t="shared" si="3"/>
        <v>3.5956719817767651</v>
      </c>
    </row>
    <row r="196" spans="2:9">
      <c r="C196" s="46">
        <v>3.2639999999999998</v>
      </c>
      <c r="D196" s="3">
        <v>100.8</v>
      </c>
      <c r="E196" s="3">
        <v>94.68</v>
      </c>
      <c r="F196" s="3">
        <v>26.68</v>
      </c>
      <c r="G196" s="3">
        <v>513.20000000000005</v>
      </c>
      <c r="H196" s="3">
        <v>4.1079999999999997</v>
      </c>
      <c r="I196" s="13">
        <f t="shared" si="3"/>
        <v>3.5487256371814095</v>
      </c>
    </row>
    <row r="197" spans="2:9">
      <c r="C197" s="46">
        <v>3.3029999999999999</v>
      </c>
      <c r="D197" s="3">
        <v>91.5</v>
      </c>
      <c r="E197" s="3">
        <v>94.36</v>
      </c>
      <c r="F197" s="3">
        <v>26.35</v>
      </c>
      <c r="G197" s="3">
        <v>516.6</v>
      </c>
      <c r="H197" s="3">
        <v>4.6539999999999999</v>
      </c>
      <c r="I197" s="13">
        <f t="shared" si="3"/>
        <v>3.5810246679316884</v>
      </c>
    </row>
    <row r="198" spans="2:9">
      <c r="C198" s="46">
        <v>3.351</v>
      </c>
      <c r="D198" s="3">
        <v>104.8</v>
      </c>
      <c r="E198" s="3">
        <v>94.38</v>
      </c>
      <c r="F198" s="3">
        <v>26.35</v>
      </c>
      <c r="G198" s="3">
        <v>524.1</v>
      </c>
      <c r="H198" s="3">
        <v>3.7839999999999998</v>
      </c>
      <c r="I198" s="13">
        <f t="shared" si="3"/>
        <v>3.581783681214421</v>
      </c>
    </row>
    <row r="199" spans="2:9">
      <c r="C199" s="46">
        <v>3.36</v>
      </c>
      <c r="D199" s="3">
        <v>103.4</v>
      </c>
      <c r="E199" s="3">
        <v>93.05</v>
      </c>
      <c r="F199" s="3">
        <v>27.34</v>
      </c>
      <c r="G199" s="3">
        <v>516</v>
      </c>
      <c r="H199" s="3">
        <v>3.5150000000000001</v>
      </c>
      <c r="I199" s="13">
        <f t="shared" si="3"/>
        <v>3.4034381858083393</v>
      </c>
    </row>
    <row r="200" spans="2:9">
      <c r="C200" s="46">
        <v>3.246</v>
      </c>
      <c r="D200" s="3">
        <v>115.6</v>
      </c>
      <c r="E200" s="3">
        <v>93.26</v>
      </c>
      <c r="F200" s="3">
        <v>27.72</v>
      </c>
      <c r="G200" s="3">
        <v>515.4</v>
      </c>
      <c r="H200" s="3">
        <v>3.7490000000000001</v>
      </c>
      <c r="I200" s="13">
        <f t="shared" si="3"/>
        <v>3.3643578643578649</v>
      </c>
    </row>
    <row r="201" spans="2:9">
      <c r="C201" s="46">
        <v>3.3340000000000001</v>
      </c>
      <c r="D201" s="3">
        <v>107.3</v>
      </c>
      <c r="E201" s="3">
        <v>93.28</v>
      </c>
      <c r="F201" s="3">
        <v>27.09</v>
      </c>
      <c r="G201" s="3">
        <v>513.20000000000005</v>
      </c>
      <c r="H201" s="3">
        <v>4.1859999999999999</v>
      </c>
      <c r="I201" s="13">
        <f t="shared" si="3"/>
        <v>3.4433370247323736</v>
      </c>
    </row>
    <row r="202" spans="2:9">
      <c r="B202" s="16">
        <v>11</v>
      </c>
      <c r="C202" s="47">
        <v>2.9369999999999998</v>
      </c>
      <c r="D202" s="18">
        <v>95.9</v>
      </c>
      <c r="E202" s="16">
        <v>99.9</v>
      </c>
      <c r="F202" s="16">
        <v>30.54</v>
      </c>
      <c r="G202" s="16">
        <v>523.79999999999995</v>
      </c>
      <c r="H202" s="16">
        <v>2.2919999999999998</v>
      </c>
      <c r="I202" s="13">
        <f t="shared" si="3"/>
        <v>3.2711198428290769</v>
      </c>
    </row>
    <row r="203" spans="2:9">
      <c r="C203" s="46">
        <v>2.9129999999999998</v>
      </c>
      <c r="D203" s="3">
        <v>116.8</v>
      </c>
      <c r="E203" s="3">
        <v>99.46</v>
      </c>
      <c r="F203" s="3">
        <v>31.73</v>
      </c>
      <c r="G203" s="3">
        <v>518.29999999999995</v>
      </c>
      <c r="H203" s="3">
        <v>2.37</v>
      </c>
      <c r="I203" s="13">
        <f t="shared" si="3"/>
        <v>3.1345729593444687</v>
      </c>
    </row>
    <row r="204" spans="2:9">
      <c r="C204" s="46">
        <v>2.867</v>
      </c>
      <c r="D204" s="3">
        <v>93.7</v>
      </c>
      <c r="E204" s="3">
        <v>99.9</v>
      </c>
      <c r="F204" s="3">
        <v>30.62</v>
      </c>
      <c r="G204" s="3">
        <v>514.1</v>
      </c>
      <c r="H204" s="3">
        <v>2.702</v>
      </c>
      <c r="I204" s="13">
        <f t="shared" si="3"/>
        <v>3.2625734813847158</v>
      </c>
    </row>
    <row r="205" spans="2:9">
      <c r="C205" s="46">
        <v>2.847</v>
      </c>
      <c r="D205" s="3">
        <v>95</v>
      </c>
      <c r="E205" s="3">
        <v>100.5</v>
      </c>
      <c r="F205" s="3">
        <v>30.37</v>
      </c>
      <c r="G205" s="3">
        <v>517.4</v>
      </c>
      <c r="H205" s="3">
        <v>2.2639999999999998</v>
      </c>
      <c r="I205" s="13">
        <f t="shared" si="3"/>
        <v>3.3091866973987485</v>
      </c>
    </row>
    <row r="206" spans="2:9">
      <c r="C206" s="46">
        <v>2.8719999999999999</v>
      </c>
      <c r="D206" s="3">
        <v>94.9</v>
      </c>
      <c r="E206" s="3">
        <v>101</v>
      </c>
      <c r="F206" s="3">
        <v>30.53</v>
      </c>
      <c r="G206" s="3">
        <v>519.20000000000005</v>
      </c>
      <c r="H206" s="3">
        <v>2.0680000000000001</v>
      </c>
      <c r="I206" s="13">
        <f t="shared" si="3"/>
        <v>3.3082214215525712</v>
      </c>
    </row>
    <row r="207" spans="2:9">
      <c r="C207" s="46">
        <v>2.944</v>
      </c>
      <c r="D207" s="3">
        <v>109.1</v>
      </c>
      <c r="E207" s="3">
        <v>100.2</v>
      </c>
      <c r="F207" s="3">
        <v>30.93</v>
      </c>
      <c r="G207" s="3">
        <v>517.20000000000005</v>
      </c>
      <c r="H207" s="3">
        <v>2.0659999999999998</v>
      </c>
      <c r="I207" s="13">
        <f t="shared" si="3"/>
        <v>3.2395732298739088</v>
      </c>
    </row>
    <row r="208" spans="2:9">
      <c r="C208" s="46">
        <v>2.9710000000000001</v>
      </c>
      <c r="D208" s="3">
        <v>149.30000000000001</v>
      </c>
      <c r="E208" s="3">
        <v>99.72</v>
      </c>
      <c r="F208" s="3">
        <v>30.1</v>
      </c>
      <c r="G208" s="3">
        <v>516.9</v>
      </c>
      <c r="H208" s="3">
        <v>2.359</v>
      </c>
      <c r="I208" s="13">
        <f t="shared" si="3"/>
        <v>3.312956810631229</v>
      </c>
    </row>
    <row r="209" spans="2:9">
      <c r="C209" s="46">
        <v>2.948</v>
      </c>
      <c r="D209" s="3">
        <v>127.7</v>
      </c>
      <c r="E209" s="3">
        <v>99.4</v>
      </c>
      <c r="F209" s="3">
        <v>30.39</v>
      </c>
      <c r="G209" s="3">
        <v>519.79999999999995</v>
      </c>
      <c r="H209" s="3">
        <v>2.8420000000000001</v>
      </c>
      <c r="I209" s="13">
        <f t="shared" si="3"/>
        <v>3.2708127673576834</v>
      </c>
    </row>
    <row r="210" spans="2:9">
      <c r="C210" s="46">
        <v>2.9169999999999998</v>
      </c>
      <c r="D210" s="3">
        <v>107.1</v>
      </c>
      <c r="E210" s="3">
        <v>99.87</v>
      </c>
      <c r="F210" s="3">
        <v>30.83</v>
      </c>
      <c r="G210" s="3">
        <v>517.4</v>
      </c>
      <c r="H210" s="3">
        <v>2.2530000000000001</v>
      </c>
      <c r="I210" s="13">
        <f t="shared" si="3"/>
        <v>3.2393772299708079</v>
      </c>
    </row>
    <row r="211" spans="2:9">
      <c r="C211" s="46">
        <v>2.89</v>
      </c>
      <c r="D211" s="3">
        <v>127.5</v>
      </c>
      <c r="E211" s="3">
        <v>100.4</v>
      </c>
      <c r="F211" s="3">
        <v>30.28</v>
      </c>
      <c r="G211" s="3">
        <v>518.4</v>
      </c>
      <c r="H211" s="3">
        <v>2.3090000000000002</v>
      </c>
      <c r="I211" s="13">
        <f t="shared" si="3"/>
        <v>3.3157199471598418</v>
      </c>
    </row>
    <row r="212" spans="2:9">
      <c r="C212" s="46">
        <v>2.843</v>
      </c>
      <c r="D212" s="3">
        <v>95.9</v>
      </c>
      <c r="E212" s="3">
        <v>100.2</v>
      </c>
      <c r="F212" s="3">
        <v>30.1</v>
      </c>
      <c r="G212" s="3">
        <v>514.1</v>
      </c>
      <c r="H212" s="3">
        <v>2.5920000000000001</v>
      </c>
      <c r="I212" s="13">
        <f t="shared" si="3"/>
        <v>3.3289036544850497</v>
      </c>
    </row>
    <row r="213" spans="2:9">
      <c r="C213" s="46">
        <v>2.9710000000000001</v>
      </c>
      <c r="D213" s="3">
        <v>99.5</v>
      </c>
      <c r="E213" s="3">
        <v>100.9</v>
      </c>
      <c r="F213" s="3">
        <v>30.13</v>
      </c>
      <c r="G213" s="3">
        <v>517.9</v>
      </c>
      <c r="H213" s="3">
        <v>2.97</v>
      </c>
      <c r="I213" s="13">
        <f t="shared" si="3"/>
        <v>3.3488217723199472</v>
      </c>
    </row>
    <row r="214" spans="2:9">
      <c r="C214" s="46">
        <v>2.9129999999999998</v>
      </c>
      <c r="D214" s="3">
        <v>104.9</v>
      </c>
      <c r="E214" s="3">
        <v>101.3</v>
      </c>
      <c r="F214" s="3">
        <v>30.54</v>
      </c>
      <c r="G214" s="3">
        <v>516.5</v>
      </c>
      <c r="H214" s="3">
        <v>2.242</v>
      </c>
      <c r="I214" s="13">
        <f t="shared" ref="I214:I277" si="4">E214/F214</f>
        <v>3.3169613621480027</v>
      </c>
    </row>
    <row r="215" spans="2:9">
      <c r="C215" s="46">
        <v>2.9</v>
      </c>
      <c r="D215" s="3">
        <v>115.1</v>
      </c>
      <c r="E215" s="3">
        <v>99.04</v>
      </c>
      <c r="F215" s="3">
        <v>30.32</v>
      </c>
      <c r="G215" s="3">
        <v>519.70000000000005</v>
      </c>
      <c r="H215" s="3">
        <v>2.0550000000000002</v>
      </c>
      <c r="I215" s="13">
        <f t="shared" si="4"/>
        <v>3.2664907651715041</v>
      </c>
    </row>
    <row r="216" spans="2:9">
      <c r="C216" s="46">
        <v>2.8929999999999998</v>
      </c>
      <c r="D216" s="3">
        <v>126.6</v>
      </c>
      <c r="E216" s="3">
        <v>99.29</v>
      </c>
      <c r="F216" s="3">
        <v>30.6</v>
      </c>
      <c r="G216" s="3">
        <v>524</v>
      </c>
      <c r="H216" s="3">
        <v>2.8740000000000001</v>
      </c>
      <c r="I216" s="13">
        <f t="shared" si="4"/>
        <v>3.2447712418300654</v>
      </c>
    </row>
    <row r="217" spans="2:9">
      <c r="C217" s="46">
        <v>2.83</v>
      </c>
      <c r="D217" s="3">
        <v>138.1</v>
      </c>
      <c r="E217" s="3">
        <v>99.56</v>
      </c>
      <c r="F217" s="3">
        <v>30.71</v>
      </c>
      <c r="G217" s="3">
        <v>539</v>
      </c>
      <c r="H217" s="3">
        <v>2.5859999999999999</v>
      </c>
      <c r="I217" s="13">
        <f t="shared" si="4"/>
        <v>3.2419407359166397</v>
      </c>
    </row>
    <row r="218" spans="2:9">
      <c r="C218" s="46">
        <v>2.948</v>
      </c>
      <c r="D218" s="3">
        <v>126.6</v>
      </c>
      <c r="E218" s="3">
        <v>100</v>
      </c>
      <c r="F218" s="3">
        <v>30.56</v>
      </c>
      <c r="G218" s="3">
        <v>523.1</v>
      </c>
      <c r="H218" s="3">
        <v>2.694</v>
      </c>
      <c r="I218" s="13">
        <f t="shared" si="4"/>
        <v>3.2722513089005236</v>
      </c>
    </row>
    <row r="219" spans="2:9">
      <c r="C219" s="46">
        <v>2.9129999999999998</v>
      </c>
      <c r="D219" s="3">
        <v>111.5</v>
      </c>
      <c r="E219" s="3">
        <v>100.3</v>
      </c>
      <c r="F219" s="3">
        <v>30.69</v>
      </c>
      <c r="G219" s="3">
        <v>521.20000000000005</v>
      </c>
      <c r="H219" s="3">
        <v>2.8</v>
      </c>
      <c r="I219" s="13">
        <f t="shared" si="4"/>
        <v>3.268165526230042</v>
      </c>
    </row>
    <row r="220" spans="2:9">
      <c r="C220" s="46">
        <v>2.8969999999999998</v>
      </c>
      <c r="D220" s="3">
        <v>104.2</v>
      </c>
      <c r="E220" s="3">
        <v>100.2</v>
      </c>
      <c r="F220" s="3">
        <v>30.83</v>
      </c>
      <c r="G220" s="3">
        <v>517.9</v>
      </c>
      <c r="H220" s="3">
        <v>2.0680000000000001</v>
      </c>
      <c r="I220" s="13">
        <f t="shared" si="4"/>
        <v>3.2500810898475514</v>
      </c>
    </row>
    <row r="221" spans="2:9">
      <c r="C221" s="46">
        <v>2.8719999999999999</v>
      </c>
      <c r="D221" s="3">
        <v>109.4</v>
      </c>
      <c r="E221" s="3">
        <v>99.72</v>
      </c>
      <c r="F221" s="3">
        <v>30.51</v>
      </c>
      <c r="G221" s="3">
        <v>518.20000000000005</v>
      </c>
      <c r="H221" s="3">
        <v>2.56</v>
      </c>
      <c r="I221" s="13">
        <f t="shared" si="4"/>
        <v>3.2684365781710913</v>
      </c>
    </row>
    <row r="222" spans="2:9">
      <c r="B222" s="16">
        <v>12</v>
      </c>
      <c r="C222" s="47">
        <v>3.1920000000000002</v>
      </c>
      <c r="D222" s="18">
        <v>110.7</v>
      </c>
      <c r="E222" s="16">
        <v>80.22</v>
      </c>
      <c r="F222" s="16">
        <v>34.56</v>
      </c>
      <c r="G222" s="16">
        <v>486.8</v>
      </c>
      <c r="H222" s="16">
        <v>2.9580000000000002</v>
      </c>
      <c r="I222" s="13">
        <f t="shared" si="4"/>
        <v>2.3211805555555554</v>
      </c>
    </row>
    <row r="223" spans="2:9">
      <c r="C223" s="46">
        <v>3.1560000000000001</v>
      </c>
      <c r="D223" s="3">
        <v>116.1</v>
      </c>
      <c r="E223" s="3">
        <v>79.540000000000006</v>
      </c>
      <c r="F223" s="3">
        <v>34.770000000000003</v>
      </c>
      <c r="G223" s="3">
        <v>492</v>
      </c>
      <c r="H223" s="3">
        <v>2.1829999999999998</v>
      </c>
      <c r="I223" s="13">
        <f t="shared" si="4"/>
        <v>2.2876042565429966</v>
      </c>
    </row>
    <row r="224" spans="2:9">
      <c r="C224" s="46">
        <v>3.1070000000000002</v>
      </c>
      <c r="D224" s="3">
        <v>118.5</v>
      </c>
      <c r="E224" s="3">
        <v>79.459999999999994</v>
      </c>
      <c r="F224" s="3">
        <v>34.11</v>
      </c>
      <c r="G224" s="3">
        <v>500</v>
      </c>
      <c r="H224" s="3">
        <v>1.6779999999999999</v>
      </c>
      <c r="I224" s="13">
        <f t="shared" si="4"/>
        <v>2.3295221342714747</v>
      </c>
    </row>
    <row r="225" spans="3:9">
      <c r="C225" s="46">
        <v>3.0750000000000002</v>
      </c>
      <c r="D225" s="3">
        <v>115.9</v>
      </c>
      <c r="E225" s="3">
        <v>79.52</v>
      </c>
      <c r="F225" s="3">
        <v>34.590000000000003</v>
      </c>
      <c r="G225" s="3">
        <v>507.2</v>
      </c>
      <c r="H225" s="3">
        <v>1.984</v>
      </c>
      <c r="I225" s="13">
        <f t="shared" si="4"/>
        <v>2.2989303266840122</v>
      </c>
    </row>
    <row r="226" spans="3:9">
      <c r="C226" s="46">
        <v>3.19</v>
      </c>
      <c r="D226" s="3">
        <v>110.1</v>
      </c>
      <c r="E226" s="3">
        <v>79.42</v>
      </c>
      <c r="F226" s="3">
        <v>34.15</v>
      </c>
      <c r="G226" s="3">
        <v>490.9</v>
      </c>
      <c r="H226" s="3">
        <v>2.9940000000000002</v>
      </c>
      <c r="I226" s="13">
        <f t="shared" si="4"/>
        <v>2.3256222547584189</v>
      </c>
    </row>
    <row r="227" spans="3:9">
      <c r="C227" s="46">
        <v>3.2080000000000002</v>
      </c>
      <c r="D227" s="3">
        <v>110.6</v>
      </c>
      <c r="E227" s="3">
        <v>79.849999999999994</v>
      </c>
      <c r="F227" s="3">
        <v>34.04</v>
      </c>
      <c r="G227" s="3">
        <v>478.2</v>
      </c>
      <c r="H227" s="3">
        <v>2.0609999999999999</v>
      </c>
      <c r="I227" s="13">
        <f t="shared" si="4"/>
        <v>2.3457696827262042</v>
      </c>
    </row>
    <row r="228" spans="3:9">
      <c r="C228" s="46">
        <v>3.1659999999999999</v>
      </c>
      <c r="D228" s="3">
        <v>110.2</v>
      </c>
      <c r="E228" s="3">
        <v>79.7</v>
      </c>
      <c r="F228" s="3">
        <v>34.81</v>
      </c>
      <c r="G228" s="3">
        <v>488.4</v>
      </c>
      <c r="H228" s="3">
        <v>2.4430000000000001</v>
      </c>
      <c r="I228" s="13">
        <f t="shared" si="4"/>
        <v>2.289571962079862</v>
      </c>
    </row>
    <row r="229" spans="3:9">
      <c r="C229" s="46">
        <v>3.206</v>
      </c>
      <c r="D229" s="3">
        <v>99.2</v>
      </c>
      <c r="E229" s="3">
        <v>79.8</v>
      </c>
      <c r="F229" s="3">
        <v>33.96</v>
      </c>
      <c r="G229" s="3">
        <v>481.1</v>
      </c>
      <c r="H229" s="3">
        <v>2.3610000000000002</v>
      </c>
      <c r="I229" s="13">
        <f t="shared" si="4"/>
        <v>2.3498233215547701</v>
      </c>
    </row>
    <row r="230" spans="3:9">
      <c r="C230" s="46">
        <v>3.2280000000000002</v>
      </c>
      <c r="D230" s="3">
        <v>97.5</v>
      </c>
      <c r="E230" s="3">
        <v>80.19</v>
      </c>
      <c r="F230" s="3">
        <v>34.15</v>
      </c>
      <c r="G230" s="3">
        <v>496.6</v>
      </c>
      <c r="H230" s="3">
        <v>2.5</v>
      </c>
      <c r="I230" s="13">
        <f t="shared" si="4"/>
        <v>2.3481698389458274</v>
      </c>
    </row>
    <row r="231" spans="3:9">
      <c r="C231" s="46">
        <v>3.1240000000000001</v>
      </c>
      <c r="D231" s="3">
        <v>110.2</v>
      </c>
      <c r="E231" s="3">
        <v>80.099999999999994</v>
      </c>
      <c r="F231" s="3">
        <v>34.619999999999997</v>
      </c>
      <c r="G231" s="3">
        <v>480.8</v>
      </c>
      <c r="H231" s="3">
        <v>2.673</v>
      </c>
      <c r="I231" s="13">
        <f t="shared" si="4"/>
        <v>2.3136915077989602</v>
      </c>
    </row>
    <row r="232" spans="3:9">
      <c r="C232" s="46">
        <v>3.085</v>
      </c>
      <c r="D232" s="3">
        <v>154.80000000000001</v>
      </c>
      <c r="E232" s="3">
        <v>80.37</v>
      </c>
      <c r="F232" s="3">
        <v>34.049999999999997</v>
      </c>
      <c r="G232" s="3">
        <v>505.4</v>
      </c>
      <c r="H232" s="3">
        <v>2.8580000000000001</v>
      </c>
      <c r="I232" s="13">
        <f t="shared" si="4"/>
        <v>2.3603524229074893</v>
      </c>
    </row>
    <row r="233" spans="3:9">
      <c r="C233" s="46">
        <v>3.161</v>
      </c>
      <c r="D233" s="3">
        <v>150.69999999999999</v>
      </c>
      <c r="E233" s="3">
        <v>79.37</v>
      </c>
      <c r="F233" s="3">
        <v>34.299999999999997</v>
      </c>
      <c r="G233" s="3">
        <v>489.1</v>
      </c>
      <c r="H233" s="3">
        <v>2.7749999999999999</v>
      </c>
      <c r="I233" s="13">
        <f t="shared" si="4"/>
        <v>2.31399416909621</v>
      </c>
    </row>
    <row r="234" spans="3:9">
      <c r="C234" s="46">
        <v>3.2069999999999999</v>
      </c>
      <c r="D234" s="3">
        <v>106.6</v>
      </c>
      <c r="E234" s="3">
        <v>79.64</v>
      </c>
      <c r="F234" s="3">
        <v>34.270000000000003</v>
      </c>
      <c r="G234" s="3">
        <v>503.8</v>
      </c>
      <c r="H234" s="3">
        <v>2.673</v>
      </c>
      <c r="I234" s="13">
        <f t="shared" si="4"/>
        <v>2.3238984534578346</v>
      </c>
    </row>
    <row r="235" spans="3:9">
      <c r="C235" s="46">
        <v>3.149</v>
      </c>
      <c r="D235" s="3">
        <v>90.1</v>
      </c>
      <c r="E235" s="3">
        <v>79.84</v>
      </c>
      <c r="F235" s="3">
        <v>34.4</v>
      </c>
      <c r="G235" s="3">
        <v>490.6</v>
      </c>
      <c r="H235" s="3">
        <v>2.5</v>
      </c>
      <c r="I235" s="13">
        <f t="shared" si="4"/>
        <v>2.3209302325581396</v>
      </c>
    </row>
    <row r="236" spans="3:9">
      <c r="C236" s="46">
        <v>3.1309999999999998</v>
      </c>
      <c r="D236" s="3">
        <v>104.8</v>
      </c>
      <c r="E236" s="3">
        <v>79.13</v>
      </c>
      <c r="F236" s="3">
        <v>33.369999999999997</v>
      </c>
      <c r="G236" s="3">
        <v>481.9</v>
      </c>
      <c r="H236" s="3">
        <v>2.3610000000000002</v>
      </c>
      <c r="I236" s="13">
        <f t="shared" si="4"/>
        <v>2.3712915792628109</v>
      </c>
    </row>
    <row r="237" spans="3:9">
      <c r="C237" s="46">
        <v>3.097</v>
      </c>
      <c r="D237" s="3">
        <v>92.3</v>
      </c>
      <c r="E237" s="3">
        <v>79.38</v>
      </c>
      <c r="F237" s="3">
        <v>33.799999999999997</v>
      </c>
      <c r="G237" s="3">
        <v>497.2</v>
      </c>
      <c r="H237" s="3">
        <v>2.661</v>
      </c>
      <c r="I237" s="13">
        <f t="shared" si="4"/>
        <v>2.3485207100591716</v>
      </c>
    </row>
    <row r="238" spans="3:9">
      <c r="C238" s="46">
        <v>3.0310000000000001</v>
      </c>
      <c r="D238" s="3">
        <v>101.4</v>
      </c>
      <c r="E238" s="3">
        <v>79.349999999999994</v>
      </c>
      <c r="F238" s="3">
        <v>34.18</v>
      </c>
      <c r="G238" s="3">
        <v>492</v>
      </c>
      <c r="H238" s="3">
        <v>2.5790000000000002</v>
      </c>
      <c r="I238" s="13">
        <f t="shared" si="4"/>
        <v>2.3215330602691631</v>
      </c>
    </row>
    <row r="239" spans="3:9">
      <c r="C239" s="46">
        <v>3.0329999999999999</v>
      </c>
      <c r="D239" s="3">
        <v>102.1</v>
      </c>
      <c r="E239" s="3">
        <v>79.83</v>
      </c>
      <c r="F239" s="3">
        <v>34.799999999999997</v>
      </c>
      <c r="G239" s="3">
        <v>511.5</v>
      </c>
      <c r="H239" s="3">
        <v>2.278</v>
      </c>
      <c r="I239" s="13">
        <f t="shared" si="4"/>
        <v>2.2939655172413795</v>
      </c>
    </row>
    <row r="240" spans="3:9">
      <c r="C240" s="46">
        <v>3.0750000000000002</v>
      </c>
      <c r="D240" s="3">
        <v>123.2</v>
      </c>
      <c r="E240" s="3">
        <v>80.31</v>
      </c>
      <c r="F240" s="3">
        <v>34.56</v>
      </c>
      <c r="G240" s="3">
        <v>480.8</v>
      </c>
      <c r="H240" s="3">
        <v>3.2229999999999999</v>
      </c>
      <c r="I240" s="13">
        <f t="shared" si="4"/>
        <v>2.3237847222222223</v>
      </c>
    </row>
    <row r="241" spans="2:9">
      <c r="C241" s="46">
        <v>3.157</v>
      </c>
      <c r="D241" s="3">
        <v>132.30000000000001</v>
      </c>
      <c r="E241" s="3">
        <v>80.27</v>
      </c>
      <c r="F241" s="3">
        <v>34.47</v>
      </c>
      <c r="G241" s="3">
        <v>497.7</v>
      </c>
      <c r="H241" s="3">
        <v>2.6379999999999999</v>
      </c>
      <c r="I241" s="13">
        <f t="shared" si="4"/>
        <v>2.3286916158978821</v>
      </c>
    </row>
    <row r="242" spans="2:9">
      <c r="B242" s="16">
        <v>13</v>
      </c>
      <c r="C242" s="47">
        <v>2.94</v>
      </c>
      <c r="D242" s="18">
        <v>102.2</v>
      </c>
      <c r="E242" s="16">
        <v>98.55</v>
      </c>
      <c r="F242" s="16">
        <v>23.09</v>
      </c>
      <c r="G242" s="16">
        <v>424.5</v>
      </c>
      <c r="H242" s="16">
        <v>3.556</v>
      </c>
      <c r="I242" s="13">
        <f t="shared" si="4"/>
        <v>4.2680814205283673</v>
      </c>
    </row>
    <row r="243" spans="2:9">
      <c r="C243" s="46">
        <v>2.9769999999999999</v>
      </c>
      <c r="D243" s="3">
        <v>105.1</v>
      </c>
      <c r="E243" s="3">
        <v>98.96</v>
      </c>
      <c r="F243" s="3">
        <v>22.75</v>
      </c>
      <c r="G243" s="3">
        <v>413.9</v>
      </c>
      <c r="H243" s="3">
        <v>3.5110000000000001</v>
      </c>
      <c r="I243" s="13">
        <f t="shared" si="4"/>
        <v>4.3498901098901097</v>
      </c>
    </row>
    <row r="244" spans="2:9">
      <c r="C244" s="46">
        <v>3.048</v>
      </c>
      <c r="D244" s="3">
        <v>112.9</v>
      </c>
      <c r="E244" s="3">
        <v>98.53</v>
      </c>
      <c r="F244" s="3">
        <v>21.33</v>
      </c>
      <c r="G244" s="3">
        <v>419.5</v>
      </c>
      <c r="H244" s="3">
        <v>3.6709999999999998</v>
      </c>
      <c r="I244" s="13">
        <f t="shared" si="4"/>
        <v>4.6193155180496959</v>
      </c>
    </row>
    <row r="245" spans="2:9">
      <c r="C245" s="46">
        <v>3.0649999999999999</v>
      </c>
      <c r="D245" s="3">
        <v>126.5</v>
      </c>
      <c r="E245" s="3">
        <v>98.2</v>
      </c>
      <c r="F245" s="3">
        <v>22.67</v>
      </c>
      <c r="G245" s="3">
        <v>424.5</v>
      </c>
      <c r="H245" s="3">
        <v>3.766</v>
      </c>
      <c r="I245" s="13">
        <f t="shared" si="4"/>
        <v>4.3317159241288046</v>
      </c>
    </row>
    <row r="246" spans="2:9">
      <c r="C246" s="46">
        <v>3.04</v>
      </c>
      <c r="D246" s="3">
        <v>115.8</v>
      </c>
      <c r="E246" s="3">
        <v>98.31</v>
      </c>
      <c r="F246" s="3">
        <v>23.27</v>
      </c>
      <c r="G246" s="3">
        <v>427.6</v>
      </c>
      <c r="H246" s="3">
        <v>3.8580000000000001</v>
      </c>
      <c r="I246" s="13">
        <f t="shared" si="4"/>
        <v>4.2247529007305547</v>
      </c>
    </row>
    <row r="247" spans="2:9">
      <c r="C247" s="46">
        <v>3.036</v>
      </c>
      <c r="D247" s="3">
        <v>116.3</v>
      </c>
      <c r="E247" s="3">
        <v>97.69</v>
      </c>
      <c r="F247" s="3">
        <v>23.14</v>
      </c>
      <c r="G247" s="3">
        <v>429.2</v>
      </c>
      <c r="H247" s="3">
        <v>3.7429999999999999</v>
      </c>
      <c r="I247" s="13">
        <f t="shared" si="4"/>
        <v>4.2216940363007778</v>
      </c>
    </row>
    <row r="248" spans="2:9">
      <c r="C248" s="46">
        <v>2.9580000000000002</v>
      </c>
      <c r="D248" s="3">
        <v>139.9</v>
      </c>
      <c r="E248" s="3">
        <v>98.34</v>
      </c>
      <c r="F248" s="3">
        <v>22.75</v>
      </c>
      <c r="G248" s="3">
        <v>434.7</v>
      </c>
      <c r="H248" s="3">
        <v>3.9729999999999999</v>
      </c>
      <c r="I248" s="13">
        <f t="shared" si="4"/>
        <v>4.3226373626373631</v>
      </c>
    </row>
    <row r="249" spans="2:9">
      <c r="C249" s="46">
        <v>2.9689999999999999</v>
      </c>
      <c r="D249" s="3">
        <v>116</v>
      </c>
      <c r="E249" s="3">
        <v>97.55</v>
      </c>
      <c r="F249" s="3">
        <v>22.55</v>
      </c>
      <c r="G249" s="3">
        <v>426.3</v>
      </c>
      <c r="H249" s="3">
        <v>3.9790000000000001</v>
      </c>
      <c r="I249" s="13">
        <f t="shared" si="4"/>
        <v>4.3259423503325936</v>
      </c>
    </row>
    <row r="250" spans="2:9">
      <c r="C250" s="46">
        <v>2.964</v>
      </c>
      <c r="D250" s="3">
        <v>126.5</v>
      </c>
      <c r="E250" s="3">
        <v>97.46</v>
      </c>
      <c r="F250" s="3">
        <v>22.49</v>
      </c>
      <c r="G250" s="3">
        <v>427.8</v>
      </c>
      <c r="H250" s="3">
        <v>3.923</v>
      </c>
      <c r="I250" s="13">
        <f t="shared" si="4"/>
        <v>4.3334815473543795</v>
      </c>
    </row>
    <row r="251" spans="2:9">
      <c r="C251" s="46">
        <v>2.9289999999999998</v>
      </c>
      <c r="D251" s="3">
        <v>112.9</v>
      </c>
      <c r="E251" s="3">
        <v>97.48</v>
      </c>
      <c r="F251" s="3">
        <v>23.47</v>
      </c>
      <c r="G251" s="3">
        <v>421.3</v>
      </c>
      <c r="H251" s="3">
        <v>3.887</v>
      </c>
      <c r="I251" s="13">
        <f t="shared" si="4"/>
        <v>4.1533873029399233</v>
      </c>
    </row>
    <row r="252" spans="2:9">
      <c r="C252" s="46">
        <v>2.8450000000000002</v>
      </c>
      <c r="D252" s="3">
        <v>105.1</v>
      </c>
      <c r="E252" s="3">
        <v>98.03</v>
      </c>
      <c r="F252" s="3">
        <v>23.35</v>
      </c>
      <c r="G252" s="3">
        <v>432</v>
      </c>
      <c r="H252" s="3">
        <v>3.6850000000000001</v>
      </c>
      <c r="I252" s="13">
        <f t="shared" si="4"/>
        <v>4.1982869379014991</v>
      </c>
    </row>
    <row r="253" spans="2:9">
      <c r="C253" s="46">
        <v>2.7770000000000001</v>
      </c>
      <c r="D253" s="3">
        <v>102.2</v>
      </c>
      <c r="E253" s="3">
        <v>97.71</v>
      </c>
      <c r="F253" s="3">
        <v>21.97</v>
      </c>
      <c r="G253" s="3">
        <v>432</v>
      </c>
      <c r="H253" s="3">
        <v>3.7</v>
      </c>
      <c r="I253" s="13">
        <f t="shared" si="4"/>
        <v>4.4474283113336366</v>
      </c>
    </row>
    <row r="254" spans="2:9">
      <c r="C254" s="46">
        <v>2.8079999999999998</v>
      </c>
      <c r="D254" s="3">
        <v>109.9</v>
      </c>
      <c r="E254" s="3">
        <v>97.34</v>
      </c>
      <c r="F254" s="3">
        <v>22.63</v>
      </c>
      <c r="G254" s="3">
        <v>415.1</v>
      </c>
      <c r="H254" s="3">
        <v>3.6560000000000001</v>
      </c>
      <c r="I254" s="13">
        <f t="shared" si="4"/>
        <v>4.3013698630136989</v>
      </c>
    </row>
    <row r="255" spans="2:9">
      <c r="C255" s="46">
        <v>2.883</v>
      </c>
      <c r="D255" s="3">
        <v>111.9</v>
      </c>
      <c r="E255" s="3">
        <v>97.12</v>
      </c>
      <c r="F255" s="3">
        <v>22.24</v>
      </c>
      <c r="G255" s="3">
        <v>403.4</v>
      </c>
      <c r="H255" s="3">
        <v>3.7570000000000001</v>
      </c>
      <c r="I255" s="13">
        <f t="shared" si="4"/>
        <v>4.3669064748201443</v>
      </c>
    </row>
    <row r="256" spans="2:9">
      <c r="C256" s="46">
        <v>2.94</v>
      </c>
      <c r="D256" s="3">
        <v>124.8</v>
      </c>
      <c r="E256" s="3">
        <v>97.53</v>
      </c>
      <c r="F256" s="3">
        <v>22.16</v>
      </c>
      <c r="G256" s="3">
        <v>450.9</v>
      </c>
      <c r="H256" s="3">
        <v>3.6840000000000002</v>
      </c>
      <c r="I256" s="13">
        <f t="shared" si="4"/>
        <v>4.4011732851985563</v>
      </c>
    </row>
    <row r="257" spans="2:9">
      <c r="C257" s="46">
        <v>3.0070000000000001</v>
      </c>
      <c r="D257" s="3">
        <v>131.69999999999999</v>
      </c>
      <c r="E257" s="3">
        <v>98.35</v>
      </c>
      <c r="F257" s="3">
        <v>22.5</v>
      </c>
      <c r="G257" s="3">
        <v>456.7</v>
      </c>
      <c r="H257" s="3">
        <v>4.0129999999999999</v>
      </c>
      <c r="I257" s="13">
        <f t="shared" si="4"/>
        <v>4.3711111111111105</v>
      </c>
    </row>
    <row r="258" spans="2:9">
      <c r="C258" s="46">
        <v>3.02</v>
      </c>
      <c r="D258" s="3">
        <v>112.9</v>
      </c>
      <c r="E258" s="3">
        <v>98.63</v>
      </c>
      <c r="F258" s="3">
        <v>22.3</v>
      </c>
      <c r="G258" s="3">
        <v>458.6</v>
      </c>
      <c r="H258" s="3">
        <v>3.927</v>
      </c>
      <c r="I258" s="13">
        <f t="shared" si="4"/>
        <v>4.4228699551569504</v>
      </c>
    </row>
    <row r="259" spans="2:9">
      <c r="C259" s="46">
        <v>3.048</v>
      </c>
      <c r="D259" s="3">
        <v>126.5</v>
      </c>
      <c r="E259" s="3">
        <v>98.03</v>
      </c>
      <c r="F259" s="3">
        <v>22.16</v>
      </c>
      <c r="G259" s="3">
        <v>449.6</v>
      </c>
      <c r="H259" s="3">
        <v>3.8639999999999999</v>
      </c>
      <c r="I259" s="13">
        <f t="shared" si="4"/>
        <v>4.4237364620938626</v>
      </c>
    </row>
    <row r="260" spans="2:9">
      <c r="C260" s="46">
        <v>3.0649999999999999</v>
      </c>
      <c r="D260" s="3">
        <v>130.6</v>
      </c>
      <c r="E260" s="3">
        <v>97.44</v>
      </c>
      <c r="F260" s="3">
        <v>22.49</v>
      </c>
      <c r="G260" s="3">
        <v>425.9</v>
      </c>
      <c r="H260" s="3">
        <v>3.722</v>
      </c>
      <c r="I260" s="13">
        <f t="shared" si="4"/>
        <v>4.3325922632281015</v>
      </c>
    </row>
    <row r="261" spans="2:9">
      <c r="C261" s="46">
        <v>3.02</v>
      </c>
      <c r="D261" s="3">
        <v>112.4</v>
      </c>
      <c r="E261" s="3">
        <v>97.94</v>
      </c>
      <c r="F261" s="3">
        <v>22.69</v>
      </c>
      <c r="G261" s="3">
        <v>419.5</v>
      </c>
      <c r="H261" s="3">
        <v>3.9449999999999998</v>
      </c>
      <c r="I261" s="13">
        <f t="shared" si="4"/>
        <v>4.3164389598942261</v>
      </c>
    </row>
    <row r="262" spans="2:9">
      <c r="B262" s="16">
        <v>14</v>
      </c>
      <c r="C262" s="47">
        <v>2.1070000000000002</v>
      </c>
      <c r="D262" s="18">
        <v>107.2</v>
      </c>
      <c r="E262" s="16">
        <v>106.3</v>
      </c>
      <c r="F262" s="16">
        <v>34.25</v>
      </c>
      <c r="G262" s="16">
        <v>483.9</v>
      </c>
      <c r="H262" s="38">
        <v>3.165</v>
      </c>
      <c r="I262" s="13">
        <f t="shared" si="4"/>
        <v>3.1036496350364962</v>
      </c>
    </row>
    <row r="263" spans="2:9">
      <c r="C263" s="46">
        <v>2.008</v>
      </c>
      <c r="D263" s="3">
        <v>107.8</v>
      </c>
      <c r="E263" s="3">
        <v>107.1</v>
      </c>
      <c r="F263" s="3">
        <v>33.880000000000003</v>
      </c>
      <c r="G263" s="3">
        <v>483.8</v>
      </c>
      <c r="H263" s="23">
        <v>3.0819999999999999</v>
      </c>
      <c r="I263" s="13">
        <f t="shared" si="4"/>
        <v>3.161157024793388</v>
      </c>
    </row>
    <row r="264" spans="2:9">
      <c r="C264" s="46">
        <v>2.0209999999999999</v>
      </c>
      <c r="D264" s="3">
        <v>101.4</v>
      </c>
      <c r="E264" s="3">
        <v>107.5</v>
      </c>
      <c r="F264" s="3">
        <v>33.56</v>
      </c>
      <c r="G264" s="3">
        <v>479.5</v>
      </c>
      <c r="H264" s="23">
        <v>2.9950000000000001</v>
      </c>
      <c r="I264" s="13">
        <f t="shared" si="4"/>
        <v>3.2032181168057208</v>
      </c>
    </row>
    <row r="265" spans="2:9">
      <c r="C265" s="46">
        <v>2.0880000000000001</v>
      </c>
      <c r="D265" s="3">
        <v>108.1</v>
      </c>
      <c r="E265" s="3">
        <v>106.9</v>
      </c>
      <c r="F265" s="3">
        <v>33.520000000000003</v>
      </c>
      <c r="G265" s="3">
        <v>477.3</v>
      </c>
      <c r="H265" s="23">
        <v>2.7690000000000001</v>
      </c>
      <c r="I265" s="13">
        <f t="shared" si="4"/>
        <v>3.189140811455847</v>
      </c>
    </row>
    <row r="266" spans="2:9">
      <c r="C266" s="46">
        <v>2.048</v>
      </c>
      <c r="D266" s="3">
        <v>115</v>
      </c>
      <c r="E266" s="3">
        <v>106.7</v>
      </c>
      <c r="F266" s="3">
        <v>33.340000000000003</v>
      </c>
      <c r="G266" s="3">
        <v>469.7</v>
      </c>
      <c r="H266" s="23">
        <v>2.8940000000000001</v>
      </c>
      <c r="I266" s="13">
        <f t="shared" si="4"/>
        <v>3.2003599280143971</v>
      </c>
    </row>
    <row r="267" spans="2:9">
      <c r="C267" s="46">
        <v>2.0720000000000001</v>
      </c>
      <c r="D267" s="3">
        <v>124</v>
      </c>
      <c r="E267" s="3">
        <v>106.1</v>
      </c>
      <c r="F267" s="3">
        <v>33.65</v>
      </c>
      <c r="G267" s="3">
        <v>473.7</v>
      </c>
      <c r="H267" s="23">
        <v>2.9140000000000001</v>
      </c>
      <c r="I267" s="13">
        <f t="shared" si="4"/>
        <v>3.1530460624071321</v>
      </c>
    </row>
    <row r="268" spans="2:9">
      <c r="C268" s="46">
        <v>2.008</v>
      </c>
      <c r="D268" s="3">
        <v>105.2</v>
      </c>
      <c r="E268" s="3">
        <v>106.3</v>
      </c>
      <c r="F268" s="3">
        <v>33.81</v>
      </c>
      <c r="G268" s="3">
        <v>463.7</v>
      </c>
      <c r="H268" s="23">
        <v>2.9660000000000002</v>
      </c>
      <c r="I268" s="13">
        <f t="shared" si="4"/>
        <v>3.1440402247855661</v>
      </c>
    </row>
    <row r="269" spans="2:9">
      <c r="C269" s="46">
        <v>1.92</v>
      </c>
      <c r="D269" s="3">
        <v>126</v>
      </c>
      <c r="E269" s="3">
        <v>107</v>
      </c>
      <c r="F269" s="3">
        <v>33.369999999999997</v>
      </c>
      <c r="G269" s="3">
        <v>461</v>
      </c>
      <c r="H269" s="23">
        <v>2.9950000000000001</v>
      </c>
      <c r="I269" s="13">
        <f t="shared" si="4"/>
        <v>3.2064728798321847</v>
      </c>
    </row>
    <row r="270" spans="2:9">
      <c r="C270" s="46">
        <v>1.865</v>
      </c>
      <c r="D270" s="3">
        <v>128.30000000000001</v>
      </c>
      <c r="E270" s="3">
        <v>107.3</v>
      </c>
      <c r="F270" s="3">
        <v>33.06</v>
      </c>
      <c r="G270" s="3">
        <v>476.1</v>
      </c>
      <c r="H270" s="23">
        <v>3.165</v>
      </c>
      <c r="I270" s="13">
        <f t="shared" si="4"/>
        <v>3.2456140350877192</v>
      </c>
    </row>
    <row r="271" spans="2:9">
      <c r="C271" s="46">
        <v>1.871</v>
      </c>
      <c r="D271" s="3">
        <v>130.6</v>
      </c>
      <c r="E271" s="3">
        <v>107.5</v>
      </c>
      <c r="F271" s="3">
        <v>33.159999999999997</v>
      </c>
      <c r="G271" s="3">
        <v>465.8</v>
      </c>
      <c r="H271" s="23">
        <v>3.1749999999999998</v>
      </c>
      <c r="I271" s="13">
        <f t="shared" si="4"/>
        <v>3.2418576598311222</v>
      </c>
    </row>
    <row r="272" spans="2:9">
      <c r="C272" s="46">
        <v>1.8979999999999999</v>
      </c>
      <c r="D272" s="3">
        <v>107.8</v>
      </c>
      <c r="E272" s="3">
        <v>107.9</v>
      </c>
      <c r="F272" s="3">
        <v>33.71</v>
      </c>
      <c r="G272" s="3">
        <v>479.5</v>
      </c>
      <c r="H272" s="23">
        <v>2.7690000000000001</v>
      </c>
      <c r="I272" s="13">
        <f t="shared" si="4"/>
        <v>3.2008306140611094</v>
      </c>
    </row>
    <row r="273" spans="2:9">
      <c r="C273" s="46">
        <v>1.988</v>
      </c>
      <c r="D273" s="3">
        <v>115.1</v>
      </c>
      <c r="E273" s="3">
        <v>107.2</v>
      </c>
      <c r="F273" s="3">
        <v>32.96</v>
      </c>
      <c r="G273" s="3">
        <v>502.8</v>
      </c>
      <c r="H273" s="23">
        <v>2.8940000000000001</v>
      </c>
      <c r="I273" s="13">
        <f t="shared" si="4"/>
        <v>3.2524271844660193</v>
      </c>
    </row>
    <row r="274" spans="2:9">
      <c r="C274" s="46">
        <v>2.0219999999999998</v>
      </c>
      <c r="D274" s="3">
        <v>102.4</v>
      </c>
      <c r="E274" s="3">
        <v>106.4</v>
      </c>
      <c r="F274" s="3">
        <v>32.39</v>
      </c>
      <c r="G274" s="3">
        <v>467.8</v>
      </c>
      <c r="H274" s="23">
        <v>3.0539999999999998</v>
      </c>
      <c r="I274" s="13">
        <f t="shared" si="4"/>
        <v>3.2849644952145725</v>
      </c>
    </row>
    <row r="275" spans="2:9">
      <c r="C275" s="46">
        <v>2.0870000000000002</v>
      </c>
      <c r="D275" s="3">
        <v>108.1</v>
      </c>
      <c r="E275" s="3">
        <v>106.9</v>
      </c>
      <c r="F275" s="3">
        <v>32.54</v>
      </c>
      <c r="G275" s="3">
        <v>479.5</v>
      </c>
      <c r="H275" s="23">
        <v>2.9140000000000001</v>
      </c>
      <c r="I275" s="13">
        <f t="shared" si="4"/>
        <v>3.2851874615857408</v>
      </c>
    </row>
    <row r="276" spans="2:9">
      <c r="C276" s="46">
        <v>2.1110000000000002</v>
      </c>
      <c r="D276" s="3">
        <v>113.6</v>
      </c>
      <c r="E276" s="3">
        <v>107.7</v>
      </c>
      <c r="F276" s="3">
        <v>32.82</v>
      </c>
      <c r="G276" s="3">
        <v>465.8</v>
      </c>
      <c r="H276" s="23">
        <v>2.8940000000000001</v>
      </c>
      <c r="I276" s="13">
        <f t="shared" si="4"/>
        <v>3.2815356489945158</v>
      </c>
    </row>
    <row r="277" spans="2:9">
      <c r="C277" s="46">
        <v>2.0720000000000001</v>
      </c>
      <c r="D277" s="3">
        <v>130</v>
      </c>
      <c r="E277" s="3">
        <v>107.9</v>
      </c>
      <c r="F277" s="3">
        <v>33.11</v>
      </c>
      <c r="G277" s="3">
        <v>464.9</v>
      </c>
      <c r="H277" s="23">
        <v>2.7690000000000001</v>
      </c>
      <c r="I277" s="13">
        <f t="shared" si="4"/>
        <v>3.2588341890667474</v>
      </c>
    </row>
    <row r="278" spans="2:9">
      <c r="C278" s="46">
        <v>2.008</v>
      </c>
      <c r="D278" s="3">
        <v>144.30000000000001</v>
      </c>
      <c r="E278" s="3">
        <v>107.1</v>
      </c>
      <c r="F278" s="3">
        <v>32.840000000000003</v>
      </c>
      <c r="G278" s="3">
        <v>463.7</v>
      </c>
      <c r="H278" s="23">
        <v>3.157</v>
      </c>
      <c r="I278" s="13">
        <f t="shared" ref="I278:I341" si="5">E278/F278</f>
        <v>3.2612667478684525</v>
      </c>
    </row>
    <row r="279" spans="2:9">
      <c r="C279" s="46">
        <v>1.9350000000000001</v>
      </c>
      <c r="D279" s="3">
        <v>142.6</v>
      </c>
      <c r="E279" s="3">
        <v>107.4</v>
      </c>
      <c r="F279" s="3">
        <v>33.22</v>
      </c>
      <c r="G279" s="3">
        <v>465.8</v>
      </c>
      <c r="H279" s="23">
        <v>3.0049999999999999</v>
      </c>
      <c r="I279" s="13">
        <f t="shared" si="5"/>
        <v>3.2329921733895248</v>
      </c>
    </row>
    <row r="280" spans="2:9">
      <c r="C280" s="46">
        <v>1.881</v>
      </c>
      <c r="D280" s="3">
        <v>142.4</v>
      </c>
      <c r="E280" s="3">
        <v>107.6</v>
      </c>
      <c r="F280" s="3">
        <v>33.01</v>
      </c>
      <c r="G280" s="3">
        <v>478.6</v>
      </c>
      <c r="H280" s="23">
        <v>3.2570000000000001</v>
      </c>
      <c r="I280" s="13">
        <f t="shared" si="5"/>
        <v>3.2596182974856105</v>
      </c>
    </row>
    <row r="281" spans="2:9">
      <c r="C281" s="46">
        <v>2.0720000000000001</v>
      </c>
      <c r="D281" s="3">
        <v>130.5</v>
      </c>
      <c r="E281" s="3">
        <v>107.7</v>
      </c>
      <c r="F281" s="3">
        <v>33.25</v>
      </c>
      <c r="G281" s="3">
        <v>479.5</v>
      </c>
      <c r="H281" s="23">
        <v>2.9220000000000002</v>
      </c>
      <c r="I281" s="13">
        <f t="shared" si="5"/>
        <v>3.2390977443609024</v>
      </c>
    </row>
    <row r="282" spans="2:9">
      <c r="B282" s="16">
        <v>15</v>
      </c>
      <c r="C282" s="47">
        <v>2.4420000000000002</v>
      </c>
      <c r="D282" s="18">
        <v>94.3</v>
      </c>
      <c r="E282" s="16">
        <v>112.2</v>
      </c>
      <c r="F282" s="16">
        <v>20.34</v>
      </c>
      <c r="G282" s="16">
        <v>438</v>
      </c>
      <c r="H282" s="38">
        <v>3.45</v>
      </c>
      <c r="I282" s="13">
        <f t="shared" si="5"/>
        <v>5.5162241887905603</v>
      </c>
    </row>
    <row r="283" spans="2:9">
      <c r="C283" s="46">
        <v>2.4460000000000002</v>
      </c>
      <c r="D283" s="3">
        <v>93.5</v>
      </c>
      <c r="E283" s="3">
        <v>111.4</v>
      </c>
      <c r="F283" s="3">
        <v>20.48</v>
      </c>
      <c r="G283" s="3">
        <v>434.4</v>
      </c>
      <c r="H283" s="23">
        <v>3.351</v>
      </c>
      <c r="I283" s="13">
        <f t="shared" si="5"/>
        <v>5.439453125</v>
      </c>
    </row>
    <row r="284" spans="2:9">
      <c r="C284" s="46">
        <v>2.46</v>
      </c>
      <c r="D284" s="3">
        <v>103.3</v>
      </c>
      <c r="E284" s="3">
        <v>111.9</v>
      </c>
      <c r="F284" s="3">
        <v>20.73</v>
      </c>
      <c r="G284" s="3">
        <v>439.9</v>
      </c>
      <c r="H284" s="23">
        <v>3.9660000000000002</v>
      </c>
      <c r="I284" s="13">
        <f t="shared" si="5"/>
        <v>5.3979739507959481</v>
      </c>
    </row>
    <row r="285" spans="2:9">
      <c r="C285" s="46">
        <v>2.4540000000000002</v>
      </c>
      <c r="D285" s="3">
        <v>98.5</v>
      </c>
      <c r="E285" s="3">
        <v>112</v>
      </c>
      <c r="F285" s="3">
        <v>19.84</v>
      </c>
      <c r="G285" s="3">
        <v>436.3</v>
      </c>
      <c r="H285" s="23">
        <v>3.899</v>
      </c>
      <c r="I285" s="13">
        <f t="shared" si="5"/>
        <v>5.645161290322581</v>
      </c>
    </row>
    <row r="286" spans="2:9">
      <c r="C286" s="46">
        <v>2.4420000000000002</v>
      </c>
      <c r="D286" s="3">
        <v>103</v>
      </c>
      <c r="E286" s="3">
        <v>111.4</v>
      </c>
      <c r="F286" s="3">
        <v>20.39</v>
      </c>
      <c r="G286" s="3">
        <v>441.4</v>
      </c>
      <c r="H286" s="23">
        <v>3.2080000000000002</v>
      </c>
      <c r="I286" s="13">
        <f t="shared" si="5"/>
        <v>5.4634624816086319</v>
      </c>
    </row>
    <row r="287" spans="2:9">
      <c r="C287" s="46">
        <v>2.4289999999999998</v>
      </c>
      <c r="D287" s="3">
        <v>100.4</v>
      </c>
      <c r="E287" s="3">
        <v>111.6</v>
      </c>
      <c r="F287" s="3">
        <v>19.2</v>
      </c>
      <c r="G287" s="3">
        <v>447</v>
      </c>
      <c r="H287" s="23">
        <v>3.9359999999999999</v>
      </c>
      <c r="I287" s="13">
        <f t="shared" si="5"/>
        <v>5.8125</v>
      </c>
    </row>
    <row r="288" spans="2:9">
      <c r="C288" s="46">
        <v>2.4470000000000001</v>
      </c>
      <c r="D288" s="3">
        <v>120.8</v>
      </c>
      <c r="E288" s="3">
        <v>111.5</v>
      </c>
      <c r="F288" s="3">
        <v>20.190000000000001</v>
      </c>
      <c r="G288" s="3">
        <v>436.3</v>
      </c>
      <c r="H288" s="23">
        <v>3.6930000000000001</v>
      </c>
      <c r="I288" s="13">
        <f t="shared" si="5"/>
        <v>5.5225359088657751</v>
      </c>
    </row>
    <row r="289" spans="2:9">
      <c r="C289" s="46">
        <v>2.46</v>
      </c>
      <c r="D289" s="3">
        <v>103.7</v>
      </c>
      <c r="E289" s="3">
        <v>111</v>
      </c>
      <c r="F289" s="3">
        <v>20.239999999999998</v>
      </c>
      <c r="G289" s="3">
        <v>440.5</v>
      </c>
      <c r="H289" s="23">
        <v>2.8519999999999999</v>
      </c>
      <c r="I289" s="13">
        <f t="shared" si="5"/>
        <v>5.4841897233201582</v>
      </c>
    </row>
    <row r="290" spans="2:9">
      <c r="C290" s="46">
        <v>2.452</v>
      </c>
      <c r="D290" s="3">
        <v>119.2</v>
      </c>
      <c r="E290" s="3">
        <v>111.1</v>
      </c>
      <c r="F290" s="3">
        <v>19.100000000000001</v>
      </c>
      <c r="G290" s="3">
        <v>448.7</v>
      </c>
      <c r="H290" s="23">
        <v>2.6110000000000002</v>
      </c>
      <c r="I290" s="13">
        <f t="shared" si="5"/>
        <v>5.81675392670157</v>
      </c>
    </row>
    <row r="291" spans="2:9">
      <c r="C291" s="46">
        <v>2.464</v>
      </c>
      <c r="D291" s="3">
        <v>108.4</v>
      </c>
      <c r="E291" s="3">
        <v>111.2</v>
      </c>
      <c r="F291" s="3">
        <v>19.89</v>
      </c>
      <c r="G291" s="3">
        <v>438.6</v>
      </c>
      <c r="H291" s="23">
        <v>3.37</v>
      </c>
      <c r="I291" s="13">
        <f t="shared" si="5"/>
        <v>5.5907491201608845</v>
      </c>
    </row>
    <row r="292" spans="2:9">
      <c r="C292" s="46">
        <v>2.4620000000000002</v>
      </c>
      <c r="D292" s="3">
        <v>111.5</v>
      </c>
      <c r="E292" s="3">
        <v>112</v>
      </c>
      <c r="F292" s="3">
        <v>19.55</v>
      </c>
      <c r="G292" s="3">
        <v>438.4</v>
      </c>
      <c r="H292" s="23">
        <v>3.5350000000000001</v>
      </c>
      <c r="I292" s="13">
        <f t="shared" si="5"/>
        <v>5.7289002557544757</v>
      </c>
    </row>
    <row r="293" spans="2:9">
      <c r="C293" s="46">
        <v>2.4689999999999999</v>
      </c>
      <c r="D293" s="3">
        <v>98.5</v>
      </c>
      <c r="E293" s="3">
        <v>111.7</v>
      </c>
      <c r="F293" s="3">
        <v>19.84</v>
      </c>
      <c r="G293" s="3">
        <v>452</v>
      </c>
      <c r="H293" s="23">
        <v>3.6760000000000002</v>
      </c>
      <c r="I293" s="13">
        <f t="shared" si="5"/>
        <v>5.630040322580645</v>
      </c>
    </row>
    <row r="294" spans="2:9">
      <c r="C294" s="46">
        <v>2.5</v>
      </c>
      <c r="D294" s="3">
        <v>137</v>
      </c>
      <c r="E294" s="3">
        <v>111.9</v>
      </c>
      <c r="F294" s="3">
        <v>19.989999999999998</v>
      </c>
      <c r="G294" s="3">
        <v>447.2</v>
      </c>
      <c r="H294" s="23">
        <v>3.4990000000000001</v>
      </c>
      <c r="I294" s="13">
        <f t="shared" si="5"/>
        <v>5.5977988994497254</v>
      </c>
    </row>
    <row r="295" spans="2:9">
      <c r="C295" s="46">
        <v>2.4910000000000001</v>
      </c>
      <c r="D295" s="3">
        <v>122.7</v>
      </c>
      <c r="E295" s="3">
        <v>111.6</v>
      </c>
      <c r="F295" s="3">
        <v>20.350000000000001</v>
      </c>
      <c r="G295" s="3">
        <v>438.6</v>
      </c>
      <c r="H295" s="23">
        <v>3.9540000000000002</v>
      </c>
      <c r="I295" s="13">
        <f t="shared" si="5"/>
        <v>5.4840294840294836</v>
      </c>
    </row>
    <row r="296" spans="2:9">
      <c r="C296" s="46">
        <v>2.4780000000000002</v>
      </c>
      <c r="D296" s="3">
        <v>130.69999999999999</v>
      </c>
      <c r="E296" s="3">
        <v>111</v>
      </c>
      <c r="F296" s="3">
        <v>20.11</v>
      </c>
      <c r="G296" s="3">
        <v>449.1</v>
      </c>
      <c r="H296" s="23">
        <v>3.9660000000000002</v>
      </c>
      <c r="I296" s="13">
        <f t="shared" si="5"/>
        <v>5.5196419691695677</v>
      </c>
    </row>
    <row r="297" spans="2:9">
      <c r="C297" s="46">
        <v>2.4449999999999998</v>
      </c>
      <c r="D297" s="3">
        <v>119.6</v>
      </c>
      <c r="E297" s="3">
        <v>111.4</v>
      </c>
      <c r="F297" s="3">
        <v>20.88</v>
      </c>
      <c r="G297" s="3">
        <v>453.3</v>
      </c>
      <c r="H297" s="23">
        <v>3.2759999999999998</v>
      </c>
      <c r="I297" s="13">
        <f t="shared" si="5"/>
        <v>5.3352490421455947</v>
      </c>
    </row>
    <row r="298" spans="2:9">
      <c r="C298" s="46">
        <v>2.444</v>
      </c>
      <c r="D298" s="3">
        <v>118.4</v>
      </c>
      <c r="E298" s="3">
        <v>110.8</v>
      </c>
      <c r="F298" s="3">
        <v>20.68</v>
      </c>
      <c r="G298" s="3">
        <v>448.7</v>
      </c>
      <c r="H298" s="23">
        <v>3.5350000000000001</v>
      </c>
      <c r="I298" s="13">
        <f t="shared" si="5"/>
        <v>5.3578336557059965</v>
      </c>
    </row>
    <row r="299" spans="2:9">
      <c r="C299" s="46">
        <v>2.4420000000000002</v>
      </c>
      <c r="D299" s="3">
        <v>120.5</v>
      </c>
      <c r="E299" s="3">
        <v>111.4</v>
      </c>
      <c r="F299" s="3">
        <v>20.53</v>
      </c>
      <c r="G299" s="3">
        <v>442.8</v>
      </c>
      <c r="H299" s="23">
        <v>3.613</v>
      </c>
      <c r="I299" s="13">
        <f t="shared" si="5"/>
        <v>5.4262055528494884</v>
      </c>
    </row>
    <row r="300" spans="2:9">
      <c r="C300" s="46">
        <v>2.4140000000000001</v>
      </c>
      <c r="D300" s="3">
        <v>97.5</v>
      </c>
      <c r="E300" s="3">
        <v>112.2</v>
      </c>
      <c r="F300" s="3">
        <v>20.05</v>
      </c>
      <c r="G300" s="3">
        <v>443.6</v>
      </c>
      <c r="H300" s="23">
        <v>3.37</v>
      </c>
      <c r="I300" s="13">
        <f t="shared" si="5"/>
        <v>5.5960099750623442</v>
      </c>
    </row>
    <row r="301" spans="2:9">
      <c r="C301" s="46">
        <v>2.419</v>
      </c>
      <c r="D301" s="3">
        <v>118.4</v>
      </c>
      <c r="E301" s="3">
        <v>111.9</v>
      </c>
      <c r="F301" s="3">
        <v>19.940000000000001</v>
      </c>
      <c r="G301" s="3">
        <v>449.3</v>
      </c>
      <c r="H301" s="23">
        <v>3.0470000000000002</v>
      </c>
      <c r="I301" s="13">
        <f t="shared" si="5"/>
        <v>5.6118355065195589</v>
      </c>
    </row>
    <row r="302" spans="2:9">
      <c r="B302" s="16">
        <v>16</v>
      </c>
      <c r="C302" s="47">
        <v>3.1579999999999999</v>
      </c>
      <c r="D302" s="18">
        <v>91.8</v>
      </c>
      <c r="E302" s="16">
        <v>113.1</v>
      </c>
      <c r="F302" s="16">
        <v>29.34</v>
      </c>
      <c r="G302" s="16">
        <v>485.3</v>
      </c>
      <c r="H302" s="16">
        <v>3.0550000000000002</v>
      </c>
      <c r="I302" s="13">
        <f t="shared" si="5"/>
        <v>3.8548057259713699</v>
      </c>
    </row>
    <row r="303" spans="2:9">
      <c r="C303" s="46">
        <v>3.1469999999999998</v>
      </c>
      <c r="D303" s="3">
        <v>97.8</v>
      </c>
      <c r="E303" s="3">
        <v>111.4</v>
      </c>
      <c r="F303" s="3">
        <v>29.31</v>
      </c>
      <c r="G303" s="3">
        <v>482.6</v>
      </c>
      <c r="H303" s="3">
        <v>3.0590000000000002</v>
      </c>
      <c r="I303" s="13">
        <f t="shared" si="5"/>
        <v>3.8007505970658482</v>
      </c>
    </row>
    <row r="304" spans="2:9">
      <c r="C304" s="46">
        <v>3.1949999999999998</v>
      </c>
      <c r="D304" s="3">
        <v>117.6</v>
      </c>
      <c r="E304" s="3">
        <v>110.6</v>
      </c>
      <c r="F304" s="3">
        <v>29.29</v>
      </c>
      <c r="G304" s="3">
        <v>484.3</v>
      </c>
      <c r="H304" s="3">
        <v>3.141</v>
      </c>
      <c r="I304" s="13">
        <f t="shared" si="5"/>
        <v>3.7760327756913621</v>
      </c>
    </row>
    <row r="305" spans="3:9">
      <c r="C305" s="46">
        <v>3.21</v>
      </c>
      <c r="D305" s="3">
        <v>112.9</v>
      </c>
      <c r="E305" s="3">
        <v>110.2</v>
      </c>
      <c r="F305" s="3">
        <v>28.84</v>
      </c>
      <c r="G305" s="3">
        <v>486.4</v>
      </c>
      <c r="H305" s="3">
        <v>3.2280000000000002</v>
      </c>
      <c r="I305" s="13">
        <f t="shared" si="5"/>
        <v>3.8210818307905687</v>
      </c>
    </row>
    <row r="306" spans="3:9">
      <c r="C306" s="46">
        <v>3.2610000000000001</v>
      </c>
      <c r="D306" s="3">
        <v>90.98</v>
      </c>
      <c r="E306" s="3">
        <v>110.7</v>
      </c>
      <c r="F306" s="3">
        <v>29.41</v>
      </c>
      <c r="G306" s="3">
        <v>485.7</v>
      </c>
      <c r="H306" s="3">
        <v>3.0920000000000001</v>
      </c>
      <c r="I306" s="13">
        <f t="shared" si="5"/>
        <v>3.764025841550493</v>
      </c>
    </row>
    <row r="307" spans="3:9">
      <c r="C307" s="46">
        <v>3.2290000000000001</v>
      </c>
      <c r="D307" s="3">
        <v>109.6</v>
      </c>
      <c r="E307" s="3">
        <v>110.8</v>
      </c>
      <c r="F307" s="3">
        <v>29.19</v>
      </c>
      <c r="G307" s="3">
        <v>483.3</v>
      </c>
      <c r="H307" s="3">
        <v>3.1280000000000001</v>
      </c>
      <c r="I307" s="13">
        <f t="shared" si="5"/>
        <v>3.7958204864679681</v>
      </c>
    </row>
    <row r="308" spans="3:9">
      <c r="C308" s="46">
        <v>3.1890000000000001</v>
      </c>
      <c r="D308" s="3">
        <v>90.28</v>
      </c>
      <c r="E308" s="3">
        <v>110.2</v>
      </c>
      <c r="F308" s="3">
        <v>30.18</v>
      </c>
      <c r="G308" s="3">
        <v>484.9</v>
      </c>
      <c r="H308" s="3">
        <v>3.1139999999999999</v>
      </c>
      <c r="I308" s="13">
        <f t="shared" si="5"/>
        <v>3.6514247846255801</v>
      </c>
    </row>
    <row r="309" spans="3:9">
      <c r="C309" s="46">
        <v>3.1320000000000001</v>
      </c>
      <c r="D309" s="3">
        <v>106</v>
      </c>
      <c r="E309" s="3">
        <v>111.1</v>
      </c>
      <c r="F309" s="3">
        <v>29.8</v>
      </c>
      <c r="G309" s="3">
        <v>485</v>
      </c>
      <c r="H309" s="3">
        <v>3.4670000000000001</v>
      </c>
      <c r="I309" s="13">
        <f t="shared" si="5"/>
        <v>3.7281879194630871</v>
      </c>
    </row>
    <row r="310" spans="3:9">
      <c r="C310" s="46">
        <v>3.0790000000000002</v>
      </c>
      <c r="D310" s="3">
        <v>94.39</v>
      </c>
      <c r="E310" s="3">
        <v>110.9</v>
      </c>
      <c r="F310" s="3">
        <v>29.96</v>
      </c>
      <c r="G310" s="3">
        <v>484</v>
      </c>
      <c r="H310" s="3">
        <v>3.2629999999999999</v>
      </c>
      <c r="I310" s="13">
        <f t="shared" si="5"/>
        <v>3.7016021361815756</v>
      </c>
    </row>
    <row r="311" spans="3:9">
      <c r="C311" s="46">
        <v>2.9980000000000002</v>
      </c>
      <c r="D311" s="3">
        <v>106.2</v>
      </c>
      <c r="E311" s="3">
        <v>109.8</v>
      </c>
      <c r="F311" s="3">
        <v>30.02</v>
      </c>
      <c r="G311" s="3">
        <v>487.8</v>
      </c>
      <c r="H311" s="3">
        <v>3.234</v>
      </c>
      <c r="I311" s="13">
        <f t="shared" si="5"/>
        <v>3.6575616255829448</v>
      </c>
    </row>
    <row r="312" spans="3:9">
      <c r="C312" s="46">
        <v>2.9159999999999999</v>
      </c>
      <c r="D312" s="3">
        <v>90.28</v>
      </c>
      <c r="E312" s="3">
        <v>109.6</v>
      </c>
      <c r="F312" s="3">
        <v>30.15</v>
      </c>
      <c r="G312" s="3">
        <v>481.7</v>
      </c>
      <c r="H312" s="3">
        <v>3.1280000000000001</v>
      </c>
      <c r="I312" s="13">
        <f t="shared" si="5"/>
        <v>3.6351575456053067</v>
      </c>
    </row>
    <row r="313" spans="3:9">
      <c r="C313" s="46">
        <v>2.81</v>
      </c>
      <c r="D313" s="3">
        <v>120.7</v>
      </c>
      <c r="E313" s="3">
        <v>110.1</v>
      </c>
      <c r="F313" s="3">
        <v>29.68</v>
      </c>
      <c r="G313" s="3">
        <v>485.3</v>
      </c>
      <c r="H313" s="3">
        <v>3.0920000000000001</v>
      </c>
      <c r="I313" s="13">
        <f t="shared" si="5"/>
        <v>3.7095687331536387</v>
      </c>
    </row>
    <row r="314" spans="3:9">
      <c r="C314" s="46">
        <v>2.7080000000000002</v>
      </c>
      <c r="D314" s="3">
        <v>88.65</v>
      </c>
      <c r="E314" s="3">
        <v>110.9</v>
      </c>
      <c r="F314" s="3">
        <v>29.97</v>
      </c>
      <c r="G314" s="3">
        <v>485.6</v>
      </c>
      <c r="H314" s="3">
        <v>3.028</v>
      </c>
      <c r="I314" s="13">
        <f t="shared" si="5"/>
        <v>3.7003670337003673</v>
      </c>
    </row>
    <row r="315" spans="3:9">
      <c r="C315" s="46">
        <v>2.67</v>
      </c>
      <c r="D315" s="3">
        <v>141.69999999999999</v>
      </c>
      <c r="E315" s="3">
        <v>110.7</v>
      </c>
      <c r="F315" s="3">
        <v>29.77</v>
      </c>
      <c r="G315" s="3">
        <v>484.4</v>
      </c>
      <c r="H315" s="3">
        <v>2.9950000000000001</v>
      </c>
      <c r="I315" s="13">
        <f t="shared" si="5"/>
        <v>3.7185085656701378</v>
      </c>
    </row>
    <row r="316" spans="3:9">
      <c r="C316" s="46">
        <v>2.7509999999999999</v>
      </c>
      <c r="D316" s="3">
        <v>108.8</v>
      </c>
      <c r="E316" s="3">
        <v>111.1</v>
      </c>
      <c r="F316" s="3">
        <v>28.96</v>
      </c>
      <c r="G316" s="3">
        <v>486</v>
      </c>
      <c r="H316" s="3">
        <v>3.012</v>
      </c>
      <c r="I316" s="13">
        <f t="shared" si="5"/>
        <v>3.8363259668508283</v>
      </c>
    </row>
    <row r="317" spans="3:9">
      <c r="C317" s="46">
        <v>2.82</v>
      </c>
      <c r="D317" s="3">
        <v>137.19999999999999</v>
      </c>
      <c r="E317" s="3">
        <v>111.6</v>
      </c>
      <c r="F317" s="3">
        <v>29.55</v>
      </c>
      <c r="G317" s="3">
        <v>484.6</v>
      </c>
      <c r="H317" s="3">
        <v>3.0249999999999999</v>
      </c>
      <c r="I317" s="13">
        <f t="shared" si="5"/>
        <v>3.7766497461928932</v>
      </c>
    </row>
    <row r="318" spans="3:9">
      <c r="C318" s="46">
        <v>2.8490000000000002</v>
      </c>
      <c r="D318" s="3">
        <v>100.2</v>
      </c>
      <c r="E318" s="3">
        <v>110.2</v>
      </c>
      <c r="F318" s="3">
        <v>29.9</v>
      </c>
      <c r="G318" s="3">
        <v>486</v>
      </c>
      <c r="H318" s="3">
        <v>3.3010000000000002</v>
      </c>
      <c r="I318" s="13">
        <f t="shared" si="5"/>
        <v>3.6856187290969902</v>
      </c>
    </row>
    <row r="319" spans="3:9">
      <c r="C319" s="46">
        <v>3.0049999999999999</v>
      </c>
      <c r="D319" s="3">
        <v>107.5</v>
      </c>
      <c r="E319" s="3">
        <v>110.3</v>
      </c>
      <c r="F319" s="3">
        <v>30.05</v>
      </c>
      <c r="G319" s="3">
        <v>485</v>
      </c>
      <c r="H319" s="3">
        <v>3.2679999999999998</v>
      </c>
      <c r="I319" s="13">
        <f t="shared" si="5"/>
        <v>3.6705490848585689</v>
      </c>
    </row>
    <row r="320" spans="3:9">
      <c r="C320" s="46">
        <v>3.0259999999999998</v>
      </c>
      <c r="D320" s="3">
        <v>135.9</v>
      </c>
      <c r="E320" s="3">
        <v>110.5</v>
      </c>
      <c r="F320" s="3">
        <v>29.49</v>
      </c>
      <c r="G320" s="3">
        <v>489</v>
      </c>
      <c r="H320" s="3">
        <v>3.3210000000000002</v>
      </c>
      <c r="I320" s="13">
        <f t="shared" si="5"/>
        <v>3.7470328925059344</v>
      </c>
    </row>
    <row r="321" spans="2:9">
      <c r="C321" s="46">
        <v>3.09</v>
      </c>
      <c r="D321" s="3">
        <v>165.8</v>
      </c>
      <c r="E321" s="3">
        <v>111</v>
      </c>
      <c r="F321" s="3">
        <v>29.96</v>
      </c>
      <c r="G321" s="3">
        <v>483.1</v>
      </c>
      <c r="H321" s="3">
        <v>3.2349999999999999</v>
      </c>
      <c r="I321" s="13">
        <f t="shared" si="5"/>
        <v>3.7049399198931909</v>
      </c>
    </row>
    <row r="322" spans="2:9">
      <c r="B322" s="16">
        <v>17</v>
      </c>
      <c r="C322" s="47">
        <v>3.3809999999999998</v>
      </c>
      <c r="D322" s="18">
        <v>128.6</v>
      </c>
      <c r="E322" s="16">
        <v>95.41</v>
      </c>
      <c r="F322" s="16">
        <v>29.4</v>
      </c>
      <c r="G322" s="16">
        <v>476.9</v>
      </c>
      <c r="H322" s="16">
        <v>3.1709999999999998</v>
      </c>
      <c r="I322" s="13">
        <f t="shared" si="5"/>
        <v>3.2452380952380953</v>
      </c>
    </row>
    <row r="323" spans="2:9">
      <c r="C323" s="46">
        <v>3.3969999999999998</v>
      </c>
      <c r="D323" s="3">
        <v>107.6</v>
      </c>
      <c r="E323" s="3">
        <v>96</v>
      </c>
      <c r="F323" s="3">
        <v>28.87</v>
      </c>
      <c r="G323" s="3">
        <v>475</v>
      </c>
      <c r="H323" s="3">
        <v>3.0270000000000001</v>
      </c>
      <c r="I323" s="13">
        <f t="shared" si="5"/>
        <v>3.3252511257360582</v>
      </c>
    </row>
    <row r="324" spans="2:9">
      <c r="C324" s="46">
        <v>3.39</v>
      </c>
      <c r="D324" s="3">
        <v>109.2</v>
      </c>
      <c r="E324" s="3">
        <v>94.8</v>
      </c>
      <c r="F324" s="3">
        <v>29.57</v>
      </c>
      <c r="G324" s="3">
        <v>475.3</v>
      </c>
      <c r="H324" s="3">
        <v>2.8879999999999999</v>
      </c>
      <c r="I324" s="13">
        <f t="shared" si="5"/>
        <v>3.2059519783564423</v>
      </c>
    </row>
    <row r="325" spans="2:9">
      <c r="C325" s="46">
        <v>3.3740000000000001</v>
      </c>
      <c r="D325" s="3">
        <v>102.9</v>
      </c>
      <c r="E325" s="3">
        <v>94.77</v>
      </c>
      <c r="F325" s="3">
        <v>29.86</v>
      </c>
      <c r="G325" s="3">
        <v>485.9</v>
      </c>
      <c r="H325" s="3">
        <v>2.98</v>
      </c>
      <c r="I325" s="13">
        <f t="shared" si="5"/>
        <v>3.1738111185532483</v>
      </c>
    </row>
    <row r="326" spans="2:9">
      <c r="C326" s="46">
        <v>3.2730000000000001</v>
      </c>
      <c r="D326" s="3">
        <v>113.1</v>
      </c>
      <c r="E326" s="3">
        <v>94.87</v>
      </c>
      <c r="F326" s="3">
        <v>29.53</v>
      </c>
      <c r="G326" s="3">
        <v>477.8</v>
      </c>
      <c r="H326" s="3">
        <v>2.8380000000000001</v>
      </c>
      <c r="I326" s="13">
        <f t="shared" si="5"/>
        <v>3.2126650863528616</v>
      </c>
    </row>
    <row r="327" spans="2:9">
      <c r="C327" s="46">
        <v>3.3159999999999998</v>
      </c>
      <c r="D327" s="3">
        <v>97.51</v>
      </c>
      <c r="E327" s="3">
        <v>95.22</v>
      </c>
      <c r="F327" s="3">
        <v>28.76</v>
      </c>
      <c r="G327" s="3">
        <v>482.5</v>
      </c>
      <c r="H327" s="3">
        <v>2.9129999999999998</v>
      </c>
      <c r="I327" s="13">
        <f t="shared" si="5"/>
        <v>3.3108484005563281</v>
      </c>
    </row>
    <row r="328" spans="2:9">
      <c r="C328" s="46">
        <v>3.1669999999999998</v>
      </c>
      <c r="D328" s="3">
        <v>130.19999999999999</v>
      </c>
      <c r="E328" s="3">
        <v>95.17</v>
      </c>
      <c r="F328" s="3">
        <v>29.31</v>
      </c>
      <c r="G328" s="3">
        <v>484.6</v>
      </c>
      <c r="H328" s="3">
        <v>3.0939999999999999</v>
      </c>
      <c r="I328" s="13">
        <f t="shared" si="5"/>
        <v>3.2470146707608327</v>
      </c>
    </row>
    <row r="329" spans="2:9">
      <c r="C329" s="46">
        <v>3.2029999999999998</v>
      </c>
      <c r="D329" s="3">
        <v>114.8</v>
      </c>
      <c r="E329" s="3">
        <v>95.15</v>
      </c>
      <c r="F329" s="3">
        <v>29.6</v>
      </c>
      <c r="G329" s="3">
        <v>480.3</v>
      </c>
      <c r="H329" s="3">
        <v>2.835</v>
      </c>
      <c r="I329" s="13">
        <f t="shared" si="5"/>
        <v>3.2145270270270272</v>
      </c>
    </row>
    <row r="330" spans="2:9">
      <c r="C330" s="46">
        <v>3.31</v>
      </c>
      <c r="D330" s="3">
        <v>106.4</v>
      </c>
      <c r="E330" s="3">
        <v>96.3</v>
      </c>
      <c r="F330" s="3">
        <v>29.31</v>
      </c>
      <c r="G330" s="3">
        <v>489.3</v>
      </c>
      <c r="H330" s="3">
        <v>2.847</v>
      </c>
      <c r="I330" s="13">
        <f t="shared" si="5"/>
        <v>3.285568065506653</v>
      </c>
    </row>
    <row r="331" spans="2:9">
      <c r="C331" s="46">
        <v>3.3450000000000002</v>
      </c>
      <c r="D331" s="3">
        <v>107.6</v>
      </c>
      <c r="E331" s="3">
        <v>96.38</v>
      </c>
      <c r="F331" s="3">
        <v>29.12</v>
      </c>
      <c r="G331" s="3">
        <v>485.9</v>
      </c>
      <c r="H331" s="3">
        <v>2.6749999999999998</v>
      </c>
      <c r="I331" s="13">
        <f t="shared" si="5"/>
        <v>3.3097527472527468</v>
      </c>
    </row>
    <row r="332" spans="2:9">
      <c r="C332" s="46">
        <v>3.3809999999999998</v>
      </c>
      <c r="D332" s="3">
        <v>110.8</v>
      </c>
      <c r="E332" s="3">
        <v>95.33</v>
      </c>
      <c r="F332" s="3">
        <v>29.96</v>
      </c>
      <c r="G332" s="3">
        <v>497.9</v>
      </c>
      <c r="H332" s="3">
        <v>2.71</v>
      </c>
      <c r="I332" s="13">
        <f t="shared" si="5"/>
        <v>3.1819092122830441</v>
      </c>
    </row>
    <row r="333" spans="2:9">
      <c r="C333" s="46">
        <v>3.3460000000000001</v>
      </c>
      <c r="D333" s="3">
        <v>107</v>
      </c>
      <c r="E333" s="3">
        <v>96.46</v>
      </c>
      <c r="F333" s="3">
        <v>29.31</v>
      </c>
      <c r="G333" s="3">
        <v>489.8</v>
      </c>
      <c r="H333" s="3">
        <v>3.2639999999999998</v>
      </c>
      <c r="I333" s="13">
        <f t="shared" si="5"/>
        <v>3.2910269532582737</v>
      </c>
    </row>
    <row r="334" spans="2:9">
      <c r="C334" s="46">
        <v>3.298</v>
      </c>
      <c r="D334" s="3">
        <v>118.3</v>
      </c>
      <c r="E334" s="3">
        <v>96.57</v>
      </c>
      <c r="F334" s="3">
        <v>29.6</v>
      </c>
      <c r="G334" s="3">
        <v>480.2</v>
      </c>
      <c r="H334" s="3">
        <v>3.347</v>
      </c>
      <c r="I334" s="13">
        <f t="shared" si="5"/>
        <v>3.2624999999999997</v>
      </c>
    </row>
    <row r="335" spans="2:9">
      <c r="C335" s="46">
        <v>3.39</v>
      </c>
      <c r="D335" s="3">
        <v>100.1</v>
      </c>
      <c r="E335" s="3">
        <v>96.73</v>
      </c>
      <c r="F335" s="3">
        <v>28.95</v>
      </c>
      <c r="G335" s="3">
        <v>481.6</v>
      </c>
      <c r="H335" s="3">
        <v>3.31</v>
      </c>
      <c r="I335" s="13">
        <f t="shared" si="5"/>
        <v>3.3412780656303975</v>
      </c>
    </row>
    <row r="336" spans="2:9">
      <c r="C336" s="46">
        <v>3.3740000000000001</v>
      </c>
      <c r="D336" s="3">
        <v>103.9</v>
      </c>
      <c r="E336" s="3">
        <v>96.25</v>
      </c>
      <c r="F336" s="3">
        <v>28.87</v>
      </c>
      <c r="G336" s="3">
        <v>485.3</v>
      </c>
      <c r="H336" s="3">
        <v>3.153</v>
      </c>
      <c r="I336" s="13">
        <f t="shared" si="5"/>
        <v>3.3339106338759956</v>
      </c>
    </row>
    <row r="337" spans="2:9">
      <c r="C337" s="46">
        <v>3.343</v>
      </c>
      <c r="D337" s="3">
        <v>113.8</v>
      </c>
      <c r="E337" s="3">
        <v>95.79</v>
      </c>
      <c r="F337" s="3">
        <v>29.47</v>
      </c>
      <c r="G337" s="3">
        <v>493.6</v>
      </c>
      <c r="H337" s="3">
        <v>2.968</v>
      </c>
      <c r="I337" s="13">
        <f t="shared" si="5"/>
        <v>3.2504241601628778</v>
      </c>
    </row>
    <row r="338" spans="2:9">
      <c r="C338" s="46">
        <v>3.2519999999999998</v>
      </c>
      <c r="D338" s="3">
        <v>126.8</v>
      </c>
      <c r="E338" s="3">
        <v>95.79</v>
      </c>
      <c r="F338" s="3">
        <v>29.68</v>
      </c>
      <c r="G338" s="3">
        <v>493.9</v>
      </c>
      <c r="H338" s="3">
        <v>2.9870000000000001</v>
      </c>
      <c r="I338" s="13">
        <f t="shared" si="5"/>
        <v>3.2274258760107819</v>
      </c>
    </row>
    <row r="339" spans="2:9">
      <c r="C339" s="46">
        <v>3.137</v>
      </c>
      <c r="D339" s="3">
        <v>107.6</v>
      </c>
      <c r="E339" s="3">
        <v>95.52</v>
      </c>
      <c r="F339" s="3">
        <v>29.27</v>
      </c>
      <c r="G339" s="3">
        <v>481.6</v>
      </c>
      <c r="H339" s="3">
        <v>3.0859999999999999</v>
      </c>
      <c r="I339" s="13">
        <f t="shared" si="5"/>
        <v>3.2634096344379908</v>
      </c>
    </row>
    <row r="340" spans="2:9">
      <c r="C340" s="46">
        <v>3.2160000000000002</v>
      </c>
      <c r="D340" s="3">
        <v>122.6</v>
      </c>
      <c r="E340" s="3">
        <v>96.74</v>
      </c>
      <c r="F340" s="3">
        <v>29.73</v>
      </c>
      <c r="G340" s="3">
        <v>495.9</v>
      </c>
      <c r="H340" s="3">
        <v>2.8860000000000001</v>
      </c>
      <c r="I340" s="13">
        <f t="shared" si="5"/>
        <v>3.2539522367978471</v>
      </c>
    </row>
    <row r="341" spans="2:9">
      <c r="C341" s="46">
        <v>3.3969999999999998</v>
      </c>
      <c r="D341" s="3">
        <v>107.9</v>
      </c>
      <c r="E341" s="3">
        <v>95.05</v>
      </c>
      <c r="F341" s="3">
        <v>28.8</v>
      </c>
      <c r="G341" s="3">
        <v>506.7</v>
      </c>
      <c r="H341" s="3">
        <v>2.8519999999999999</v>
      </c>
      <c r="I341" s="13">
        <f t="shared" si="5"/>
        <v>3.3003472222222219</v>
      </c>
    </row>
    <row r="342" spans="2:9">
      <c r="B342" s="16">
        <v>18</v>
      </c>
      <c r="C342" s="47">
        <v>2.2160000000000002</v>
      </c>
      <c r="D342" s="18">
        <v>141.1</v>
      </c>
      <c r="E342" s="16">
        <v>95.04</v>
      </c>
      <c r="F342" s="16">
        <v>30.7</v>
      </c>
      <c r="G342" s="16">
        <v>515.4</v>
      </c>
      <c r="H342" s="38">
        <v>8.6579999999999995</v>
      </c>
      <c r="I342" s="13">
        <f t="shared" ref="I342:I405" si="6">E342/F342</f>
        <v>3.0957654723127037</v>
      </c>
    </row>
    <row r="343" spans="2:9">
      <c r="C343" s="46">
        <v>2.1989999999999998</v>
      </c>
      <c r="D343" s="3">
        <v>101.6</v>
      </c>
      <c r="E343" s="3">
        <v>95.88</v>
      </c>
      <c r="F343" s="3">
        <v>31.73</v>
      </c>
      <c r="G343" s="3">
        <v>516.4</v>
      </c>
      <c r="H343" s="23">
        <v>8.17</v>
      </c>
      <c r="I343" s="13">
        <f t="shared" si="6"/>
        <v>3.0217459817207688</v>
      </c>
    </row>
    <row r="344" spans="2:9">
      <c r="C344" s="46">
        <v>2.1709999999999998</v>
      </c>
      <c r="D344" s="3">
        <v>123.3</v>
      </c>
      <c r="E344" s="3">
        <v>94.27</v>
      </c>
      <c r="F344" s="3">
        <v>30.88</v>
      </c>
      <c r="G344" s="3">
        <v>514.5</v>
      </c>
      <c r="H344" s="23">
        <v>8.8710000000000004</v>
      </c>
      <c r="I344" s="13">
        <f t="shared" si="6"/>
        <v>3.0527849740932642</v>
      </c>
    </row>
    <row r="345" spans="2:9">
      <c r="C345" s="46">
        <v>2.1619999999999999</v>
      </c>
      <c r="D345" s="3">
        <v>136.9</v>
      </c>
      <c r="E345" s="3">
        <v>94.75</v>
      </c>
      <c r="F345" s="3">
        <v>31.45</v>
      </c>
      <c r="G345" s="3">
        <v>511.4</v>
      </c>
      <c r="H345" s="23">
        <v>8.4429999999999996</v>
      </c>
      <c r="I345" s="13">
        <f t="shared" si="6"/>
        <v>3.0127186009538951</v>
      </c>
    </row>
    <row r="346" spans="2:9">
      <c r="C346" s="46">
        <v>2.1309999999999998</v>
      </c>
      <c r="D346" s="3">
        <v>120</v>
      </c>
      <c r="E346" s="3">
        <v>94.91</v>
      </c>
      <c r="F346" s="3">
        <v>31.27</v>
      </c>
      <c r="G346" s="3">
        <v>516.1</v>
      </c>
      <c r="H346" s="23">
        <v>8.6539999999999999</v>
      </c>
      <c r="I346" s="13">
        <f t="shared" si="6"/>
        <v>3.0351774864086982</v>
      </c>
    </row>
    <row r="347" spans="2:9">
      <c r="C347" s="46">
        <v>2.1619999999999999</v>
      </c>
      <c r="D347" s="3">
        <v>121.9</v>
      </c>
      <c r="E347" s="3">
        <v>94.56</v>
      </c>
      <c r="F347" s="3">
        <v>31.06</v>
      </c>
      <c r="G347" s="3">
        <v>513.5</v>
      </c>
      <c r="H347" s="23">
        <v>8.6110000000000007</v>
      </c>
      <c r="I347" s="13">
        <f t="shared" si="6"/>
        <v>3.044430135222151</v>
      </c>
    </row>
    <row r="348" spans="2:9">
      <c r="C348" s="46">
        <v>2.1709999999999998</v>
      </c>
      <c r="D348" s="3">
        <v>127.6</v>
      </c>
      <c r="E348" s="3">
        <v>94.5</v>
      </c>
      <c r="F348" s="3">
        <v>31.35</v>
      </c>
      <c r="G348" s="3">
        <v>515.29999999999995</v>
      </c>
      <c r="H348" s="23">
        <v>8.5350000000000001</v>
      </c>
      <c r="I348" s="13">
        <f t="shared" si="6"/>
        <v>3.0143540669856459</v>
      </c>
    </row>
    <row r="349" spans="2:9">
      <c r="C349" s="46">
        <v>2.1779999999999999</v>
      </c>
      <c r="D349" s="3">
        <v>123.8</v>
      </c>
      <c r="E349" s="3">
        <v>94.23</v>
      </c>
      <c r="F349" s="3">
        <v>30.7</v>
      </c>
      <c r="G349" s="3">
        <v>526.70000000000005</v>
      </c>
      <c r="H349" s="23">
        <v>8.6980000000000004</v>
      </c>
      <c r="I349" s="13">
        <f t="shared" si="6"/>
        <v>3.0693811074918567</v>
      </c>
    </row>
    <row r="350" spans="2:9">
      <c r="C350" s="46">
        <v>2.15</v>
      </c>
      <c r="D350" s="3">
        <v>121.3</v>
      </c>
      <c r="E350" s="3">
        <v>94.86</v>
      </c>
      <c r="F350" s="3">
        <v>31.43</v>
      </c>
      <c r="G350" s="3">
        <v>515.4</v>
      </c>
      <c r="H350" s="23">
        <v>8.6059999999999999</v>
      </c>
      <c r="I350" s="13">
        <f t="shared" si="6"/>
        <v>3.0181355392936684</v>
      </c>
    </row>
    <row r="351" spans="2:9">
      <c r="C351" s="46">
        <v>2.161</v>
      </c>
      <c r="D351" s="3">
        <v>121.6</v>
      </c>
      <c r="E351" s="3">
        <v>95.04</v>
      </c>
      <c r="F351" s="3">
        <v>31.65</v>
      </c>
      <c r="G351" s="3">
        <v>513.6</v>
      </c>
      <c r="H351" s="23">
        <v>7.9249999999999998</v>
      </c>
      <c r="I351" s="13">
        <f t="shared" si="6"/>
        <v>3.002843601895735</v>
      </c>
    </row>
    <row r="352" spans="2:9">
      <c r="C352" s="46">
        <v>2.1589999999999998</v>
      </c>
      <c r="D352" s="3">
        <v>104.8</v>
      </c>
      <c r="E352" s="3">
        <v>94.86</v>
      </c>
      <c r="F352" s="3">
        <v>31.54</v>
      </c>
      <c r="G352" s="3">
        <v>517.9</v>
      </c>
      <c r="H352" s="23">
        <v>7.9290000000000003</v>
      </c>
      <c r="I352" s="13">
        <f t="shared" si="6"/>
        <v>3.0076093849080534</v>
      </c>
    </row>
    <row r="353" spans="2:9">
      <c r="C353" s="46">
        <v>2.2029999999999998</v>
      </c>
      <c r="D353" s="3">
        <v>120</v>
      </c>
      <c r="E353" s="3">
        <v>94.49</v>
      </c>
      <c r="F353" s="3">
        <v>30.82</v>
      </c>
      <c r="G353" s="3">
        <v>517.70000000000005</v>
      </c>
      <c r="H353" s="23">
        <v>7.6680000000000001</v>
      </c>
      <c r="I353" s="13">
        <f t="shared" si="6"/>
        <v>3.0658663205710575</v>
      </c>
    </row>
    <row r="354" spans="2:9">
      <c r="C354" s="46">
        <v>2.2400000000000002</v>
      </c>
      <c r="D354" s="3">
        <v>125.8</v>
      </c>
      <c r="E354" s="3">
        <v>95.23</v>
      </c>
      <c r="F354" s="3">
        <v>31.34</v>
      </c>
      <c r="G354" s="3">
        <v>521.79999999999995</v>
      </c>
      <c r="H354" s="23">
        <v>7.6929999999999996</v>
      </c>
      <c r="I354" s="13">
        <f t="shared" si="6"/>
        <v>3.0386088066368857</v>
      </c>
    </row>
    <row r="355" spans="2:9">
      <c r="C355" s="46">
        <v>2.238</v>
      </c>
      <c r="D355" s="3">
        <v>105.2</v>
      </c>
      <c r="E355" s="3">
        <v>94.86</v>
      </c>
      <c r="F355" s="3">
        <v>31.76</v>
      </c>
      <c r="G355" s="3">
        <v>519.29999999999995</v>
      </c>
      <c r="H355" s="23">
        <v>8.0020000000000007</v>
      </c>
      <c r="I355" s="13">
        <f t="shared" si="6"/>
        <v>2.9867758186397984</v>
      </c>
    </row>
    <row r="356" spans="2:9">
      <c r="C356" s="46">
        <v>2.2309999999999999</v>
      </c>
      <c r="D356" s="3">
        <v>134.9</v>
      </c>
      <c r="E356" s="3">
        <v>94.67</v>
      </c>
      <c r="F356" s="3">
        <v>31.71</v>
      </c>
      <c r="G356" s="3">
        <v>517.6</v>
      </c>
      <c r="H356" s="23">
        <v>8.1050000000000004</v>
      </c>
      <c r="I356" s="13">
        <f t="shared" si="6"/>
        <v>2.9854935351624095</v>
      </c>
    </row>
    <row r="357" spans="2:9">
      <c r="C357" s="46">
        <v>2.2160000000000002</v>
      </c>
      <c r="D357" s="3">
        <v>119.2</v>
      </c>
      <c r="E357" s="3">
        <v>94.33</v>
      </c>
      <c r="F357" s="3">
        <v>31.46</v>
      </c>
      <c r="G357" s="3">
        <v>509.6</v>
      </c>
      <c r="H357" s="23">
        <v>7.2789999999999999</v>
      </c>
      <c r="I357" s="13">
        <f t="shared" si="6"/>
        <v>2.9984106802288619</v>
      </c>
    </row>
    <row r="358" spans="2:9">
      <c r="C358" s="46">
        <v>2.1909999999999998</v>
      </c>
      <c r="D358" s="3">
        <v>115.2</v>
      </c>
      <c r="E358" s="3">
        <v>94.77</v>
      </c>
      <c r="F358" s="3">
        <v>31.35</v>
      </c>
      <c r="G358" s="3">
        <v>518.20000000000005</v>
      </c>
      <c r="H358" s="23">
        <v>8.49</v>
      </c>
      <c r="I358" s="13">
        <f t="shared" si="6"/>
        <v>3.0229665071770331</v>
      </c>
    </row>
    <row r="359" spans="2:9">
      <c r="C359" s="46">
        <v>2.1709999999999998</v>
      </c>
      <c r="D359" s="3">
        <v>94.6</v>
      </c>
      <c r="E359" s="3">
        <v>94.39</v>
      </c>
      <c r="F359" s="3">
        <v>31.74</v>
      </c>
      <c r="G359" s="3">
        <v>519.5</v>
      </c>
      <c r="H359" s="23">
        <v>8.5239999999999991</v>
      </c>
      <c r="I359" s="13">
        <f t="shared" si="6"/>
        <v>2.9738500315059864</v>
      </c>
    </row>
    <row r="360" spans="2:9">
      <c r="C360" s="46">
        <v>2.125</v>
      </c>
      <c r="D360" s="3">
        <v>107.5</v>
      </c>
      <c r="E360" s="3">
        <v>95.04</v>
      </c>
      <c r="F360" s="3">
        <v>31.43</v>
      </c>
      <c r="G360" s="3">
        <v>528.5</v>
      </c>
      <c r="H360" s="23">
        <v>8.23</v>
      </c>
      <c r="I360" s="13">
        <f t="shared" si="6"/>
        <v>3.0238625517021958</v>
      </c>
    </row>
    <row r="361" spans="2:9">
      <c r="C361" s="46">
        <v>2.218</v>
      </c>
      <c r="D361" s="3">
        <v>130.9</v>
      </c>
      <c r="E361" s="3">
        <v>94.12</v>
      </c>
      <c r="F361" s="3">
        <v>31.35</v>
      </c>
      <c r="G361" s="3">
        <v>519.4</v>
      </c>
      <c r="H361" s="23">
        <v>8.2569999999999997</v>
      </c>
      <c r="I361" s="13">
        <f t="shared" si="6"/>
        <v>3.0022328548644337</v>
      </c>
    </row>
    <row r="362" spans="2:9">
      <c r="B362" s="16">
        <v>19</v>
      </c>
      <c r="C362" s="47">
        <v>2.339</v>
      </c>
      <c r="D362" s="18">
        <v>109.1</v>
      </c>
      <c r="E362" s="16">
        <v>105</v>
      </c>
      <c r="F362" s="16">
        <v>31.34</v>
      </c>
      <c r="G362" s="16">
        <v>522.20000000000005</v>
      </c>
      <c r="H362" s="16">
        <v>2.6549999999999998</v>
      </c>
      <c r="I362" s="13">
        <f t="shared" si="6"/>
        <v>3.3503509891512446</v>
      </c>
    </row>
    <row r="363" spans="2:9">
      <c r="C363" s="46">
        <v>2.306</v>
      </c>
      <c r="D363" s="3">
        <v>113.7</v>
      </c>
      <c r="E363" s="3">
        <v>104.2</v>
      </c>
      <c r="F363" s="3">
        <v>31.76</v>
      </c>
      <c r="G363" s="3">
        <v>523.9</v>
      </c>
      <c r="H363" s="3">
        <v>2.5880000000000001</v>
      </c>
      <c r="I363" s="13">
        <f t="shared" si="6"/>
        <v>3.2808564231738035</v>
      </c>
    </row>
    <row r="364" spans="2:9">
      <c r="C364" s="46">
        <v>2.3140000000000001</v>
      </c>
      <c r="D364" s="3">
        <v>112.6</v>
      </c>
      <c r="E364" s="3">
        <v>104.8</v>
      </c>
      <c r="F364" s="3">
        <v>31.41</v>
      </c>
      <c r="G364" s="3">
        <v>523</v>
      </c>
      <c r="H364" s="3">
        <v>2.488</v>
      </c>
      <c r="I364" s="13">
        <f t="shared" si="6"/>
        <v>3.3365170327921043</v>
      </c>
    </row>
    <row r="365" spans="2:9">
      <c r="C365" s="46">
        <v>2.2269999999999999</v>
      </c>
      <c r="D365" s="3">
        <v>130.5</v>
      </c>
      <c r="E365" s="3">
        <v>105.8</v>
      </c>
      <c r="F365" s="3">
        <v>30.27</v>
      </c>
      <c r="G365" s="3">
        <v>520.29999999999995</v>
      </c>
      <c r="H365" s="3">
        <v>2.778</v>
      </c>
      <c r="I365" s="13">
        <f t="shared" si="6"/>
        <v>3.4952097786587379</v>
      </c>
    </row>
    <row r="366" spans="2:9">
      <c r="C366" s="46">
        <v>2.298</v>
      </c>
      <c r="D366" s="3">
        <v>124.5</v>
      </c>
      <c r="E366" s="3">
        <v>105.2</v>
      </c>
      <c r="F366" s="3">
        <v>30.76</v>
      </c>
      <c r="G366" s="3">
        <v>525.29999999999995</v>
      </c>
      <c r="H366" s="3">
        <v>2.7280000000000002</v>
      </c>
      <c r="I366" s="13">
        <f t="shared" si="6"/>
        <v>3.4200260078023406</v>
      </c>
    </row>
    <row r="367" spans="2:9">
      <c r="C367" s="46">
        <v>2.3090000000000002</v>
      </c>
      <c r="D367" s="3">
        <v>115.2</v>
      </c>
      <c r="E367" s="3">
        <v>105.4</v>
      </c>
      <c r="F367" s="3">
        <v>31.13</v>
      </c>
      <c r="G367" s="3">
        <v>524.79999999999995</v>
      </c>
      <c r="H367" s="3">
        <v>2.5950000000000002</v>
      </c>
      <c r="I367" s="13">
        <f t="shared" si="6"/>
        <v>3.3858014776742693</v>
      </c>
    </row>
    <row r="368" spans="2:9">
      <c r="C368" s="46">
        <v>2.2719999999999998</v>
      </c>
      <c r="D368" s="3">
        <v>128.5</v>
      </c>
      <c r="E368" s="3">
        <v>104.7</v>
      </c>
      <c r="F368" s="3">
        <v>30.7</v>
      </c>
      <c r="G368" s="3">
        <v>512.20000000000005</v>
      </c>
      <c r="H368" s="3">
        <v>2.5390000000000001</v>
      </c>
      <c r="I368" s="13">
        <f t="shared" si="6"/>
        <v>3.4104234527687298</v>
      </c>
    </row>
    <row r="369" spans="2:9">
      <c r="C369" s="46">
        <v>2.2879999999999998</v>
      </c>
      <c r="D369" s="3">
        <v>138.19999999999999</v>
      </c>
      <c r="E369" s="3">
        <v>104.2</v>
      </c>
      <c r="F369" s="3">
        <v>30.34</v>
      </c>
      <c r="G369" s="3">
        <v>519.1</v>
      </c>
      <c r="H369" s="3">
        <v>2.5630000000000002</v>
      </c>
      <c r="I369" s="13">
        <f t="shared" si="6"/>
        <v>3.4344100197758736</v>
      </c>
    </row>
    <row r="370" spans="2:9">
      <c r="C370" s="46">
        <v>2.286</v>
      </c>
      <c r="D370" s="3">
        <v>141.69999999999999</v>
      </c>
      <c r="E370" s="3">
        <v>104</v>
      </c>
      <c r="F370" s="3">
        <v>30.42</v>
      </c>
      <c r="G370" s="3">
        <v>517.29999999999995</v>
      </c>
      <c r="H370" s="3">
        <v>2.5489999999999999</v>
      </c>
      <c r="I370" s="13">
        <f t="shared" si="6"/>
        <v>3.4188034188034186</v>
      </c>
    </row>
    <row r="371" spans="2:9">
      <c r="C371" s="46">
        <v>2.278</v>
      </c>
      <c r="D371" s="3">
        <v>184.9</v>
      </c>
      <c r="E371" s="3">
        <v>104.8</v>
      </c>
      <c r="F371" s="3">
        <v>31.45</v>
      </c>
      <c r="G371" s="3">
        <v>525.20000000000005</v>
      </c>
      <c r="H371" s="3">
        <v>2.4329999999999998</v>
      </c>
      <c r="I371" s="13">
        <f t="shared" si="6"/>
        <v>3.3322734499205087</v>
      </c>
    </row>
    <row r="372" spans="2:9">
      <c r="C372" s="46">
        <v>2.2650000000000001</v>
      </c>
      <c r="D372" s="3">
        <v>120.8</v>
      </c>
      <c r="E372" s="3">
        <v>105</v>
      </c>
      <c r="F372" s="3">
        <v>30.99</v>
      </c>
      <c r="G372" s="3">
        <v>530.9</v>
      </c>
      <c r="H372" s="3">
        <v>2.4550000000000001</v>
      </c>
      <c r="I372" s="13">
        <f t="shared" si="6"/>
        <v>3.3881897386253632</v>
      </c>
    </row>
    <row r="373" spans="2:9">
      <c r="C373" s="46">
        <v>2.2410000000000001</v>
      </c>
      <c r="D373" s="3">
        <v>101.3</v>
      </c>
      <c r="E373" s="3">
        <v>105.4</v>
      </c>
      <c r="F373" s="3">
        <v>30.36</v>
      </c>
      <c r="G373" s="3">
        <v>527.29999999999995</v>
      </c>
      <c r="H373" s="3">
        <v>2.4119999999999999</v>
      </c>
      <c r="I373" s="13">
        <f t="shared" si="6"/>
        <v>3.4716732542819502</v>
      </c>
    </row>
    <row r="374" spans="2:9">
      <c r="C374" s="46">
        <v>2.1509999999999998</v>
      </c>
      <c r="D374" s="3">
        <v>102.2</v>
      </c>
      <c r="E374" s="3">
        <v>105.8</v>
      </c>
      <c r="F374" s="3">
        <v>31.16</v>
      </c>
      <c r="G374" s="3">
        <v>526.29999999999995</v>
      </c>
      <c r="H374" s="3">
        <v>2.3650000000000002</v>
      </c>
      <c r="I374" s="13">
        <f t="shared" si="6"/>
        <v>3.3953786906290113</v>
      </c>
    </row>
    <row r="375" spans="2:9">
      <c r="C375" s="46">
        <v>2.242</v>
      </c>
      <c r="D375" s="3">
        <v>103.7</v>
      </c>
      <c r="E375" s="3">
        <v>105.6</v>
      </c>
      <c r="F375" s="3">
        <v>31.45</v>
      </c>
      <c r="G375" s="3">
        <v>525.1</v>
      </c>
      <c r="H375" s="3">
        <v>2.3239999999999998</v>
      </c>
      <c r="I375" s="13">
        <f t="shared" si="6"/>
        <v>3.3577106518282989</v>
      </c>
    </row>
    <row r="376" spans="2:9">
      <c r="C376" s="46">
        <v>2.2650000000000001</v>
      </c>
      <c r="D376" s="3">
        <v>109.7</v>
      </c>
      <c r="E376" s="3">
        <v>104.1</v>
      </c>
      <c r="F376" s="3">
        <v>31.8</v>
      </c>
      <c r="G376" s="3">
        <v>524.70000000000005</v>
      </c>
      <c r="H376" s="3">
        <v>2.3980000000000001</v>
      </c>
      <c r="I376" s="13">
        <f t="shared" si="6"/>
        <v>3.273584905660377</v>
      </c>
    </row>
    <row r="377" spans="2:9">
      <c r="C377" s="46">
        <v>2.2719999999999998</v>
      </c>
      <c r="D377" s="3">
        <v>101.8</v>
      </c>
      <c r="E377" s="3">
        <v>104.3</v>
      </c>
      <c r="F377" s="3">
        <v>31.62</v>
      </c>
      <c r="G377" s="3">
        <v>522.20000000000005</v>
      </c>
      <c r="H377" s="3">
        <v>2.5739999999999998</v>
      </c>
      <c r="I377" s="13">
        <f t="shared" si="6"/>
        <v>3.2985452245414293</v>
      </c>
    </row>
    <row r="378" spans="2:9">
      <c r="C378" s="46">
        <v>2.286</v>
      </c>
      <c r="D378" s="3">
        <v>114.2</v>
      </c>
      <c r="E378" s="3">
        <v>104.7</v>
      </c>
      <c r="F378" s="3">
        <v>31.27</v>
      </c>
      <c r="G378" s="3">
        <v>525</v>
      </c>
      <c r="H378" s="3">
        <v>2.8719999999999999</v>
      </c>
      <c r="I378" s="13">
        <f t="shared" si="6"/>
        <v>3.3482571154461147</v>
      </c>
    </row>
    <row r="379" spans="2:9">
      <c r="C379" s="46">
        <v>2.2629999999999999</v>
      </c>
      <c r="D379" s="3">
        <v>104.4</v>
      </c>
      <c r="E379" s="3">
        <v>105</v>
      </c>
      <c r="F379" s="3">
        <v>31.1</v>
      </c>
      <c r="G379" s="3">
        <v>521.4</v>
      </c>
      <c r="H379" s="3">
        <v>2.7280000000000002</v>
      </c>
      <c r="I379" s="13">
        <f t="shared" si="6"/>
        <v>3.3762057877813505</v>
      </c>
    </row>
    <row r="380" spans="2:9">
      <c r="C380" s="46">
        <v>2.2749999999999999</v>
      </c>
      <c r="D380" s="3">
        <v>103.2</v>
      </c>
      <c r="E380" s="3">
        <v>104.8</v>
      </c>
      <c r="F380" s="3">
        <v>31.67</v>
      </c>
      <c r="G380" s="3">
        <v>530.29999999999995</v>
      </c>
      <c r="H380" s="3">
        <v>2.5169999999999999</v>
      </c>
      <c r="I380" s="13">
        <f t="shared" si="6"/>
        <v>3.3091253552257656</v>
      </c>
    </row>
    <row r="381" spans="2:9">
      <c r="C381" s="46">
        <v>2.2890000000000001</v>
      </c>
      <c r="D381" s="3">
        <v>109.1</v>
      </c>
      <c r="E381" s="3">
        <v>104.3</v>
      </c>
      <c r="F381" s="3">
        <v>31.63</v>
      </c>
      <c r="G381" s="3">
        <v>528.4</v>
      </c>
      <c r="H381" s="3">
        <v>2.556</v>
      </c>
      <c r="I381" s="13">
        <f t="shared" si="6"/>
        <v>3.297502371166614</v>
      </c>
    </row>
    <row r="382" spans="2:9">
      <c r="B382" s="16">
        <v>20</v>
      </c>
      <c r="C382" s="47">
        <v>2.6059999999999999</v>
      </c>
      <c r="D382" s="18">
        <v>135</v>
      </c>
      <c r="E382" s="16">
        <v>114.1</v>
      </c>
      <c r="F382" s="16">
        <v>34.090000000000003</v>
      </c>
      <c r="G382" s="16">
        <v>562.6</v>
      </c>
      <c r="H382" s="38">
        <v>3.0529999999999999</v>
      </c>
      <c r="I382" s="13">
        <f t="shared" si="6"/>
        <v>3.3470225872689934</v>
      </c>
    </row>
    <row r="383" spans="2:9">
      <c r="C383" s="46">
        <v>2.5880000000000001</v>
      </c>
      <c r="D383" s="3">
        <v>156.1</v>
      </c>
      <c r="E383" s="3">
        <v>115</v>
      </c>
      <c r="F383" s="3">
        <v>34.26</v>
      </c>
      <c r="G383" s="3">
        <v>562.70000000000005</v>
      </c>
      <c r="H383" s="23">
        <v>3.2890000000000001</v>
      </c>
      <c r="I383" s="13">
        <f t="shared" si="6"/>
        <v>3.3566841798015181</v>
      </c>
    </row>
    <row r="384" spans="2:9">
      <c r="C384" s="46">
        <v>2.5209999999999999</v>
      </c>
      <c r="D384" s="3">
        <v>131.19999999999999</v>
      </c>
      <c r="E384" s="3">
        <v>114.6</v>
      </c>
      <c r="F384" s="3">
        <v>34.869999999999997</v>
      </c>
      <c r="G384" s="3">
        <v>560.5</v>
      </c>
      <c r="H384" s="23">
        <v>3.278</v>
      </c>
      <c r="I384" s="13">
        <f t="shared" si="6"/>
        <v>3.286492687123602</v>
      </c>
    </row>
    <row r="385" spans="3:9">
      <c r="C385" s="46">
        <v>2.4670000000000001</v>
      </c>
      <c r="D385" s="3">
        <v>136.80000000000001</v>
      </c>
      <c r="E385" s="3">
        <v>114.4</v>
      </c>
      <c r="F385" s="3">
        <v>34.86</v>
      </c>
      <c r="G385" s="3">
        <v>561.79999999999995</v>
      </c>
      <c r="H385" s="23">
        <v>3.302</v>
      </c>
      <c r="I385" s="13">
        <f t="shared" si="6"/>
        <v>3.2816982214572579</v>
      </c>
    </row>
    <row r="386" spans="3:9">
      <c r="C386" s="46">
        <v>2.4430000000000001</v>
      </c>
      <c r="D386" s="3">
        <v>122.1</v>
      </c>
      <c r="E386" s="3">
        <v>114.3</v>
      </c>
      <c r="F386" s="3">
        <v>34.65</v>
      </c>
      <c r="G386" s="3">
        <v>562.70000000000005</v>
      </c>
      <c r="H386" s="23">
        <v>3.4489999999999998</v>
      </c>
      <c r="I386" s="13">
        <f t="shared" si="6"/>
        <v>3.2987012987012987</v>
      </c>
    </row>
    <row r="387" spans="3:9">
      <c r="C387" s="46">
        <v>2.4830000000000001</v>
      </c>
      <c r="D387" s="3">
        <v>122.8</v>
      </c>
      <c r="E387" s="3">
        <v>114.5</v>
      </c>
      <c r="F387" s="3">
        <v>34.479999999999997</v>
      </c>
      <c r="G387" s="3">
        <v>560.70000000000005</v>
      </c>
      <c r="H387" s="23">
        <v>3.15</v>
      </c>
      <c r="I387" s="13">
        <f t="shared" si="6"/>
        <v>3.3207656612529006</v>
      </c>
    </row>
    <row r="388" spans="3:9">
      <c r="C388" s="46">
        <v>2.52</v>
      </c>
      <c r="D388" s="3">
        <v>132.1</v>
      </c>
      <c r="E388" s="3">
        <v>114</v>
      </c>
      <c r="F388" s="3">
        <v>34.159999999999997</v>
      </c>
      <c r="G388" s="3">
        <v>561.4</v>
      </c>
      <c r="H388" s="23">
        <v>3.1179999999999999</v>
      </c>
      <c r="I388" s="13">
        <f t="shared" si="6"/>
        <v>3.3372365339578458</v>
      </c>
    </row>
    <row r="389" spans="3:9">
      <c r="C389" s="46">
        <v>2.5760000000000001</v>
      </c>
      <c r="D389" s="3">
        <v>169.1</v>
      </c>
      <c r="E389" s="3">
        <v>113.8</v>
      </c>
      <c r="F389" s="3">
        <v>34.229999999999997</v>
      </c>
      <c r="G389" s="3">
        <v>562</v>
      </c>
      <c r="H389" s="23">
        <v>3.137</v>
      </c>
      <c r="I389" s="13">
        <f t="shared" si="6"/>
        <v>3.3245690914402575</v>
      </c>
    </row>
    <row r="390" spans="3:9">
      <c r="C390" s="46">
        <v>2.6520000000000001</v>
      </c>
      <c r="D390" s="3">
        <v>145.19999999999999</v>
      </c>
      <c r="E390" s="3">
        <v>115.4</v>
      </c>
      <c r="F390" s="3">
        <v>34.81</v>
      </c>
      <c r="G390" s="3">
        <v>561.1</v>
      </c>
      <c r="H390" s="23">
        <v>3.0529999999999999</v>
      </c>
      <c r="I390" s="13">
        <f t="shared" si="6"/>
        <v>3.3151393277793737</v>
      </c>
    </row>
    <row r="391" spans="3:9">
      <c r="C391" s="46">
        <v>2.6360000000000001</v>
      </c>
      <c r="D391" s="3">
        <v>109</v>
      </c>
      <c r="E391" s="3">
        <v>115.2</v>
      </c>
      <c r="F391" s="3">
        <v>34.700000000000003</v>
      </c>
      <c r="G391" s="3">
        <v>561</v>
      </c>
      <c r="H391" s="23">
        <v>3.1669999999999998</v>
      </c>
      <c r="I391" s="13">
        <f t="shared" si="6"/>
        <v>3.3198847262247835</v>
      </c>
    </row>
    <row r="392" spans="3:9">
      <c r="C392" s="46">
        <v>2.65</v>
      </c>
      <c r="D392" s="3">
        <v>121.4</v>
      </c>
      <c r="E392" s="3">
        <v>115.7</v>
      </c>
      <c r="F392" s="3">
        <v>34.67</v>
      </c>
      <c r="G392" s="3">
        <v>561.79999999999995</v>
      </c>
      <c r="H392" s="23">
        <v>3.1269999999999998</v>
      </c>
      <c r="I392" s="13">
        <f t="shared" si="6"/>
        <v>3.3371791173925582</v>
      </c>
    </row>
    <row r="393" spans="3:9">
      <c r="C393" s="46">
        <v>2.6720000000000002</v>
      </c>
      <c r="D393" s="3">
        <v>148.30000000000001</v>
      </c>
      <c r="E393" s="3">
        <v>115.4</v>
      </c>
      <c r="F393" s="3">
        <v>34.479999999999997</v>
      </c>
      <c r="G393" s="3">
        <v>560.79999999999995</v>
      </c>
      <c r="H393" s="23">
        <v>3.0169999999999999</v>
      </c>
      <c r="I393" s="13">
        <f t="shared" si="6"/>
        <v>3.3468677494199541</v>
      </c>
    </row>
    <row r="394" spans="3:9">
      <c r="C394" s="46">
        <v>2.6709999999999998</v>
      </c>
      <c r="D394" s="3">
        <v>124.2</v>
      </c>
      <c r="E394" s="3">
        <v>115.3</v>
      </c>
      <c r="F394" s="3">
        <v>35.159999999999997</v>
      </c>
      <c r="G394" s="3">
        <v>564.4</v>
      </c>
      <c r="H394" s="23">
        <v>2.8740000000000001</v>
      </c>
      <c r="I394" s="13">
        <f t="shared" si="6"/>
        <v>3.27929465301479</v>
      </c>
    </row>
    <row r="395" spans="3:9">
      <c r="C395" s="46">
        <v>2.6659999999999999</v>
      </c>
      <c r="D395" s="3">
        <v>182.8</v>
      </c>
      <c r="E395" s="3">
        <v>114.6</v>
      </c>
      <c r="F395" s="3">
        <v>34.54</v>
      </c>
      <c r="G395" s="3">
        <v>560.79999999999995</v>
      </c>
      <c r="H395" s="23">
        <v>3.073</v>
      </c>
      <c r="I395" s="13">
        <f t="shared" si="6"/>
        <v>3.3178922987840185</v>
      </c>
    </row>
    <row r="396" spans="3:9">
      <c r="C396" s="46">
        <v>2.6349999999999998</v>
      </c>
      <c r="D396" s="3">
        <v>146.6</v>
      </c>
      <c r="E396" s="3">
        <v>114.3</v>
      </c>
      <c r="F396" s="3">
        <v>34.76</v>
      </c>
      <c r="G396" s="3">
        <v>560.70000000000005</v>
      </c>
      <c r="H396" s="23">
        <v>2.8159999999999998</v>
      </c>
      <c r="I396" s="13">
        <f t="shared" si="6"/>
        <v>3.2882623705408518</v>
      </c>
    </row>
    <row r="397" spans="3:9">
      <c r="C397" s="46">
        <v>2.6640000000000001</v>
      </c>
      <c r="D397" s="3">
        <v>111.3</v>
      </c>
      <c r="E397" s="3">
        <v>114.5</v>
      </c>
      <c r="F397" s="3">
        <v>34.479999999999997</v>
      </c>
      <c r="G397" s="3">
        <v>560</v>
      </c>
      <c r="H397" s="23">
        <v>2.84</v>
      </c>
      <c r="I397" s="13">
        <f t="shared" si="6"/>
        <v>3.3207656612529006</v>
      </c>
    </row>
    <row r="398" spans="3:9">
      <c r="C398" s="46">
        <v>2.6469999999999998</v>
      </c>
      <c r="D398" s="3">
        <v>101.4</v>
      </c>
      <c r="E398" s="3">
        <v>115.2</v>
      </c>
      <c r="F398" s="3">
        <v>34.81</v>
      </c>
      <c r="G398" s="3">
        <v>564</v>
      </c>
      <c r="H398" s="23">
        <v>2.7989999999999999</v>
      </c>
      <c r="I398" s="13">
        <f t="shared" si="6"/>
        <v>3.3093938523412811</v>
      </c>
    </row>
    <row r="399" spans="3:9">
      <c r="C399" s="46">
        <v>2.605</v>
      </c>
      <c r="D399" s="3">
        <v>132.5</v>
      </c>
      <c r="E399" s="3">
        <v>114.8</v>
      </c>
      <c r="F399" s="3">
        <v>34.659999999999997</v>
      </c>
      <c r="G399" s="3">
        <v>571.20000000000005</v>
      </c>
      <c r="H399" s="23">
        <v>2.9079999999999999</v>
      </c>
      <c r="I399" s="13">
        <f t="shared" si="6"/>
        <v>3.3121754183496828</v>
      </c>
    </row>
    <row r="400" spans="3:9">
      <c r="C400" s="46">
        <v>2.65</v>
      </c>
      <c r="D400" s="3">
        <v>159</v>
      </c>
      <c r="E400" s="3">
        <v>114.7</v>
      </c>
      <c r="F400" s="3">
        <v>34.83</v>
      </c>
      <c r="G400" s="3">
        <v>562</v>
      </c>
      <c r="H400" s="23">
        <v>3.1629999999999998</v>
      </c>
      <c r="I400" s="13">
        <f t="shared" si="6"/>
        <v>3.2931380993396502</v>
      </c>
    </row>
    <row r="401" spans="2:9">
      <c r="C401" s="46">
        <v>2.6360000000000001</v>
      </c>
      <c r="D401" s="3">
        <v>133.5</v>
      </c>
      <c r="E401" s="3">
        <v>115.2</v>
      </c>
      <c r="F401" s="3">
        <v>34.92</v>
      </c>
      <c r="G401" s="3">
        <v>559</v>
      </c>
      <c r="H401" s="23">
        <v>3.1779999999999999</v>
      </c>
      <c r="I401" s="13">
        <f t="shared" si="6"/>
        <v>3.2989690721649483</v>
      </c>
    </row>
    <row r="402" spans="2:9">
      <c r="B402" s="16">
        <v>21</v>
      </c>
      <c r="C402" s="47">
        <v>2.6829999999999998</v>
      </c>
      <c r="D402" s="22">
        <v>97.6</v>
      </c>
      <c r="E402" s="16">
        <v>65.37</v>
      </c>
      <c r="F402" s="16">
        <v>23.26</v>
      </c>
      <c r="G402" s="16">
        <v>514.20000000000005</v>
      </c>
      <c r="H402" s="16">
        <v>2.4049999999999998</v>
      </c>
      <c r="I402" s="13">
        <f t="shared" si="6"/>
        <v>2.8104041272570939</v>
      </c>
    </row>
    <row r="403" spans="2:9">
      <c r="C403" s="46">
        <v>2.6579999999999999</v>
      </c>
      <c r="D403" s="23">
        <v>116.4</v>
      </c>
      <c r="E403" s="3">
        <v>65.709999999999994</v>
      </c>
      <c r="F403" s="3">
        <v>23.3</v>
      </c>
      <c r="G403" s="3">
        <v>511.4</v>
      </c>
      <c r="H403" s="3">
        <v>2.2719999999999998</v>
      </c>
      <c r="I403" s="13">
        <f t="shared" si="6"/>
        <v>2.820171673819742</v>
      </c>
    </row>
    <row r="404" spans="2:9">
      <c r="C404" s="46">
        <v>2.698</v>
      </c>
      <c r="D404" s="23">
        <v>138.30000000000001</v>
      </c>
      <c r="E404" s="3">
        <v>65.89</v>
      </c>
      <c r="F404" s="3">
        <v>23.51</v>
      </c>
      <c r="G404" s="3">
        <v>505.9</v>
      </c>
      <c r="H404" s="3">
        <v>2.2149999999999999</v>
      </c>
      <c r="I404" s="13">
        <f t="shared" si="6"/>
        <v>2.8026371756699273</v>
      </c>
    </row>
    <row r="405" spans="2:9">
      <c r="C405" s="46">
        <v>2.7090000000000001</v>
      </c>
      <c r="D405" s="23">
        <v>98.5</v>
      </c>
      <c r="E405" s="3">
        <v>66.069999999999993</v>
      </c>
      <c r="F405" s="3">
        <v>22.18</v>
      </c>
      <c r="G405" s="3">
        <v>519.1</v>
      </c>
      <c r="H405" s="3">
        <v>2.1360000000000001</v>
      </c>
      <c r="I405" s="13">
        <f t="shared" si="6"/>
        <v>2.9788097385031556</v>
      </c>
    </row>
    <row r="406" spans="2:9">
      <c r="C406" s="46">
        <v>2.6989999999999998</v>
      </c>
      <c r="D406" s="23">
        <v>119.1</v>
      </c>
      <c r="E406" s="3">
        <v>64.52</v>
      </c>
      <c r="F406" s="3">
        <v>22.74</v>
      </c>
      <c r="G406" s="3">
        <v>511.7</v>
      </c>
      <c r="H406" s="3">
        <v>1.93</v>
      </c>
      <c r="I406" s="13">
        <f t="shared" ref="I406:I469" si="7">E406/F406</f>
        <v>2.8372911169744941</v>
      </c>
    </row>
    <row r="407" spans="2:9">
      <c r="C407" s="46">
        <v>2.7090000000000001</v>
      </c>
      <c r="D407" s="23">
        <v>131.4</v>
      </c>
      <c r="E407" s="3">
        <v>64.900000000000006</v>
      </c>
      <c r="F407" s="3">
        <v>22.32</v>
      </c>
      <c r="G407" s="3">
        <v>508.7</v>
      </c>
      <c r="H407" s="3">
        <v>1.887</v>
      </c>
      <c r="I407" s="13">
        <f t="shared" si="7"/>
        <v>2.9077060931899643</v>
      </c>
    </row>
    <row r="408" spans="2:9">
      <c r="C408" s="46">
        <v>2.698</v>
      </c>
      <c r="D408" s="23">
        <v>119.1</v>
      </c>
      <c r="E408" s="3">
        <v>65.2</v>
      </c>
      <c r="F408" s="3">
        <v>22.24</v>
      </c>
      <c r="G408" s="3">
        <v>511</v>
      </c>
      <c r="H408" s="3">
        <v>1.86</v>
      </c>
      <c r="I408" s="13">
        <f t="shared" si="7"/>
        <v>2.9316546762589932</v>
      </c>
    </row>
    <row r="409" spans="2:9">
      <c r="C409" s="46">
        <v>2.6640000000000001</v>
      </c>
      <c r="D409" s="23">
        <v>119</v>
      </c>
      <c r="E409" s="3">
        <v>64.650000000000006</v>
      </c>
      <c r="F409" s="3">
        <v>23.09</v>
      </c>
      <c r="G409" s="3">
        <v>500.9</v>
      </c>
      <c r="H409" s="3">
        <v>1.843</v>
      </c>
      <c r="I409" s="13">
        <f t="shared" si="7"/>
        <v>2.7999133824166309</v>
      </c>
    </row>
    <row r="410" spans="2:9">
      <c r="C410" s="46">
        <v>2.649</v>
      </c>
      <c r="D410" s="23">
        <v>113.6</v>
      </c>
      <c r="E410" s="3">
        <v>64.81</v>
      </c>
      <c r="F410" s="3">
        <v>22.77</v>
      </c>
      <c r="G410" s="3">
        <v>538.5</v>
      </c>
      <c r="H410" s="3">
        <v>1.7250000000000001</v>
      </c>
      <c r="I410" s="13">
        <f t="shared" si="7"/>
        <v>2.8462889767237596</v>
      </c>
    </row>
    <row r="411" spans="2:9">
      <c r="C411" s="46">
        <v>2.633</v>
      </c>
      <c r="D411" s="23">
        <v>134.1</v>
      </c>
      <c r="E411" s="3">
        <v>65.16</v>
      </c>
      <c r="F411" s="3">
        <v>23.26</v>
      </c>
      <c r="G411" s="3">
        <v>501.3</v>
      </c>
      <c r="H411" s="3">
        <v>1.8029999999999999</v>
      </c>
      <c r="I411" s="13">
        <f t="shared" si="7"/>
        <v>2.8013757523645739</v>
      </c>
    </row>
    <row r="412" spans="2:9">
      <c r="C412" s="46">
        <v>2.589</v>
      </c>
      <c r="D412" s="23">
        <v>126.9</v>
      </c>
      <c r="E412" s="3">
        <v>65.17</v>
      </c>
      <c r="F412" s="3">
        <v>23.09</v>
      </c>
      <c r="G412" s="3">
        <v>505.9</v>
      </c>
      <c r="H412" s="3">
        <v>1.8320000000000001</v>
      </c>
      <c r="I412" s="13">
        <f t="shared" si="7"/>
        <v>2.8224339540926811</v>
      </c>
    </row>
    <row r="413" spans="2:9">
      <c r="C413" s="46">
        <v>2.5630000000000002</v>
      </c>
      <c r="D413" s="23">
        <v>142.1</v>
      </c>
      <c r="E413" s="3">
        <v>65.319999999999993</v>
      </c>
      <c r="F413" s="3">
        <v>22.35</v>
      </c>
      <c r="G413" s="3">
        <v>508</v>
      </c>
      <c r="H413" s="3">
        <v>1.903</v>
      </c>
      <c r="I413" s="13">
        <f t="shared" si="7"/>
        <v>2.9225950782997758</v>
      </c>
    </row>
    <row r="414" spans="2:9">
      <c r="C414" s="46">
        <v>2.5099999999999998</v>
      </c>
      <c r="D414" s="23">
        <v>139.69999999999999</v>
      </c>
      <c r="E414" s="3">
        <v>65.58</v>
      </c>
      <c r="F414" s="3">
        <v>23.26</v>
      </c>
      <c r="G414" s="3">
        <v>514.20000000000005</v>
      </c>
      <c r="H414" s="3">
        <v>2.0409999999999999</v>
      </c>
      <c r="I414" s="13">
        <f t="shared" si="7"/>
        <v>2.8194325021496129</v>
      </c>
    </row>
    <row r="415" spans="2:9">
      <c r="C415" s="46">
        <v>2.4820000000000002</v>
      </c>
      <c r="D415" s="23">
        <v>116.4</v>
      </c>
      <c r="E415" s="3">
        <v>66.05</v>
      </c>
      <c r="F415" s="3">
        <v>22.92</v>
      </c>
      <c r="G415" s="3">
        <v>518.5</v>
      </c>
      <c r="H415" s="3">
        <v>2.1469999999999998</v>
      </c>
      <c r="I415" s="13">
        <f t="shared" si="7"/>
        <v>2.8817626527050608</v>
      </c>
    </row>
    <row r="416" spans="2:9">
      <c r="C416" s="46">
        <v>2.5070000000000001</v>
      </c>
      <c r="D416" s="23">
        <v>145.30000000000001</v>
      </c>
      <c r="E416" s="3">
        <v>65.13</v>
      </c>
      <c r="F416" s="3">
        <v>22.74</v>
      </c>
      <c r="G416" s="3">
        <v>510.9</v>
      </c>
      <c r="H416" s="3">
        <v>2.0449999999999999</v>
      </c>
      <c r="I416" s="13">
        <f t="shared" si="7"/>
        <v>2.8641160949868074</v>
      </c>
    </row>
    <row r="417" spans="2:9">
      <c r="C417" s="46">
        <v>2.5270000000000001</v>
      </c>
      <c r="D417" s="23">
        <v>131.4</v>
      </c>
      <c r="E417" s="3">
        <v>64.959999999999994</v>
      </c>
      <c r="F417" s="3">
        <v>22.84</v>
      </c>
      <c r="G417" s="3">
        <v>506</v>
      </c>
      <c r="H417" s="3">
        <v>1.8819999999999999</v>
      </c>
      <c r="I417" s="13">
        <f t="shared" si="7"/>
        <v>2.8441330998248686</v>
      </c>
    </row>
    <row r="418" spans="2:9">
      <c r="C418" s="46">
        <v>2.5550000000000002</v>
      </c>
      <c r="D418" s="23">
        <v>138.19999999999999</v>
      </c>
      <c r="E418" s="3">
        <v>66.23</v>
      </c>
      <c r="F418" s="3">
        <v>23.02</v>
      </c>
      <c r="G418" s="3">
        <v>505.5</v>
      </c>
      <c r="H418" s="3">
        <v>2.1469999999999998</v>
      </c>
      <c r="I418" s="13">
        <f t="shared" si="7"/>
        <v>2.8770634231103389</v>
      </c>
    </row>
    <row r="419" spans="2:9">
      <c r="C419" s="46">
        <v>2.6360000000000001</v>
      </c>
      <c r="D419" s="23">
        <v>116.4</v>
      </c>
      <c r="E419" s="3">
        <v>65.87</v>
      </c>
      <c r="F419" s="3">
        <v>22.88</v>
      </c>
      <c r="G419" s="3">
        <v>495.6</v>
      </c>
      <c r="H419" s="3">
        <v>2.0449999999999999</v>
      </c>
      <c r="I419" s="13">
        <f t="shared" si="7"/>
        <v>2.8789335664335667</v>
      </c>
    </row>
    <row r="420" spans="2:9">
      <c r="C420" s="46">
        <v>2.661</v>
      </c>
      <c r="D420" s="23">
        <v>139.19999999999999</v>
      </c>
      <c r="E420" s="3">
        <v>65.180000000000007</v>
      </c>
      <c r="F420" s="3">
        <v>22.98</v>
      </c>
      <c r="G420" s="3">
        <v>512.5</v>
      </c>
      <c r="H420" s="3">
        <v>1.792</v>
      </c>
      <c r="I420" s="13">
        <f t="shared" si="7"/>
        <v>2.8363794604003485</v>
      </c>
    </row>
    <row r="421" spans="2:9">
      <c r="C421" s="46">
        <v>2.6829999999999998</v>
      </c>
      <c r="D421" s="23">
        <v>142.1</v>
      </c>
      <c r="E421" s="3">
        <v>65.67</v>
      </c>
      <c r="F421" s="3">
        <v>22.38</v>
      </c>
      <c r="G421" s="3">
        <v>508.8</v>
      </c>
      <c r="H421" s="3">
        <v>1.8819999999999999</v>
      </c>
      <c r="I421" s="13">
        <f t="shared" si="7"/>
        <v>2.9343163538873998</v>
      </c>
    </row>
    <row r="422" spans="2:9">
      <c r="B422" s="16">
        <v>22</v>
      </c>
      <c r="C422" s="47">
        <v>2.6059999999999999</v>
      </c>
      <c r="D422" s="18">
        <v>110.7</v>
      </c>
      <c r="E422" s="16">
        <v>77.83</v>
      </c>
      <c r="F422" s="16">
        <v>24.18</v>
      </c>
      <c r="G422" s="16">
        <v>508.8</v>
      </c>
      <c r="H422" s="38">
        <v>2.806</v>
      </c>
      <c r="I422" s="13">
        <f t="shared" si="7"/>
        <v>3.2187758478081059</v>
      </c>
    </row>
    <row r="423" spans="2:9">
      <c r="C423" s="46">
        <v>2.6139999999999999</v>
      </c>
      <c r="D423" s="3">
        <v>104.4</v>
      </c>
      <c r="E423" s="3">
        <v>77.41</v>
      </c>
      <c r="F423" s="3">
        <v>24.58</v>
      </c>
      <c r="G423" s="3">
        <v>512.20000000000005</v>
      </c>
      <c r="H423" s="23">
        <v>2.847</v>
      </c>
      <c r="I423" s="13">
        <f t="shared" si="7"/>
        <v>3.1493083807973963</v>
      </c>
    </row>
    <row r="424" spans="2:9">
      <c r="C424" s="46">
        <v>2.581</v>
      </c>
      <c r="D424" s="3">
        <v>115.6</v>
      </c>
      <c r="E424" s="3">
        <v>77.52</v>
      </c>
      <c r="F424" s="3">
        <v>28.08</v>
      </c>
      <c r="G424" s="3">
        <v>527.79999999999995</v>
      </c>
      <c r="H424" s="23">
        <v>2.867</v>
      </c>
      <c r="I424" s="13">
        <f t="shared" si="7"/>
        <v>2.7606837606837606</v>
      </c>
    </row>
    <row r="425" spans="2:9">
      <c r="C425" s="46">
        <v>2.5649999999999999</v>
      </c>
      <c r="D425" s="3">
        <v>72.2</v>
      </c>
      <c r="E425" s="3">
        <v>77.47</v>
      </c>
      <c r="F425" s="3">
        <v>23.98</v>
      </c>
      <c r="G425" s="3">
        <v>536</v>
      </c>
      <c r="H425" s="23">
        <v>2.9780000000000002</v>
      </c>
      <c r="I425" s="13">
        <f t="shared" si="7"/>
        <v>3.2306088407005835</v>
      </c>
    </row>
    <row r="426" spans="2:9">
      <c r="C426" s="46">
        <v>2.5249999999999999</v>
      </c>
      <c r="D426" s="3">
        <v>71.8</v>
      </c>
      <c r="E426" s="3">
        <v>77.53</v>
      </c>
      <c r="F426" s="3">
        <v>24.39</v>
      </c>
      <c r="G426" s="3">
        <v>514.20000000000005</v>
      </c>
      <c r="H426" s="23">
        <v>3.069</v>
      </c>
      <c r="I426" s="13">
        <f t="shared" si="7"/>
        <v>3.178761787617876</v>
      </c>
    </row>
    <row r="427" spans="2:9">
      <c r="C427" s="46">
        <v>2.4540000000000002</v>
      </c>
      <c r="D427" s="3">
        <v>126.4</v>
      </c>
      <c r="E427" s="3">
        <v>77.48</v>
      </c>
      <c r="F427" s="3">
        <v>24.26</v>
      </c>
      <c r="G427" s="3">
        <v>515.1</v>
      </c>
      <c r="H427" s="23">
        <v>3.3439999999999999</v>
      </c>
      <c r="I427" s="13">
        <f t="shared" si="7"/>
        <v>3.1937345424567187</v>
      </c>
    </row>
    <row r="428" spans="2:9">
      <c r="C428" s="46">
        <v>2.3279999999999998</v>
      </c>
      <c r="D428" s="3">
        <v>201</v>
      </c>
      <c r="E428" s="3">
        <v>77.319999999999993</v>
      </c>
      <c r="F428" s="3">
        <v>24.3</v>
      </c>
      <c r="G428" s="3">
        <v>521.70000000000005</v>
      </c>
      <c r="H428" s="23">
        <v>2.7480000000000002</v>
      </c>
      <c r="I428" s="13">
        <f t="shared" si="7"/>
        <v>3.181893004115226</v>
      </c>
    </row>
    <row r="429" spans="2:9">
      <c r="C429" s="46">
        <v>2.3050000000000002</v>
      </c>
      <c r="D429" s="3">
        <v>145</v>
      </c>
      <c r="E429" s="3">
        <v>77.16</v>
      </c>
      <c r="F429" s="3">
        <v>24.05</v>
      </c>
      <c r="G429" s="3">
        <v>523.1</v>
      </c>
      <c r="H429" s="23">
        <v>2.806</v>
      </c>
      <c r="I429" s="13">
        <f t="shared" si="7"/>
        <v>3.2083160083160083</v>
      </c>
    </row>
    <row r="430" spans="2:9">
      <c r="C430" s="46">
        <v>2.363</v>
      </c>
      <c r="D430" s="3">
        <v>247.9</v>
      </c>
      <c r="E430" s="3">
        <v>77.08</v>
      </c>
      <c r="F430" s="3">
        <v>24.21</v>
      </c>
      <c r="G430" s="3">
        <v>514.70000000000005</v>
      </c>
      <c r="H430" s="23">
        <v>2.9279999999999999</v>
      </c>
      <c r="I430" s="13">
        <f t="shared" si="7"/>
        <v>3.1838083436596447</v>
      </c>
    </row>
    <row r="431" spans="2:9">
      <c r="C431" s="46">
        <v>2.496</v>
      </c>
      <c r="D431" s="3">
        <v>220.9</v>
      </c>
      <c r="E431" s="3">
        <v>77.290000000000006</v>
      </c>
      <c r="F431" s="3">
        <v>24.08</v>
      </c>
      <c r="G431" s="3">
        <v>530.70000000000005</v>
      </c>
      <c r="H431" s="23">
        <v>2.8570000000000002</v>
      </c>
      <c r="I431" s="13">
        <f t="shared" si="7"/>
        <v>3.2097176079734222</v>
      </c>
    </row>
    <row r="432" spans="2:9">
      <c r="C432" s="46">
        <v>2.5649999999999999</v>
      </c>
      <c r="D432" s="3">
        <v>200.9</v>
      </c>
      <c r="E432" s="3">
        <v>77.31</v>
      </c>
      <c r="F432" s="3">
        <v>29.94</v>
      </c>
      <c r="G432" s="3">
        <v>511.1</v>
      </c>
      <c r="H432" s="23">
        <v>3.0680000000000001</v>
      </c>
      <c r="I432" s="13">
        <f t="shared" si="7"/>
        <v>2.5821643286573144</v>
      </c>
    </row>
    <row r="433" spans="2:9">
      <c r="C433" s="46">
        <v>2.581</v>
      </c>
      <c r="D433" s="3">
        <v>170.7</v>
      </c>
      <c r="E433" s="3">
        <v>77.69</v>
      </c>
      <c r="F433" s="3">
        <v>23.82</v>
      </c>
      <c r="G433" s="3">
        <v>510.2</v>
      </c>
      <c r="H433" s="23">
        <v>3.101</v>
      </c>
      <c r="I433" s="13">
        <f t="shared" si="7"/>
        <v>3.2615449202350963</v>
      </c>
    </row>
    <row r="434" spans="2:9">
      <c r="C434" s="46">
        <v>2.6139999999999999</v>
      </c>
      <c r="D434" s="3">
        <v>98</v>
      </c>
      <c r="E434" s="3">
        <v>77.81</v>
      </c>
      <c r="F434" s="3">
        <v>24.21</v>
      </c>
      <c r="G434" s="3">
        <v>529.1</v>
      </c>
      <c r="H434" s="23">
        <v>3.1419999999999999</v>
      </c>
      <c r="I434" s="13">
        <f t="shared" si="7"/>
        <v>3.2139611730689799</v>
      </c>
    </row>
    <row r="435" spans="2:9">
      <c r="C435" s="46">
        <v>2.58</v>
      </c>
      <c r="D435" s="3">
        <v>98.9</v>
      </c>
      <c r="E435" s="3">
        <v>77.459999999999994</v>
      </c>
      <c r="F435" s="3">
        <v>24.05</v>
      </c>
      <c r="G435" s="3">
        <v>510.2</v>
      </c>
      <c r="H435" s="23">
        <v>3.1509999999999998</v>
      </c>
      <c r="I435" s="13">
        <f t="shared" si="7"/>
        <v>3.2207900207900204</v>
      </c>
    </row>
    <row r="436" spans="2:9">
      <c r="C436" s="46">
        <v>2.56</v>
      </c>
      <c r="D436" s="3">
        <v>146.80000000000001</v>
      </c>
      <c r="E436" s="3">
        <v>77.099999999999994</v>
      </c>
      <c r="F436" s="3">
        <v>23.9</v>
      </c>
      <c r="G436" s="3">
        <v>523.29999999999995</v>
      </c>
      <c r="H436" s="23">
        <v>2.952</v>
      </c>
      <c r="I436" s="13">
        <f t="shared" si="7"/>
        <v>3.2259414225941421</v>
      </c>
    </row>
    <row r="437" spans="2:9">
      <c r="C437" s="46">
        <v>2.58</v>
      </c>
      <c r="D437" s="3">
        <v>100.1</v>
      </c>
      <c r="E437" s="3">
        <v>77.069999999999993</v>
      </c>
      <c r="F437" s="3">
        <v>24.39</v>
      </c>
      <c r="G437" s="3">
        <v>514.6</v>
      </c>
      <c r="H437" s="23">
        <v>3.149</v>
      </c>
      <c r="I437" s="13">
        <f t="shared" si="7"/>
        <v>3.1599015990159898</v>
      </c>
    </row>
    <row r="438" spans="2:9">
      <c r="C438" s="46">
        <v>2.597</v>
      </c>
      <c r="D438" s="3">
        <v>122</v>
      </c>
      <c r="E438" s="3">
        <v>77.349999999999994</v>
      </c>
      <c r="F438" s="3">
        <v>24.23</v>
      </c>
      <c r="G438" s="3">
        <v>512.79999999999995</v>
      </c>
      <c r="H438" s="23">
        <v>3.101</v>
      </c>
      <c r="I438" s="13">
        <f t="shared" si="7"/>
        <v>3.1923235658274862</v>
      </c>
    </row>
    <row r="439" spans="2:9">
      <c r="C439" s="46">
        <v>2.5649999999999999</v>
      </c>
      <c r="D439" s="3">
        <v>87.8</v>
      </c>
      <c r="E439" s="3">
        <v>77.55</v>
      </c>
      <c r="F439" s="3">
        <v>23.56</v>
      </c>
      <c r="G439" s="3">
        <v>514.70000000000005</v>
      </c>
      <c r="H439" s="23">
        <v>2.9340000000000002</v>
      </c>
      <c r="I439" s="13">
        <f t="shared" si="7"/>
        <v>3.2915959252971136</v>
      </c>
    </row>
    <row r="440" spans="2:9">
      <c r="C440" s="46">
        <v>2.552</v>
      </c>
      <c r="D440" s="3">
        <v>104.4</v>
      </c>
      <c r="E440" s="3">
        <v>77.31</v>
      </c>
      <c r="F440" s="3">
        <v>28.81</v>
      </c>
      <c r="G440" s="3">
        <v>519.70000000000005</v>
      </c>
      <c r="H440" s="23">
        <v>3.032</v>
      </c>
      <c r="I440" s="13">
        <f t="shared" si="7"/>
        <v>2.6834432488719195</v>
      </c>
    </row>
    <row r="441" spans="2:9">
      <c r="C441" s="46">
        <v>2.6259999999999999</v>
      </c>
      <c r="D441" s="3">
        <v>99.4</v>
      </c>
      <c r="E441" s="3">
        <v>77.31</v>
      </c>
      <c r="F441" s="3">
        <v>24.08</v>
      </c>
      <c r="G441" s="3">
        <v>528.20000000000005</v>
      </c>
      <c r="H441" s="23">
        <v>3.1419999999999999</v>
      </c>
      <c r="I441" s="13">
        <f t="shared" si="7"/>
        <v>3.2105481727574756</v>
      </c>
    </row>
    <row r="442" spans="2:9">
      <c r="B442" s="16">
        <v>23</v>
      </c>
      <c r="C442" s="47">
        <v>2.3540000000000001</v>
      </c>
      <c r="D442" s="18">
        <v>106.5</v>
      </c>
      <c r="E442" s="16">
        <v>94.11</v>
      </c>
      <c r="F442" s="16">
        <v>20.79</v>
      </c>
      <c r="G442" s="16">
        <v>500.7</v>
      </c>
      <c r="H442" s="16">
        <v>3.633</v>
      </c>
      <c r="I442" s="13">
        <f t="shared" si="7"/>
        <v>4.5266955266955264</v>
      </c>
    </row>
    <row r="443" spans="2:9">
      <c r="C443" s="46">
        <v>2.3959999999999999</v>
      </c>
      <c r="D443" s="3">
        <v>127.6</v>
      </c>
      <c r="E443" s="3">
        <v>94.58</v>
      </c>
      <c r="F443" s="3">
        <v>20.16</v>
      </c>
      <c r="G443" s="3">
        <v>503.6</v>
      </c>
      <c r="H443" s="3">
        <v>3.4940000000000002</v>
      </c>
      <c r="I443" s="13">
        <f t="shared" si="7"/>
        <v>4.691468253968254</v>
      </c>
    </row>
    <row r="444" spans="2:9">
      <c r="C444" s="46">
        <v>2.4049999999999998</v>
      </c>
      <c r="D444" s="3">
        <v>95.8</v>
      </c>
      <c r="E444" s="3">
        <v>94.36</v>
      </c>
      <c r="F444" s="3">
        <v>20.350000000000001</v>
      </c>
      <c r="G444" s="3">
        <v>503.2</v>
      </c>
      <c r="H444" s="3">
        <v>3.605</v>
      </c>
      <c r="I444" s="13">
        <f t="shared" si="7"/>
        <v>4.6368550368550361</v>
      </c>
    </row>
    <row r="445" spans="2:9">
      <c r="C445" s="46">
        <v>2.3969999999999998</v>
      </c>
      <c r="D445" s="3">
        <v>138.69999999999999</v>
      </c>
      <c r="E445" s="3">
        <v>94.85</v>
      </c>
      <c r="F445" s="3">
        <v>20.63</v>
      </c>
      <c r="G445" s="3">
        <v>511.5</v>
      </c>
      <c r="H445" s="3">
        <v>3.4670000000000001</v>
      </c>
      <c r="I445" s="13">
        <f t="shared" si="7"/>
        <v>4.5976732913233151</v>
      </c>
    </row>
    <row r="446" spans="2:9">
      <c r="C446" s="46">
        <v>2.395</v>
      </c>
      <c r="D446" s="3">
        <v>106.5</v>
      </c>
      <c r="E446" s="3">
        <v>95.09</v>
      </c>
      <c r="F446" s="3">
        <v>20.29</v>
      </c>
      <c r="G446" s="3">
        <v>509.7</v>
      </c>
      <c r="H446" s="3">
        <v>3.1890000000000001</v>
      </c>
      <c r="I446" s="13">
        <f t="shared" si="7"/>
        <v>4.6865450961064568</v>
      </c>
    </row>
    <row r="447" spans="2:9">
      <c r="C447" s="46">
        <v>2.3580000000000001</v>
      </c>
      <c r="D447" s="3">
        <v>138.5</v>
      </c>
      <c r="E447" s="3">
        <v>94.38</v>
      </c>
      <c r="F447" s="3">
        <v>20.52</v>
      </c>
      <c r="G447" s="3">
        <v>506.7</v>
      </c>
      <c r="H447" s="3">
        <v>3.5790000000000002</v>
      </c>
      <c r="I447" s="13">
        <f t="shared" si="7"/>
        <v>4.5994152046783627</v>
      </c>
    </row>
    <row r="448" spans="2:9">
      <c r="C448" s="46">
        <v>2.3330000000000002</v>
      </c>
      <c r="D448" s="3">
        <v>186</v>
      </c>
      <c r="E448" s="3">
        <v>94.15</v>
      </c>
      <c r="F448" s="3">
        <v>20.51</v>
      </c>
      <c r="G448" s="3">
        <v>502.7</v>
      </c>
      <c r="H448" s="3">
        <v>3.6890000000000001</v>
      </c>
      <c r="I448" s="13">
        <f t="shared" si="7"/>
        <v>4.5904436860068261</v>
      </c>
    </row>
    <row r="449" spans="2:9">
      <c r="C449" s="46">
        <v>2.3079999999999998</v>
      </c>
      <c r="D449" s="3">
        <v>174.3</v>
      </c>
      <c r="E449" s="3">
        <v>94.65</v>
      </c>
      <c r="F449" s="3">
        <v>20.69</v>
      </c>
      <c r="G449" s="3">
        <v>506.7</v>
      </c>
      <c r="H449" s="3">
        <v>3.69</v>
      </c>
      <c r="I449" s="13">
        <f t="shared" si="7"/>
        <v>4.5746737554374093</v>
      </c>
    </row>
    <row r="450" spans="2:9">
      <c r="C450" s="46">
        <v>2.2709999999999999</v>
      </c>
      <c r="D450" s="3">
        <v>199.8</v>
      </c>
      <c r="E450" s="3">
        <v>94.8</v>
      </c>
      <c r="F450" s="3">
        <v>20.74</v>
      </c>
      <c r="G450" s="3">
        <v>509.7</v>
      </c>
      <c r="H450" s="3">
        <v>3.4940000000000002</v>
      </c>
      <c r="I450" s="13">
        <f t="shared" si="7"/>
        <v>4.5708775313404049</v>
      </c>
    </row>
    <row r="451" spans="2:9">
      <c r="C451" s="46">
        <v>2.2269999999999999</v>
      </c>
      <c r="D451" s="3">
        <v>174.3</v>
      </c>
      <c r="E451" s="3">
        <v>95.12</v>
      </c>
      <c r="F451" s="3">
        <v>20.51</v>
      </c>
      <c r="G451" s="3">
        <v>500</v>
      </c>
      <c r="H451" s="3">
        <v>3.7850000000000001</v>
      </c>
      <c r="I451" s="13">
        <f t="shared" si="7"/>
        <v>4.6377376889322282</v>
      </c>
    </row>
    <row r="452" spans="2:9">
      <c r="C452" s="46">
        <v>2.2090000000000001</v>
      </c>
      <c r="D452" s="3">
        <v>100.7</v>
      </c>
      <c r="E452" s="3">
        <v>95.34</v>
      </c>
      <c r="F452" s="3">
        <v>20.99</v>
      </c>
      <c r="G452" s="3">
        <v>503.9</v>
      </c>
      <c r="H452" s="3">
        <v>3.633</v>
      </c>
      <c r="I452" s="13">
        <f t="shared" si="7"/>
        <v>4.5421629347308246</v>
      </c>
    </row>
    <row r="453" spans="2:9">
      <c r="C453" s="46">
        <v>2.246</v>
      </c>
      <c r="D453" s="3">
        <v>100.5</v>
      </c>
      <c r="E453" s="3">
        <v>95</v>
      </c>
      <c r="F453" s="3">
        <v>20.78</v>
      </c>
      <c r="G453" s="3">
        <v>502.7</v>
      </c>
      <c r="H453" s="3">
        <v>3.4670000000000001</v>
      </c>
      <c r="I453" s="13">
        <f t="shared" si="7"/>
        <v>4.5717035611164576</v>
      </c>
    </row>
    <row r="454" spans="2:9">
      <c r="C454" s="46">
        <v>2.2570000000000001</v>
      </c>
      <c r="D454" s="3">
        <v>131.5</v>
      </c>
      <c r="E454" s="3">
        <v>95.05</v>
      </c>
      <c r="F454" s="3">
        <v>20.8</v>
      </c>
      <c r="G454" s="3">
        <v>502.3</v>
      </c>
      <c r="H454" s="3">
        <v>3.1190000000000002</v>
      </c>
      <c r="I454" s="13">
        <f t="shared" si="7"/>
        <v>4.5697115384615383</v>
      </c>
    </row>
    <row r="455" spans="2:9">
      <c r="C455" s="46">
        <v>2.2949999999999999</v>
      </c>
      <c r="D455" s="3">
        <v>150.4</v>
      </c>
      <c r="E455" s="3">
        <v>94.62</v>
      </c>
      <c r="F455" s="3">
        <v>20.71</v>
      </c>
      <c r="G455" s="3">
        <v>503.9</v>
      </c>
      <c r="H455" s="3">
        <v>2.9950000000000001</v>
      </c>
      <c r="I455" s="13">
        <f t="shared" si="7"/>
        <v>4.568807339449541</v>
      </c>
    </row>
    <row r="456" spans="2:9">
      <c r="C456" s="46">
        <v>2.3359999999999999</v>
      </c>
      <c r="D456" s="3">
        <v>106.5</v>
      </c>
      <c r="E456" s="3">
        <v>94.4</v>
      </c>
      <c r="F456" s="3">
        <v>20.96</v>
      </c>
      <c r="G456" s="3">
        <v>500.3</v>
      </c>
      <c r="H456" s="3">
        <v>3.5790000000000002</v>
      </c>
      <c r="I456" s="13">
        <f t="shared" si="7"/>
        <v>4.5038167938931295</v>
      </c>
    </row>
    <row r="457" spans="2:9">
      <c r="C457" s="46">
        <v>2.36</v>
      </c>
      <c r="D457" s="3">
        <v>128.4</v>
      </c>
      <c r="E457" s="3">
        <v>94.67</v>
      </c>
      <c r="F457" s="3">
        <v>20.85</v>
      </c>
      <c r="G457" s="3">
        <v>500.7</v>
      </c>
      <c r="H457" s="3">
        <v>3.59</v>
      </c>
      <c r="I457" s="13">
        <f t="shared" si="7"/>
        <v>4.5405275779376497</v>
      </c>
    </row>
    <row r="458" spans="2:9">
      <c r="C458" s="46">
        <v>2.3660000000000001</v>
      </c>
      <c r="D458" s="3">
        <v>113.8</v>
      </c>
      <c r="E458" s="3">
        <v>94.85</v>
      </c>
      <c r="F458" s="3">
        <v>20.74</v>
      </c>
      <c r="G458" s="3">
        <v>498.8</v>
      </c>
      <c r="H458" s="3">
        <v>3.1320000000000001</v>
      </c>
      <c r="I458" s="13">
        <f t="shared" si="7"/>
        <v>4.5732883317261335</v>
      </c>
    </row>
    <row r="459" spans="2:9">
      <c r="C459" s="46">
        <v>2.3380000000000001</v>
      </c>
      <c r="D459" s="3">
        <v>111</v>
      </c>
      <c r="E459" s="3">
        <v>94.11</v>
      </c>
      <c r="F459" s="3">
        <v>21.03</v>
      </c>
      <c r="G459" s="3">
        <v>500.6</v>
      </c>
      <c r="H459" s="3">
        <v>3.1190000000000002</v>
      </c>
      <c r="I459" s="13">
        <f t="shared" si="7"/>
        <v>4.4750356633380886</v>
      </c>
    </row>
    <row r="460" spans="2:9">
      <c r="C460" s="46">
        <v>2.3759999999999999</v>
      </c>
      <c r="D460" s="3">
        <v>124.7</v>
      </c>
      <c r="E460" s="3">
        <v>94.87</v>
      </c>
      <c r="F460" s="3">
        <v>20.95</v>
      </c>
      <c r="G460" s="3">
        <v>506.6</v>
      </c>
      <c r="H460" s="3">
        <v>3.4670000000000001</v>
      </c>
      <c r="I460" s="13">
        <f t="shared" si="7"/>
        <v>4.5284009546539385</v>
      </c>
    </row>
    <row r="461" spans="2:9">
      <c r="C461" s="46">
        <v>2.4</v>
      </c>
      <c r="D461" s="3">
        <v>121</v>
      </c>
      <c r="E461" s="3">
        <v>94.38</v>
      </c>
      <c r="F461" s="3">
        <v>20.329999999999998</v>
      </c>
      <c r="G461" s="3">
        <v>509</v>
      </c>
      <c r="H461" s="3">
        <v>3.4649999999999999</v>
      </c>
      <c r="I461" s="13">
        <f t="shared" si="7"/>
        <v>4.6424003935071321</v>
      </c>
    </row>
    <row r="462" spans="2:9">
      <c r="B462" s="16">
        <v>24</v>
      </c>
      <c r="C462" s="47">
        <v>3.609</v>
      </c>
      <c r="D462" s="22">
        <v>112.3</v>
      </c>
      <c r="E462" s="16">
        <v>89.61</v>
      </c>
      <c r="F462" s="16">
        <v>33.67</v>
      </c>
      <c r="G462" s="16">
        <v>525.70000000000005</v>
      </c>
      <c r="H462" s="38">
        <v>3.9449999999999998</v>
      </c>
      <c r="I462" s="13">
        <f t="shared" si="7"/>
        <v>2.6614196614196612</v>
      </c>
    </row>
    <row r="463" spans="2:9">
      <c r="C463" s="46">
        <v>3.6259999999999999</v>
      </c>
      <c r="D463" s="23">
        <v>98.79</v>
      </c>
      <c r="E463" s="3">
        <v>89.9</v>
      </c>
      <c r="F463" s="3">
        <v>33.49</v>
      </c>
      <c r="G463" s="3">
        <v>508</v>
      </c>
      <c r="H463" s="23">
        <v>3.6070000000000002</v>
      </c>
      <c r="I463" s="13">
        <f t="shared" si="7"/>
        <v>2.6843833980292624</v>
      </c>
    </row>
    <row r="464" spans="2:9">
      <c r="C464" s="46">
        <v>3.6059999999999999</v>
      </c>
      <c r="D464" s="23">
        <v>97.71</v>
      </c>
      <c r="E464" s="3">
        <v>90.05</v>
      </c>
      <c r="F464" s="3">
        <v>33.770000000000003</v>
      </c>
      <c r="G464" s="3">
        <v>509.2</v>
      </c>
      <c r="H464" s="23">
        <v>3.2589999999999999</v>
      </c>
      <c r="I464" s="13">
        <f t="shared" si="7"/>
        <v>2.6665679597275687</v>
      </c>
    </row>
    <row r="465" spans="3:9">
      <c r="C465" s="46">
        <v>3.5990000000000002</v>
      </c>
      <c r="D465" s="23">
        <v>79.06</v>
      </c>
      <c r="E465" s="3">
        <v>89.94</v>
      </c>
      <c r="F465" s="3">
        <v>33.35</v>
      </c>
      <c r="G465" s="3">
        <v>522.4</v>
      </c>
      <c r="H465" s="23">
        <v>3.6970000000000001</v>
      </c>
      <c r="I465" s="13">
        <f t="shared" si="7"/>
        <v>2.6968515742128933</v>
      </c>
    </row>
    <row r="466" spans="3:9">
      <c r="C466" s="46">
        <v>3.552</v>
      </c>
      <c r="D466" s="23">
        <v>70.84</v>
      </c>
      <c r="E466" s="3">
        <v>90.03</v>
      </c>
      <c r="F466" s="3">
        <v>33.17</v>
      </c>
      <c r="G466" s="3">
        <v>554.29999999999995</v>
      </c>
      <c r="H466" s="23">
        <v>3.5110000000000001</v>
      </c>
      <c r="I466" s="13">
        <f t="shared" si="7"/>
        <v>2.7141995779318662</v>
      </c>
    </row>
    <row r="467" spans="3:9">
      <c r="C467" s="46">
        <v>3.5179999999999998</v>
      </c>
      <c r="D467" s="23">
        <v>107.9</v>
      </c>
      <c r="E467" s="3">
        <v>89.72</v>
      </c>
      <c r="F467" s="3">
        <v>33.32</v>
      </c>
      <c r="G467" s="3">
        <v>504.4</v>
      </c>
      <c r="H467" s="23">
        <v>3.5169999999999999</v>
      </c>
      <c r="I467" s="13">
        <f t="shared" si="7"/>
        <v>2.6926770708283314</v>
      </c>
    </row>
    <row r="468" spans="3:9">
      <c r="C468" s="46">
        <v>3.4790000000000001</v>
      </c>
      <c r="D468" s="23">
        <v>103.7</v>
      </c>
      <c r="E468" s="3">
        <v>89.4</v>
      </c>
      <c r="F468" s="3">
        <v>33.25</v>
      </c>
      <c r="G468" s="3">
        <v>505.1</v>
      </c>
      <c r="H468" s="23">
        <v>3.3530000000000002</v>
      </c>
      <c r="I468" s="13">
        <f t="shared" si="7"/>
        <v>2.6887218045112782</v>
      </c>
    </row>
    <row r="469" spans="3:9">
      <c r="C469" s="46">
        <v>3.524</v>
      </c>
      <c r="D469" s="23">
        <v>111.8</v>
      </c>
      <c r="E469" s="3">
        <v>89.32</v>
      </c>
      <c r="F469" s="3">
        <v>33.49</v>
      </c>
      <c r="G469" s="3">
        <v>509</v>
      </c>
      <c r="H469" s="23">
        <v>3.3010000000000002</v>
      </c>
      <c r="I469" s="13">
        <f t="shared" si="7"/>
        <v>2.6670647954613314</v>
      </c>
    </row>
    <row r="470" spans="3:9">
      <c r="C470" s="46">
        <v>3.5430000000000001</v>
      </c>
      <c r="D470" s="23">
        <v>112.1</v>
      </c>
      <c r="E470" s="3">
        <v>89.57</v>
      </c>
      <c r="F470" s="3">
        <v>33.67</v>
      </c>
      <c r="G470" s="3">
        <v>513.9</v>
      </c>
      <c r="H470" s="23">
        <v>3.1520000000000001</v>
      </c>
      <c r="I470" s="13">
        <f t="shared" ref="I470:I533" si="8">E470/F470</f>
        <v>2.66023166023166</v>
      </c>
    </row>
    <row r="471" spans="3:9">
      <c r="C471" s="46">
        <v>3.6059999999999999</v>
      </c>
      <c r="D471" s="23">
        <v>112.3</v>
      </c>
      <c r="E471" s="3">
        <v>89.54</v>
      </c>
      <c r="F471" s="3">
        <v>33.729999999999997</v>
      </c>
      <c r="G471" s="3">
        <v>507.2</v>
      </c>
      <c r="H471" s="23">
        <v>3.34</v>
      </c>
      <c r="I471" s="13">
        <f t="shared" si="8"/>
        <v>2.6546101393418327</v>
      </c>
    </row>
    <row r="472" spans="3:9">
      <c r="C472" s="46">
        <v>3.585</v>
      </c>
      <c r="D472" s="23">
        <v>112.9</v>
      </c>
      <c r="E472" s="3">
        <v>89.4</v>
      </c>
      <c r="F472" s="3">
        <v>34.15</v>
      </c>
      <c r="G472" s="3">
        <v>554.1</v>
      </c>
      <c r="H472" s="23">
        <v>3.5150000000000001</v>
      </c>
      <c r="I472" s="13">
        <f t="shared" si="8"/>
        <v>2.6178623718887266</v>
      </c>
    </row>
    <row r="473" spans="3:9">
      <c r="C473" s="46">
        <v>3.6120000000000001</v>
      </c>
      <c r="D473" s="23">
        <v>116.6</v>
      </c>
      <c r="E473" s="3">
        <v>89.5</v>
      </c>
      <c r="F473" s="3">
        <v>34.090000000000003</v>
      </c>
      <c r="G473" s="3">
        <v>536.1</v>
      </c>
      <c r="H473" s="23">
        <v>3.593</v>
      </c>
      <c r="I473" s="13">
        <f t="shared" si="8"/>
        <v>2.6254033440891753</v>
      </c>
    </row>
    <row r="474" spans="3:9">
      <c r="C474" s="46">
        <v>3.528</v>
      </c>
      <c r="D474" s="23">
        <v>117.4</v>
      </c>
      <c r="E474" s="3">
        <v>89.94</v>
      </c>
      <c r="F474" s="3">
        <v>33.799999999999997</v>
      </c>
      <c r="G474" s="3">
        <v>565.5</v>
      </c>
      <c r="H474" s="23">
        <v>3.9449999999999998</v>
      </c>
      <c r="I474" s="13">
        <f t="shared" si="8"/>
        <v>2.6609467455621303</v>
      </c>
    </row>
    <row r="475" spans="3:9">
      <c r="C475" s="46">
        <v>3.4279999999999999</v>
      </c>
      <c r="D475" s="23">
        <v>114.2</v>
      </c>
      <c r="E475" s="3">
        <v>90.02</v>
      </c>
      <c r="F475" s="3">
        <v>33.25</v>
      </c>
      <c r="G475" s="3">
        <v>506.9</v>
      </c>
      <c r="H475" s="23">
        <v>3.5169999999999999</v>
      </c>
      <c r="I475" s="13">
        <f t="shared" si="8"/>
        <v>2.7073684210526316</v>
      </c>
    </row>
    <row r="476" spans="3:9">
      <c r="C476" s="46">
        <v>3.339</v>
      </c>
      <c r="D476" s="23">
        <v>96.99</v>
      </c>
      <c r="E476" s="3">
        <v>90.07</v>
      </c>
      <c r="F476" s="3">
        <v>33.43</v>
      </c>
      <c r="G476" s="3">
        <v>509.3</v>
      </c>
      <c r="H476" s="23">
        <v>4.048</v>
      </c>
      <c r="I476" s="13">
        <f t="shared" si="8"/>
        <v>2.6942865689500448</v>
      </c>
    </row>
    <row r="477" spans="3:9">
      <c r="C477" s="46">
        <v>3.4279999999999999</v>
      </c>
      <c r="D477" s="23">
        <v>76.53</v>
      </c>
      <c r="E477" s="3">
        <v>90.04</v>
      </c>
      <c r="F477" s="3">
        <v>33.67</v>
      </c>
      <c r="G477" s="3">
        <v>536.6</v>
      </c>
      <c r="H477" s="23">
        <v>3.738</v>
      </c>
      <c r="I477" s="13">
        <f t="shared" si="8"/>
        <v>2.6741906741906742</v>
      </c>
    </row>
    <row r="478" spans="3:9">
      <c r="C478" s="46">
        <v>3.5110000000000001</v>
      </c>
      <c r="D478" s="23">
        <v>99.05</v>
      </c>
      <c r="E478" s="3">
        <v>90.13</v>
      </c>
      <c r="F478" s="3">
        <v>33.67</v>
      </c>
      <c r="G478" s="3">
        <v>507.7</v>
      </c>
      <c r="H478" s="23">
        <v>3.6240000000000001</v>
      </c>
      <c r="I478" s="13">
        <f t="shared" si="8"/>
        <v>2.6768636768636767</v>
      </c>
    </row>
    <row r="479" spans="3:9">
      <c r="C479" s="46">
        <v>3.528</v>
      </c>
      <c r="D479" s="23">
        <v>103.7</v>
      </c>
      <c r="E479" s="3">
        <v>90.38</v>
      </c>
      <c r="F479" s="3">
        <v>33.56</v>
      </c>
      <c r="G479" s="3">
        <v>544</v>
      </c>
      <c r="H479" s="23">
        <v>3.9449999999999998</v>
      </c>
      <c r="I479" s="13">
        <f t="shared" si="8"/>
        <v>2.6930870083432654</v>
      </c>
    </row>
    <row r="480" spans="3:9">
      <c r="C480" s="46">
        <v>3.59</v>
      </c>
      <c r="D480" s="23">
        <v>100.4</v>
      </c>
      <c r="E480" s="3">
        <v>89.11</v>
      </c>
      <c r="F480" s="3">
        <v>33.85</v>
      </c>
      <c r="G480" s="3">
        <v>538.20000000000005</v>
      </c>
      <c r="H480" s="23">
        <v>4.0640000000000001</v>
      </c>
      <c r="I480" s="13">
        <f t="shared" si="8"/>
        <v>2.6324963072378136</v>
      </c>
    </row>
    <row r="481" spans="2:9">
      <c r="C481" s="46">
        <v>3.5779999999999998</v>
      </c>
      <c r="D481" s="23">
        <v>91.63</v>
      </c>
      <c r="E481" s="3">
        <v>90.12</v>
      </c>
      <c r="F481" s="3">
        <v>33.74</v>
      </c>
      <c r="G481" s="3">
        <v>565.5</v>
      </c>
      <c r="H481" s="23">
        <v>3.887</v>
      </c>
      <c r="I481" s="13">
        <f t="shared" si="8"/>
        <v>2.6710136336692352</v>
      </c>
    </row>
    <row r="482" spans="2:9">
      <c r="B482" s="16">
        <v>25</v>
      </c>
      <c r="C482" s="47">
        <v>2.1230000000000002</v>
      </c>
      <c r="D482" s="18">
        <v>121.7</v>
      </c>
      <c r="E482" s="16">
        <v>114.2</v>
      </c>
      <c r="F482" s="16">
        <v>25.33</v>
      </c>
      <c r="G482" s="16">
        <v>359.6</v>
      </c>
      <c r="H482" s="16">
        <v>2.165</v>
      </c>
      <c r="I482" s="13">
        <f t="shared" si="8"/>
        <v>4.5084879589419664</v>
      </c>
    </row>
    <row r="483" spans="2:9">
      <c r="C483" s="46">
        <v>2.1280000000000001</v>
      </c>
      <c r="D483" s="3">
        <v>111.3</v>
      </c>
      <c r="E483" s="3">
        <v>114</v>
      </c>
      <c r="F483" s="3">
        <v>24.77</v>
      </c>
      <c r="G483" s="3">
        <v>368.1</v>
      </c>
      <c r="H483" s="3">
        <v>2.2200000000000002</v>
      </c>
      <c r="I483" s="13">
        <f t="shared" si="8"/>
        <v>4.6023415421881309</v>
      </c>
    </row>
    <row r="484" spans="2:9">
      <c r="C484" s="46">
        <v>2.1309999999999998</v>
      </c>
      <c r="D484" s="3">
        <v>141.4</v>
      </c>
      <c r="E484" s="3">
        <v>113.9</v>
      </c>
      <c r="F484" s="3">
        <v>24.84</v>
      </c>
      <c r="G484" s="3">
        <v>347.9</v>
      </c>
      <c r="H484" s="3">
        <v>2.0049999999999999</v>
      </c>
      <c r="I484" s="13">
        <f t="shared" si="8"/>
        <v>4.5853462157809988</v>
      </c>
    </row>
    <row r="485" spans="2:9">
      <c r="C485" s="46">
        <v>2.1139999999999999</v>
      </c>
      <c r="D485" s="3">
        <v>153.19999999999999</v>
      </c>
      <c r="E485" s="3">
        <v>113.9</v>
      </c>
      <c r="F485" s="3">
        <v>24.76</v>
      </c>
      <c r="G485" s="3">
        <v>374.2</v>
      </c>
      <c r="H485" s="3">
        <v>2.105</v>
      </c>
      <c r="I485" s="13">
        <f t="shared" si="8"/>
        <v>4.6001615508885294</v>
      </c>
    </row>
    <row r="486" spans="2:9">
      <c r="C486" s="46">
        <v>2.0710000000000002</v>
      </c>
      <c r="D486" s="3">
        <v>123.6</v>
      </c>
      <c r="E486" s="3">
        <v>113.7</v>
      </c>
      <c r="F486" s="3">
        <v>24.47</v>
      </c>
      <c r="G486" s="3">
        <v>363.1</v>
      </c>
      <c r="H486" s="3">
        <v>2.2200000000000002</v>
      </c>
      <c r="I486" s="13">
        <f t="shared" si="8"/>
        <v>4.6465059256232122</v>
      </c>
    </row>
    <row r="487" spans="2:9">
      <c r="C487" s="46">
        <v>2.08</v>
      </c>
      <c r="D487" s="3">
        <v>114.3</v>
      </c>
      <c r="E487" s="3">
        <v>114.2</v>
      </c>
      <c r="F487" s="3">
        <v>24.54</v>
      </c>
      <c r="G487" s="3">
        <v>379.7</v>
      </c>
      <c r="H487" s="3">
        <v>2.2360000000000002</v>
      </c>
      <c r="I487" s="13">
        <f t="shared" si="8"/>
        <v>4.6536267318663409</v>
      </c>
    </row>
    <row r="488" spans="2:9">
      <c r="C488" s="46">
        <v>2.101</v>
      </c>
      <c r="D488" s="3">
        <v>119.5</v>
      </c>
      <c r="E488" s="3">
        <v>113.3</v>
      </c>
      <c r="F488" s="3">
        <v>24.16</v>
      </c>
      <c r="G488" s="3">
        <v>376.7</v>
      </c>
      <c r="H488" s="3">
        <v>2.2759999999999998</v>
      </c>
      <c r="I488" s="13">
        <f t="shared" si="8"/>
        <v>4.689569536423841</v>
      </c>
    </row>
    <row r="489" spans="2:9">
      <c r="C489" s="46">
        <v>2.1139999999999999</v>
      </c>
      <c r="D489" s="3">
        <v>122.9</v>
      </c>
      <c r="E489" s="3">
        <v>113.2</v>
      </c>
      <c r="F489" s="3">
        <v>24.53</v>
      </c>
      <c r="G489" s="3">
        <v>382</v>
      </c>
      <c r="H489" s="3">
        <v>2.1080000000000001</v>
      </c>
      <c r="I489" s="13">
        <f t="shared" si="8"/>
        <v>4.614757439869547</v>
      </c>
    </row>
    <row r="490" spans="2:9">
      <c r="C490" s="46">
        <v>2.1190000000000002</v>
      </c>
      <c r="D490" s="3">
        <v>136.4</v>
      </c>
      <c r="E490" s="3">
        <v>113.4</v>
      </c>
      <c r="F490" s="3">
        <v>24.77</v>
      </c>
      <c r="G490" s="3">
        <v>352.7</v>
      </c>
      <c r="H490" s="3">
        <v>2.1419999999999999</v>
      </c>
      <c r="I490" s="13">
        <f t="shared" si="8"/>
        <v>4.5781186919660879</v>
      </c>
    </row>
    <row r="491" spans="2:9">
      <c r="C491" s="46">
        <v>2.109</v>
      </c>
      <c r="D491" s="3">
        <v>162.5</v>
      </c>
      <c r="E491" s="3">
        <v>113.5</v>
      </c>
      <c r="F491" s="3">
        <v>24.84</v>
      </c>
      <c r="G491" s="3">
        <v>391.3</v>
      </c>
      <c r="H491" s="3">
        <v>2.0129999999999999</v>
      </c>
      <c r="I491" s="13">
        <f t="shared" si="8"/>
        <v>4.5692431561996782</v>
      </c>
    </row>
    <row r="492" spans="2:9">
      <c r="C492" s="46">
        <v>2.1230000000000002</v>
      </c>
      <c r="D492" s="3">
        <v>155.80000000000001</v>
      </c>
      <c r="E492" s="3">
        <v>113.9</v>
      </c>
      <c r="F492" s="3">
        <v>24.9</v>
      </c>
      <c r="G492" s="3">
        <v>359.6</v>
      </c>
      <c r="H492" s="3">
        <v>2.028</v>
      </c>
      <c r="I492" s="13">
        <f t="shared" si="8"/>
        <v>4.574297188755021</v>
      </c>
    </row>
    <row r="493" spans="2:9">
      <c r="C493" s="46">
        <v>2.1110000000000002</v>
      </c>
      <c r="D493" s="3">
        <v>138.5</v>
      </c>
      <c r="E493" s="3">
        <v>114</v>
      </c>
      <c r="F493" s="3">
        <v>24.57</v>
      </c>
      <c r="G493" s="3">
        <v>386.9</v>
      </c>
      <c r="H493" s="3">
        <v>2.0409999999999999</v>
      </c>
      <c r="I493" s="13">
        <f t="shared" si="8"/>
        <v>4.6398046398046393</v>
      </c>
    </row>
    <row r="494" spans="2:9">
      <c r="C494" s="46">
        <v>2.1160000000000001</v>
      </c>
      <c r="D494" s="3">
        <v>119.3</v>
      </c>
      <c r="E494" s="3">
        <v>114.2</v>
      </c>
      <c r="F494" s="3">
        <v>25.14</v>
      </c>
      <c r="G494" s="3">
        <v>392</v>
      </c>
      <c r="H494" s="3">
        <v>2.1960000000000002</v>
      </c>
      <c r="I494" s="13">
        <f t="shared" si="8"/>
        <v>4.5425616547334924</v>
      </c>
    </row>
    <row r="495" spans="2:9">
      <c r="C495" s="46">
        <v>2.1080000000000001</v>
      </c>
      <c r="D495" s="3">
        <v>118.1</v>
      </c>
      <c r="E495" s="3">
        <v>113.8</v>
      </c>
      <c r="F495" s="3">
        <v>24.55</v>
      </c>
      <c r="G495" s="3">
        <v>367.6</v>
      </c>
      <c r="H495" s="3">
        <v>2.1850000000000001</v>
      </c>
      <c r="I495" s="13">
        <f t="shared" si="8"/>
        <v>4.6354378818737265</v>
      </c>
    </row>
    <row r="496" spans="2:9">
      <c r="C496" s="46">
        <v>2.0950000000000002</v>
      </c>
      <c r="D496" s="3">
        <v>111.3</v>
      </c>
      <c r="E496" s="3">
        <v>113.7</v>
      </c>
      <c r="F496" s="3">
        <v>25.11</v>
      </c>
      <c r="G496" s="3">
        <v>402.9</v>
      </c>
      <c r="H496" s="3">
        <v>2.3580000000000001</v>
      </c>
      <c r="I496" s="13">
        <f t="shared" si="8"/>
        <v>4.5280764635603346</v>
      </c>
    </row>
    <row r="497" spans="2:9">
      <c r="C497" s="46">
        <v>2.1150000000000002</v>
      </c>
      <c r="D497" s="3">
        <v>121.7</v>
      </c>
      <c r="E497" s="3">
        <v>113.9</v>
      </c>
      <c r="F497" s="3">
        <v>24.93</v>
      </c>
      <c r="G497" s="3">
        <v>366.7</v>
      </c>
      <c r="H497" s="3">
        <v>2.3519999999999999</v>
      </c>
      <c r="I497" s="13">
        <f t="shared" si="8"/>
        <v>4.5687926193341362</v>
      </c>
    </row>
    <row r="498" spans="2:9">
      <c r="C498" s="46">
        <v>2.1240000000000001</v>
      </c>
      <c r="D498" s="3">
        <v>135.6</v>
      </c>
      <c r="E498" s="3">
        <v>114.1</v>
      </c>
      <c r="F498" s="3">
        <v>24.75</v>
      </c>
      <c r="G498" s="3">
        <v>382</v>
      </c>
      <c r="H498" s="3">
        <v>2.3199999999999998</v>
      </c>
      <c r="I498" s="13">
        <f t="shared" si="8"/>
        <v>4.61010101010101</v>
      </c>
    </row>
    <row r="499" spans="2:9">
      <c r="C499" s="46">
        <v>2.1190000000000002</v>
      </c>
      <c r="D499" s="3">
        <v>149.30000000000001</v>
      </c>
      <c r="E499" s="3">
        <v>114.7</v>
      </c>
      <c r="F499" s="3">
        <v>24.68</v>
      </c>
      <c r="G499" s="3">
        <v>375</v>
      </c>
      <c r="H499" s="3">
        <v>2.1080000000000001</v>
      </c>
      <c r="I499" s="13">
        <f t="shared" si="8"/>
        <v>4.6474878444084284</v>
      </c>
    </row>
    <row r="500" spans="2:9">
      <c r="C500" s="46">
        <v>2.1320000000000001</v>
      </c>
      <c r="D500" s="3">
        <v>121.7</v>
      </c>
      <c r="E500" s="3">
        <v>114.5</v>
      </c>
      <c r="F500" s="3">
        <v>24.75</v>
      </c>
      <c r="G500" s="3">
        <v>386</v>
      </c>
      <c r="H500" s="3">
        <v>2.2589999999999999</v>
      </c>
      <c r="I500" s="13">
        <f t="shared" si="8"/>
        <v>4.6262626262626263</v>
      </c>
    </row>
    <row r="501" spans="2:9">
      <c r="C501" s="46">
        <v>2.1360000000000001</v>
      </c>
      <c r="D501" s="3">
        <v>118.1</v>
      </c>
      <c r="E501" s="3">
        <v>114.2</v>
      </c>
      <c r="F501" s="3">
        <v>24.51</v>
      </c>
      <c r="G501" s="3">
        <v>365.8</v>
      </c>
      <c r="H501" s="3">
        <v>2.2360000000000002</v>
      </c>
      <c r="I501" s="13">
        <f t="shared" si="8"/>
        <v>4.6593227254181961</v>
      </c>
    </row>
    <row r="502" spans="2:9">
      <c r="B502" s="16">
        <v>26</v>
      </c>
      <c r="C502" s="47">
        <v>2.8220000000000001</v>
      </c>
      <c r="D502" s="25">
        <v>174.6</v>
      </c>
      <c r="E502" s="16">
        <v>80.8</v>
      </c>
      <c r="F502" s="16">
        <v>32.380000000000003</v>
      </c>
      <c r="G502" s="16">
        <v>602.9</v>
      </c>
      <c r="H502" s="16">
        <v>1.1619999999999999</v>
      </c>
      <c r="I502" s="13">
        <f t="shared" si="8"/>
        <v>2.4953675108091411</v>
      </c>
    </row>
    <row r="503" spans="2:9">
      <c r="C503" s="46">
        <v>2.8650000000000002</v>
      </c>
      <c r="D503" s="3">
        <v>174</v>
      </c>
      <c r="E503" s="3">
        <v>80.19</v>
      </c>
      <c r="F503" s="3">
        <v>31.82</v>
      </c>
      <c r="G503" s="3">
        <v>604</v>
      </c>
      <c r="H503" s="3">
        <v>1.016</v>
      </c>
      <c r="I503" s="13">
        <f t="shared" si="8"/>
        <v>2.5201131363922062</v>
      </c>
    </row>
    <row r="504" spans="2:9">
      <c r="C504" s="46">
        <v>2.8860000000000001</v>
      </c>
      <c r="D504" s="3">
        <v>164</v>
      </c>
      <c r="E504" s="3">
        <v>81.099999999999994</v>
      </c>
      <c r="F504" s="3">
        <v>31.47</v>
      </c>
      <c r="G504" s="3">
        <v>609.79999999999995</v>
      </c>
      <c r="H504" s="3">
        <v>1.085</v>
      </c>
      <c r="I504" s="13">
        <f t="shared" si="8"/>
        <v>2.57705751509374</v>
      </c>
    </row>
    <row r="505" spans="2:9">
      <c r="C505" s="46">
        <v>2.9180000000000001</v>
      </c>
      <c r="D505" s="3">
        <v>166.2</v>
      </c>
      <c r="E505" s="3">
        <v>81.13</v>
      </c>
      <c r="F505" s="3">
        <v>31.63</v>
      </c>
      <c r="G505" s="3">
        <v>610.20000000000005</v>
      </c>
      <c r="H505" s="3">
        <v>1.1339999999999999</v>
      </c>
      <c r="I505" s="13">
        <f t="shared" si="8"/>
        <v>2.5649699652228897</v>
      </c>
    </row>
    <row r="506" spans="2:9">
      <c r="C506" s="46">
        <v>2.9049999999999998</v>
      </c>
      <c r="D506" s="3">
        <v>167.2</v>
      </c>
      <c r="E506" s="3">
        <v>81.16</v>
      </c>
      <c r="F506" s="3">
        <v>31.36</v>
      </c>
      <c r="G506" s="3">
        <v>609.1</v>
      </c>
      <c r="H506" s="3">
        <v>1.1619999999999999</v>
      </c>
      <c r="I506" s="13">
        <f t="shared" si="8"/>
        <v>2.5880102040816326</v>
      </c>
    </row>
    <row r="507" spans="2:9">
      <c r="C507" s="46">
        <v>2.9079999999999999</v>
      </c>
      <c r="D507" s="3">
        <v>162</v>
      </c>
      <c r="E507" s="3">
        <v>81.239999999999995</v>
      </c>
      <c r="F507" s="3">
        <v>31.26</v>
      </c>
      <c r="G507" s="3">
        <v>612.6</v>
      </c>
      <c r="H507" s="3">
        <v>1.1060000000000001</v>
      </c>
      <c r="I507" s="13">
        <f t="shared" si="8"/>
        <v>2.5988483685220727</v>
      </c>
    </row>
    <row r="508" spans="2:9">
      <c r="C508" s="46">
        <v>2.887</v>
      </c>
      <c r="D508" s="3">
        <v>164.6</v>
      </c>
      <c r="E508" s="3">
        <v>80.87</v>
      </c>
      <c r="F508" s="3">
        <v>31.5</v>
      </c>
      <c r="G508" s="3">
        <v>616.6</v>
      </c>
      <c r="H508" s="3">
        <v>1.0980000000000001</v>
      </c>
      <c r="I508" s="13">
        <f t="shared" si="8"/>
        <v>2.5673015873015874</v>
      </c>
    </row>
    <row r="509" spans="2:9">
      <c r="C509" s="46">
        <v>2.8719999999999999</v>
      </c>
      <c r="D509" s="3">
        <v>171.7</v>
      </c>
      <c r="E509" s="3">
        <v>80.45</v>
      </c>
      <c r="F509" s="3">
        <v>31.56</v>
      </c>
      <c r="G509" s="3">
        <v>611.4</v>
      </c>
      <c r="H509" s="3">
        <v>1.0309999999999999</v>
      </c>
      <c r="I509" s="13">
        <f t="shared" si="8"/>
        <v>2.5491128010139419</v>
      </c>
    </row>
    <row r="510" spans="2:9">
      <c r="C510" s="46">
        <v>2.8420000000000001</v>
      </c>
      <c r="D510" s="3">
        <v>172.9</v>
      </c>
      <c r="E510" s="3">
        <v>80.489999999999995</v>
      </c>
      <c r="F510" s="3">
        <v>31.33</v>
      </c>
      <c r="G510" s="3">
        <v>604.29999999999995</v>
      </c>
      <c r="H510" s="3">
        <v>1.0169999999999999</v>
      </c>
      <c r="I510" s="13">
        <f t="shared" si="8"/>
        <v>2.5691030960740502</v>
      </c>
    </row>
    <row r="511" spans="2:9">
      <c r="C511" s="46">
        <v>2.855</v>
      </c>
      <c r="D511" s="3">
        <v>174.6</v>
      </c>
      <c r="E511" s="3">
        <v>81.489999999999995</v>
      </c>
      <c r="F511" s="3">
        <v>31.6</v>
      </c>
      <c r="G511" s="3">
        <v>597.5</v>
      </c>
      <c r="H511" s="3">
        <v>0.997</v>
      </c>
      <c r="I511" s="13">
        <f t="shared" si="8"/>
        <v>2.5787974683544301</v>
      </c>
    </row>
    <row r="512" spans="2:9">
      <c r="C512" s="46">
        <v>2.89</v>
      </c>
      <c r="D512" s="3">
        <v>174</v>
      </c>
      <c r="E512" s="3">
        <v>81.44</v>
      </c>
      <c r="F512" s="3">
        <v>31.84</v>
      </c>
      <c r="G512" s="3">
        <v>597</v>
      </c>
      <c r="H512" s="3">
        <v>0.99099999999999999</v>
      </c>
      <c r="I512" s="13">
        <f t="shared" si="8"/>
        <v>2.557788944723618</v>
      </c>
    </row>
    <row r="513" spans="2:9">
      <c r="C513" s="46">
        <v>2.9140000000000001</v>
      </c>
      <c r="D513" s="3">
        <v>168.2</v>
      </c>
      <c r="E513" s="3">
        <v>80.900000000000006</v>
      </c>
      <c r="F513" s="3">
        <v>31.02</v>
      </c>
      <c r="G513" s="3">
        <v>608.20000000000005</v>
      </c>
      <c r="H513" s="3">
        <v>0.96699999999999997</v>
      </c>
      <c r="I513" s="13">
        <f t="shared" si="8"/>
        <v>2.6079948420373955</v>
      </c>
    </row>
    <row r="514" spans="2:9">
      <c r="C514" s="46">
        <v>2.9049999999999998</v>
      </c>
      <c r="D514" s="3">
        <v>167.1</v>
      </c>
      <c r="E514" s="3">
        <v>81.069999999999993</v>
      </c>
      <c r="F514" s="3">
        <v>31.56</v>
      </c>
      <c r="G514" s="3">
        <v>602</v>
      </c>
      <c r="H514" s="3">
        <v>0.96</v>
      </c>
      <c r="I514" s="13">
        <f t="shared" si="8"/>
        <v>2.5687579214195182</v>
      </c>
    </row>
    <row r="515" spans="2:9">
      <c r="C515" s="46">
        <v>2.9180000000000001</v>
      </c>
      <c r="D515" s="3">
        <v>158.69999999999999</v>
      </c>
      <c r="E515" s="3">
        <v>81.23</v>
      </c>
      <c r="F515" s="3">
        <v>31.7</v>
      </c>
      <c r="G515" s="3">
        <v>597.6</v>
      </c>
      <c r="H515" s="3">
        <v>1.0149999999999999</v>
      </c>
      <c r="I515" s="13">
        <f t="shared" si="8"/>
        <v>2.5624605678233441</v>
      </c>
    </row>
    <row r="516" spans="2:9">
      <c r="C516" s="46">
        <v>2.9060000000000001</v>
      </c>
      <c r="D516" s="3">
        <v>151</v>
      </c>
      <c r="E516" s="3">
        <v>81.27</v>
      </c>
      <c r="F516" s="3">
        <v>31.42</v>
      </c>
      <c r="G516" s="3">
        <v>607.20000000000005</v>
      </c>
      <c r="H516" s="3">
        <v>1.087</v>
      </c>
      <c r="I516" s="13">
        <f t="shared" si="8"/>
        <v>2.5865690642902606</v>
      </c>
    </row>
    <row r="517" spans="2:9">
      <c r="C517" s="46">
        <v>2.8650000000000002</v>
      </c>
      <c r="D517" s="3">
        <v>154.5</v>
      </c>
      <c r="E517" s="3">
        <v>81.430000000000007</v>
      </c>
      <c r="F517" s="3">
        <v>31.25</v>
      </c>
      <c r="G517" s="3">
        <v>623.5</v>
      </c>
      <c r="H517" s="3">
        <v>1.173</v>
      </c>
      <c r="I517" s="13">
        <f t="shared" si="8"/>
        <v>2.6057600000000001</v>
      </c>
    </row>
    <row r="518" spans="2:9">
      <c r="C518" s="46">
        <v>2.7770000000000001</v>
      </c>
      <c r="D518" s="3">
        <v>174.5</v>
      </c>
      <c r="E518" s="3">
        <v>81.27</v>
      </c>
      <c r="F518" s="3">
        <v>30.97</v>
      </c>
      <c r="G518" s="3">
        <v>604.70000000000005</v>
      </c>
      <c r="H518" s="3">
        <v>1.1339999999999999</v>
      </c>
      <c r="I518" s="13">
        <f t="shared" si="8"/>
        <v>2.6241524055537617</v>
      </c>
    </row>
    <row r="519" spans="2:9">
      <c r="C519" s="46">
        <v>2.7210000000000001</v>
      </c>
      <c r="D519" s="3">
        <v>165.1</v>
      </c>
      <c r="E519" s="3">
        <v>81.38</v>
      </c>
      <c r="F519" s="3">
        <v>30.77</v>
      </c>
      <c r="G519" s="3">
        <v>630.9</v>
      </c>
      <c r="H519" s="3">
        <v>1.0509999999999999</v>
      </c>
      <c r="I519" s="13">
        <f t="shared" si="8"/>
        <v>2.64478388040299</v>
      </c>
    </row>
    <row r="520" spans="2:9">
      <c r="C520" s="46">
        <v>2.8220000000000001</v>
      </c>
      <c r="D520" s="3">
        <v>168.4</v>
      </c>
      <c r="E520" s="3">
        <v>81.59</v>
      </c>
      <c r="F520" s="3">
        <v>31.55</v>
      </c>
      <c r="G520" s="3">
        <v>617.6</v>
      </c>
      <c r="H520" s="3">
        <v>1.012</v>
      </c>
      <c r="I520" s="13">
        <f t="shared" si="8"/>
        <v>2.5860538827258321</v>
      </c>
    </row>
    <row r="521" spans="2:9">
      <c r="C521" s="46">
        <v>2.8650000000000002</v>
      </c>
      <c r="D521" s="3">
        <v>168.2</v>
      </c>
      <c r="E521" s="3">
        <v>81.430000000000007</v>
      </c>
      <c r="F521" s="3">
        <v>31.72</v>
      </c>
      <c r="G521" s="3">
        <v>629.36</v>
      </c>
      <c r="H521" s="3">
        <v>1.0329999999999999</v>
      </c>
      <c r="I521" s="13">
        <f t="shared" si="8"/>
        <v>2.5671500630517028</v>
      </c>
    </row>
    <row r="522" spans="2:9">
      <c r="B522" s="16">
        <v>27</v>
      </c>
      <c r="C522" s="47">
        <v>1.6719999999999999</v>
      </c>
      <c r="D522" s="27">
        <v>129.6</v>
      </c>
      <c r="E522" s="16">
        <v>75.819999999999993</v>
      </c>
      <c r="F522" s="16">
        <v>15.44</v>
      </c>
      <c r="G522" s="16">
        <v>482</v>
      </c>
      <c r="H522" s="16">
        <v>1.544</v>
      </c>
      <c r="I522" s="13">
        <f t="shared" si="8"/>
        <v>4.9106217616580308</v>
      </c>
    </row>
    <row r="523" spans="2:9">
      <c r="C523" s="46">
        <v>1.724</v>
      </c>
      <c r="D523" s="23">
        <v>154.30000000000001</v>
      </c>
      <c r="E523" s="3">
        <v>76.64</v>
      </c>
      <c r="F523" s="3">
        <v>15.57</v>
      </c>
      <c r="G523" s="3">
        <v>479.6</v>
      </c>
      <c r="H523" s="3">
        <v>1.466</v>
      </c>
      <c r="I523" s="13">
        <f t="shared" si="8"/>
        <v>4.9222864482980091</v>
      </c>
    </row>
    <row r="524" spans="2:9">
      <c r="C524" s="46">
        <v>1.702</v>
      </c>
      <c r="D524" s="23">
        <v>124.9</v>
      </c>
      <c r="E524" s="3">
        <v>76.97</v>
      </c>
      <c r="F524" s="3">
        <v>15.55</v>
      </c>
      <c r="G524" s="3">
        <v>481.2</v>
      </c>
      <c r="H524" s="3">
        <v>1.526</v>
      </c>
      <c r="I524" s="13">
        <f t="shared" si="8"/>
        <v>4.9498392282958195</v>
      </c>
    </row>
    <row r="525" spans="2:9">
      <c r="C525" s="46">
        <v>1.7010000000000001</v>
      </c>
      <c r="D525" s="23">
        <v>107.6</v>
      </c>
      <c r="E525" s="3">
        <v>76.290000000000006</v>
      </c>
      <c r="F525" s="3">
        <v>15.54</v>
      </c>
      <c r="G525" s="3">
        <v>487.3</v>
      </c>
      <c r="H525" s="3">
        <v>1.4219999999999999</v>
      </c>
      <c r="I525" s="13">
        <f t="shared" si="8"/>
        <v>4.9092664092664098</v>
      </c>
    </row>
    <row r="526" spans="2:9">
      <c r="C526" s="46">
        <v>1.6559999999999999</v>
      </c>
      <c r="D526" s="23">
        <v>110.9</v>
      </c>
      <c r="E526" s="3">
        <v>75.709999999999994</v>
      </c>
      <c r="F526" s="3">
        <v>15.74</v>
      </c>
      <c r="G526" s="3">
        <v>514</v>
      </c>
      <c r="H526" s="3">
        <v>1.3220000000000001</v>
      </c>
      <c r="I526" s="13">
        <f t="shared" si="8"/>
        <v>4.8100381194409145</v>
      </c>
    </row>
    <row r="527" spans="2:9">
      <c r="C527" s="46">
        <v>1.665</v>
      </c>
      <c r="D527" s="23">
        <v>108.9</v>
      </c>
      <c r="E527" s="3">
        <v>76.2</v>
      </c>
      <c r="F527" s="3">
        <v>15.96</v>
      </c>
      <c r="G527" s="3">
        <v>502.2</v>
      </c>
      <c r="H527" s="3">
        <v>1.4259999999999999</v>
      </c>
      <c r="I527" s="13">
        <f t="shared" si="8"/>
        <v>4.7744360902255636</v>
      </c>
    </row>
    <row r="528" spans="2:9">
      <c r="C528" s="46">
        <v>1.5089999999999999</v>
      </c>
      <c r="D528" s="23">
        <v>125.6</v>
      </c>
      <c r="E528" s="3">
        <v>76.069999999999993</v>
      </c>
      <c r="F528" s="3">
        <v>15.78</v>
      </c>
      <c r="G528" s="3">
        <v>483.2</v>
      </c>
      <c r="H528" s="3">
        <v>1.3660000000000001</v>
      </c>
      <c r="I528" s="13">
        <f t="shared" si="8"/>
        <v>4.8206590621039291</v>
      </c>
    </row>
    <row r="529" spans="2:9">
      <c r="C529" s="46">
        <v>1.452</v>
      </c>
      <c r="D529" s="23">
        <v>128.69999999999999</v>
      </c>
      <c r="E529" s="3">
        <v>76.260000000000005</v>
      </c>
      <c r="F529" s="3">
        <v>15.94</v>
      </c>
      <c r="G529" s="3">
        <v>475.5</v>
      </c>
      <c r="H529" s="3">
        <v>1.3129999999999999</v>
      </c>
      <c r="I529" s="13">
        <f t="shared" si="8"/>
        <v>4.784190715181933</v>
      </c>
    </row>
    <row r="530" spans="2:9">
      <c r="C530" s="46">
        <v>1.4550000000000001</v>
      </c>
      <c r="D530" s="23">
        <v>144.80000000000001</v>
      </c>
      <c r="E530" s="3">
        <v>76.150000000000006</v>
      </c>
      <c r="F530" s="3">
        <v>15.92</v>
      </c>
      <c r="G530" s="3">
        <v>510.5</v>
      </c>
      <c r="H530" s="3">
        <v>1.4730000000000001</v>
      </c>
      <c r="I530" s="13">
        <f t="shared" si="8"/>
        <v>4.7832914572864329</v>
      </c>
    </row>
    <row r="531" spans="2:9">
      <c r="C531" s="46">
        <v>1.385</v>
      </c>
      <c r="D531" s="23">
        <v>108.9</v>
      </c>
      <c r="E531" s="3">
        <v>76.34</v>
      </c>
      <c r="F531" s="3">
        <v>15.25</v>
      </c>
      <c r="G531" s="3">
        <v>487</v>
      </c>
      <c r="H531" s="3">
        <v>1.4419999999999999</v>
      </c>
      <c r="I531" s="13">
        <f t="shared" si="8"/>
        <v>5.0059016393442626</v>
      </c>
    </row>
    <row r="532" spans="2:9">
      <c r="C532" s="46">
        <v>1.282</v>
      </c>
      <c r="D532" s="23">
        <v>135.9</v>
      </c>
      <c r="E532" s="3">
        <v>76.78</v>
      </c>
      <c r="F532" s="3">
        <v>15.78</v>
      </c>
      <c r="G532" s="3">
        <v>479.5</v>
      </c>
      <c r="H532" s="3">
        <v>1.268</v>
      </c>
      <c r="I532" s="13">
        <f t="shared" si="8"/>
        <v>4.8656527249683146</v>
      </c>
    </row>
    <row r="533" spans="2:9">
      <c r="C533" s="46">
        <v>1.335</v>
      </c>
      <c r="D533" s="23">
        <v>118.3</v>
      </c>
      <c r="E533" s="3">
        <v>76.84</v>
      </c>
      <c r="F533" s="3">
        <v>15.05</v>
      </c>
      <c r="G533" s="3">
        <v>491.5</v>
      </c>
      <c r="H533" s="3">
        <v>1.379</v>
      </c>
      <c r="I533" s="13">
        <f t="shared" si="8"/>
        <v>5.1056478405315611</v>
      </c>
    </row>
    <row r="534" spans="2:9">
      <c r="C534" s="46">
        <v>1.22</v>
      </c>
      <c r="D534" s="23">
        <v>132.1</v>
      </c>
      <c r="E534" s="3">
        <v>76.709999999999994</v>
      </c>
      <c r="F534" s="3">
        <v>15.57</v>
      </c>
      <c r="G534" s="3">
        <v>480.4</v>
      </c>
      <c r="H534" s="3">
        <v>1.4370000000000001</v>
      </c>
      <c r="I534" s="13">
        <f t="shared" ref="I534:I597" si="9">E534/F534</f>
        <v>4.9267822736030826</v>
      </c>
    </row>
    <row r="535" spans="2:9">
      <c r="C535" s="46">
        <v>1.355</v>
      </c>
      <c r="D535" s="23">
        <v>137.6</v>
      </c>
      <c r="E535" s="3">
        <v>76.48</v>
      </c>
      <c r="F535" s="3">
        <v>15.37</v>
      </c>
      <c r="G535" s="3">
        <v>508.5</v>
      </c>
      <c r="H535" s="3">
        <v>1.268</v>
      </c>
      <c r="I535" s="13">
        <f t="shared" si="9"/>
        <v>4.9759271307742363</v>
      </c>
    </row>
    <row r="536" spans="2:9">
      <c r="C536" s="46">
        <v>1.349</v>
      </c>
      <c r="D536" s="23">
        <v>146.4</v>
      </c>
      <c r="E536" s="3">
        <v>76.900000000000006</v>
      </c>
      <c r="F536" s="3">
        <v>15.27</v>
      </c>
      <c r="G536" s="3">
        <v>475.1</v>
      </c>
      <c r="H536" s="3">
        <v>1.379</v>
      </c>
      <c r="I536" s="13">
        <f t="shared" si="9"/>
        <v>5.0360183366077278</v>
      </c>
    </row>
    <row r="537" spans="2:9">
      <c r="C537" s="46">
        <v>1.452</v>
      </c>
      <c r="D537" s="23">
        <v>103.8</v>
      </c>
      <c r="E537" s="3">
        <v>77.22</v>
      </c>
      <c r="F537" s="3">
        <v>15.44</v>
      </c>
      <c r="G537" s="3">
        <v>489.9</v>
      </c>
      <c r="H537" s="3">
        <v>1.4730000000000001</v>
      </c>
      <c r="I537" s="13">
        <f t="shared" si="9"/>
        <v>5.0012953367875648</v>
      </c>
    </row>
    <row r="538" spans="2:9">
      <c r="C538" s="46">
        <v>1.5089999999999999</v>
      </c>
      <c r="D538" s="23">
        <v>118.4</v>
      </c>
      <c r="E538" s="3">
        <v>76.69</v>
      </c>
      <c r="F538" s="3">
        <v>15.4</v>
      </c>
      <c r="G538" s="3">
        <v>488.4</v>
      </c>
      <c r="H538" s="3">
        <v>1.282</v>
      </c>
      <c r="I538" s="13">
        <f t="shared" si="9"/>
        <v>4.9798701298701298</v>
      </c>
    </row>
    <row r="539" spans="2:9">
      <c r="C539" s="46">
        <v>1.587</v>
      </c>
      <c r="D539" s="23">
        <v>125</v>
      </c>
      <c r="E539" s="3">
        <v>76.290000000000006</v>
      </c>
      <c r="F539" s="3">
        <v>15.42</v>
      </c>
      <c r="G539" s="3">
        <v>524.4</v>
      </c>
      <c r="H539" s="3">
        <v>1.3129999999999999</v>
      </c>
      <c r="I539" s="13">
        <f t="shared" si="9"/>
        <v>4.9474708171206228</v>
      </c>
    </row>
    <row r="540" spans="2:9">
      <c r="C540" s="46">
        <v>1.6659999999999999</v>
      </c>
      <c r="D540" s="23">
        <v>135.9</v>
      </c>
      <c r="E540" s="3">
        <v>76.45</v>
      </c>
      <c r="F540" s="3">
        <v>15.39</v>
      </c>
      <c r="G540" s="3">
        <v>491.1</v>
      </c>
      <c r="H540" s="3">
        <v>1.3660000000000001</v>
      </c>
      <c r="I540" s="13">
        <f t="shared" si="9"/>
        <v>4.9675113710201426</v>
      </c>
    </row>
    <row r="541" spans="2:9">
      <c r="C541" s="46">
        <v>1.708</v>
      </c>
      <c r="D541" s="23">
        <v>124.9</v>
      </c>
      <c r="E541" s="3">
        <v>76.180000000000007</v>
      </c>
      <c r="F541" s="3">
        <v>15.37</v>
      </c>
      <c r="G541" s="3">
        <v>478.6</v>
      </c>
      <c r="H541" s="3">
        <v>1.4259999999999999</v>
      </c>
      <c r="I541" s="13">
        <f t="shared" si="9"/>
        <v>4.9564085881587516</v>
      </c>
    </row>
    <row r="542" spans="2:9">
      <c r="B542" s="16">
        <v>28</v>
      </c>
      <c r="C542" s="47">
        <v>1.05</v>
      </c>
      <c r="D542" s="25">
        <v>128.6</v>
      </c>
      <c r="E542" s="16">
        <v>75.900000000000006</v>
      </c>
      <c r="F542" s="16">
        <v>19.62</v>
      </c>
      <c r="G542" s="16">
        <v>480.5</v>
      </c>
      <c r="H542" s="16">
        <v>1.0549999999999999</v>
      </c>
      <c r="I542" s="13">
        <f t="shared" si="9"/>
        <v>3.8685015290519877</v>
      </c>
    </row>
    <row r="543" spans="2:9">
      <c r="C543" s="46">
        <v>1.0509999999999999</v>
      </c>
      <c r="D543" s="3">
        <v>103.2</v>
      </c>
      <c r="E543" s="3">
        <v>75.680000000000007</v>
      </c>
      <c r="F543" s="3">
        <v>19.8</v>
      </c>
      <c r="G543" s="3">
        <v>485.6</v>
      </c>
      <c r="H543" s="3">
        <v>1.0349999999999999</v>
      </c>
      <c r="I543" s="13">
        <f t="shared" si="9"/>
        <v>3.8222222222222224</v>
      </c>
    </row>
    <row r="544" spans="2:9">
      <c r="C544" s="46">
        <v>1.052</v>
      </c>
      <c r="D544" s="3">
        <v>143.9</v>
      </c>
      <c r="E544" s="3">
        <v>75.5</v>
      </c>
      <c r="F544" s="3">
        <v>19.89</v>
      </c>
      <c r="G544" s="3">
        <v>488.8</v>
      </c>
      <c r="H544" s="3">
        <v>1.01</v>
      </c>
      <c r="I544" s="13">
        <f t="shared" si="9"/>
        <v>3.7958773252890898</v>
      </c>
    </row>
    <row r="545" spans="3:9">
      <c r="C545" s="46">
        <v>1.0229999999999999</v>
      </c>
      <c r="D545" s="3">
        <v>121.6</v>
      </c>
      <c r="E545" s="3">
        <v>75.849999999999994</v>
      </c>
      <c r="F545" s="3">
        <v>19.98</v>
      </c>
      <c r="G545" s="3">
        <v>531</v>
      </c>
      <c r="H545" s="3">
        <v>1.0860000000000001</v>
      </c>
      <c r="I545" s="13">
        <f t="shared" si="9"/>
        <v>3.7962962962962958</v>
      </c>
    </row>
    <row r="546" spans="3:9">
      <c r="C546" s="46">
        <v>1.032</v>
      </c>
      <c r="D546" s="3">
        <v>149.69999999999999</v>
      </c>
      <c r="E546" s="3">
        <v>76.13</v>
      </c>
      <c r="F546" s="3">
        <v>19.8</v>
      </c>
      <c r="G546" s="3">
        <v>493</v>
      </c>
      <c r="H546" s="3">
        <v>1.002</v>
      </c>
      <c r="I546" s="13">
        <f t="shared" si="9"/>
        <v>3.8449494949494945</v>
      </c>
    </row>
    <row r="547" spans="3:9">
      <c r="C547" s="46">
        <v>1.02</v>
      </c>
      <c r="D547" s="3">
        <v>113.4</v>
      </c>
      <c r="E547" s="3">
        <v>76.3</v>
      </c>
      <c r="F547" s="3">
        <v>19.989999999999998</v>
      </c>
      <c r="G547" s="3">
        <v>492</v>
      </c>
      <c r="H547" s="3">
        <v>1.016</v>
      </c>
      <c r="I547" s="13">
        <f t="shared" si="9"/>
        <v>3.8169084542271139</v>
      </c>
    </row>
    <row r="548" spans="3:9">
      <c r="C548" s="46">
        <v>1.0249999999999999</v>
      </c>
      <c r="D548" s="3">
        <v>126.3</v>
      </c>
      <c r="E548" s="3">
        <v>75.599999999999994</v>
      </c>
      <c r="F548" s="3">
        <v>19.350000000000001</v>
      </c>
      <c r="G548" s="3">
        <v>492.5</v>
      </c>
      <c r="H548" s="3">
        <v>1.0629999999999999</v>
      </c>
      <c r="I548" s="13">
        <f t="shared" si="9"/>
        <v>3.9069767441860459</v>
      </c>
    </row>
    <row r="549" spans="3:9">
      <c r="C549" s="46">
        <v>1.0109999999999999</v>
      </c>
      <c r="D549" s="3">
        <v>136.69999999999999</v>
      </c>
      <c r="E549" s="3">
        <v>75.5</v>
      </c>
      <c r="F549" s="3">
        <v>19.45</v>
      </c>
      <c r="G549" s="3">
        <v>483.7</v>
      </c>
      <c r="H549" s="3">
        <v>1.135</v>
      </c>
      <c r="I549" s="13">
        <f t="shared" si="9"/>
        <v>3.8817480719794344</v>
      </c>
    </row>
    <row r="550" spans="3:9">
      <c r="C550" s="46">
        <v>1.0049999999999999</v>
      </c>
      <c r="D550" s="3">
        <v>141.9</v>
      </c>
      <c r="E550" s="3">
        <v>75.400000000000006</v>
      </c>
      <c r="F550" s="3">
        <v>19.64</v>
      </c>
      <c r="G550" s="3">
        <v>486.1</v>
      </c>
      <c r="H550" s="3">
        <v>1.109</v>
      </c>
      <c r="I550" s="13">
        <f t="shared" si="9"/>
        <v>3.8391038696537678</v>
      </c>
    </row>
    <row r="551" spans="3:9">
      <c r="C551" s="46">
        <v>1.0429999999999999</v>
      </c>
      <c r="D551" s="3">
        <v>110.3</v>
      </c>
      <c r="E551" s="3">
        <v>75.05</v>
      </c>
      <c r="F551" s="3">
        <v>19.940000000000001</v>
      </c>
      <c r="G551" s="3">
        <v>506.4</v>
      </c>
      <c r="H551" s="3">
        <v>1.1020000000000001</v>
      </c>
      <c r="I551" s="13">
        <f t="shared" si="9"/>
        <v>3.7637913741223668</v>
      </c>
    </row>
    <row r="552" spans="3:9">
      <c r="C552" s="46">
        <v>1.02</v>
      </c>
      <c r="D552" s="3">
        <v>120.5</v>
      </c>
      <c r="E552" s="3">
        <v>74.97</v>
      </c>
      <c r="F552" s="3">
        <v>19.47</v>
      </c>
      <c r="G552" s="3">
        <v>486.3</v>
      </c>
      <c r="H552" s="3">
        <v>1.1100000000000001</v>
      </c>
      <c r="I552" s="13">
        <f t="shared" si="9"/>
        <v>3.8505392912172574</v>
      </c>
    </row>
    <row r="553" spans="3:9">
      <c r="C553" s="46">
        <v>1.034</v>
      </c>
      <c r="D553" s="3">
        <v>109</v>
      </c>
      <c r="E553" s="3">
        <v>75.319999999999993</v>
      </c>
      <c r="F553" s="3">
        <v>19.57</v>
      </c>
      <c r="G553" s="3">
        <v>495.1</v>
      </c>
      <c r="H553" s="3">
        <v>1.036</v>
      </c>
      <c r="I553" s="13">
        <f t="shared" si="9"/>
        <v>3.8487480838017372</v>
      </c>
    </row>
    <row r="554" spans="3:9">
      <c r="C554" s="46">
        <v>1.0189999999999999</v>
      </c>
      <c r="D554" s="3">
        <v>111.1</v>
      </c>
      <c r="E554" s="3">
        <v>76.05</v>
      </c>
      <c r="F554" s="3">
        <v>19.670000000000002</v>
      </c>
      <c r="G554" s="3">
        <v>497.3</v>
      </c>
      <c r="H554" s="3">
        <v>1.0209999999999999</v>
      </c>
      <c r="I554" s="13">
        <f t="shared" si="9"/>
        <v>3.8662938485002538</v>
      </c>
    </row>
    <row r="555" spans="3:9">
      <c r="C555" s="46">
        <v>1.006</v>
      </c>
      <c r="D555" s="3">
        <v>143.5</v>
      </c>
      <c r="E555" s="3">
        <v>75.790000000000006</v>
      </c>
      <c r="F555" s="3">
        <v>19.350000000000001</v>
      </c>
      <c r="G555" s="3">
        <v>513.20000000000005</v>
      </c>
      <c r="H555" s="3">
        <v>1.0089999999999999</v>
      </c>
      <c r="I555" s="13">
        <f t="shared" si="9"/>
        <v>3.916795865633075</v>
      </c>
    </row>
    <row r="556" spans="3:9">
      <c r="C556" s="46">
        <v>1.028</v>
      </c>
      <c r="D556" s="3">
        <v>106.9</v>
      </c>
      <c r="E556" s="3">
        <v>75.5</v>
      </c>
      <c r="F556" s="3">
        <v>19.72</v>
      </c>
      <c r="G556" s="3">
        <v>502.8</v>
      </c>
      <c r="H556" s="3">
        <v>1.032</v>
      </c>
      <c r="I556" s="13">
        <f t="shared" si="9"/>
        <v>3.8286004056795133</v>
      </c>
    </row>
    <row r="557" spans="3:9">
      <c r="C557" s="46">
        <v>1.012</v>
      </c>
      <c r="D557" s="3">
        <v>146.30000000000001</v>
      </c>
      <c r="E557" s="3">
        <v>75.150000000000006</v>
      </c>
      <c r="F557" s="3">
        <v>19.32</v>
      </c>
      <c r="G557" s="3">
        <v>488.9</v>
      </c>
      <c r="H557" s="3">
        <v>1.0469999999999999</v>
      </c>
      <c r="I557" s="13">
        <f t="shared" si="9"/>
        <v>3.8897515527950315</v>
      </c>
    </row>
    <row r="558" spans="3:9">
      <c r="C558" s="46">
        <v>1.006</v>
      </c>
      <c r="D558" s="3">
        <v>159.5</v>
      </c>
      <c r="E558" s="3">
        <v>75.05</v>
      </c>
      <c r="F558" s="3">
        <v>19.43</v>
      </c>
      <c r="G558" s="3">
        <v>486.1</v>
      </c>
      <c r="H558" s="3">
        <v>1.083</v>
      </c>
      <c r="I558" s="13">
        <f t="shared" si="9"/>
        <v>3.8625836335563561</v>
      </c>
    </row>
    <row r="559" spans="3:9">
      <c r="C559" s="46">
        <v>1.0169999999999999</v>
      </c>
      <c r="D559" s="3">
        <v>154</v>
      </c>
      <c r="E559" s="3">
        <v>75.400000000000006</v>
      </c>
      <c r="F559" s="3">
        <v>19.77</v>
      </c>
      <c r="G559" s="3">
        <v>493.3</v>
      </c>
      <c r="H559" s="3">
        <v>1.079</v>
      </c>
      <c r="I559" s="13">
        <f t="shared" si="9"/>
        <v>3.8138593829033893</v>
      </c>
    </row>
    <row r="560" spans="3:9">
      <c r="C560" s="46">
        <v>1.0089999999999999</v>
      </c>
      <c r="D560" s="3">
        <v>114.7</v>
      </c>
      <c r="E560" s="3">
        <v>75.930000000000007</v>
      </c>
      <c r="F560" s="3">
        <v>19.88</v>
      </c>
      <c r="G560" s="3">
        <v>498.4</v>
      </c>
      <c r="H560" s="3">
        <v>1.1120000000000001</v>
      </c>
      <c r="I560" s="13">
        <f t="shared" si="9"/>
        <v>3.8194164989939643</v>
      </c>
    </row>
    <row r="561" spans="2:9">
      <c r="C561" s="46">
        <v>1.02</v>
      </c>
      <c r="D561" s="3">
        <v>117.2</v>
      </c>
      <c r="E561" s="3">
        <v>75.819999999999993</v>
      </c>
      <c r="F561" s="3">
        <v>19.23</v>
      </c>
      <c r="G561" s="3">
        <v>516.79999999999995</v>
      </c>
      <c r="H561" s="3">
        <v>1.0640000000000001</v>
      </c>
      <c r="I561" s="13">
        <f t="shared" si="9"/>
        <v>3.9427977119084758</v>
      </c>
    </row>
    <row r="562" spans="2:9">
      <c r="B562" s="16">
        <v>29</v>
      </c>
      <c r="C562" s="47">
        <v>1.6120000000000001</v>
      </c>
      <c r="D562" s="27">
        <v>84.64</v>
      </c>
      <c r="E562" s="16">
        <v>98.42</v>
      </c>
      <c r="F562" s="16">
        <v>25.94</v>
      </c>
      <c r="G562" s="16">
        <v>472.9</v>
      </c>
      <c r="H562" s="16">
        <v>2.452</v>
      </c>
      <c r="I562" s="13">
        <f t="shared" si="9"/>
        <v>3.7941403238242097</v>
      </c>
    </row>
    <row r="563" spans="2:9">
      <c r="C563" s="46">
        <v>1.61</v>
      </c>
      <c r="D563" s="23">
        <v>114.3</v>
      </c>
      <c r="E563" s="3">
        <v>98.96</v>
      </c>
      <c r="F563" s="3">
        <v>26.66</v>
      </c>
      <c r="G563" s="3">
        <v>483.8</v>
      </c>
      <c r="H563" s="3">
        <v>2.56</v>
      </c>
      <c r="I563" s="13">
        <f t="shared" si="9"/>
        <v>3.7119279819954984</v>
      </c>
    </row>
    <row r="564" spans="2:9">
      <c r="C564" s="46">
        <v>1.6080000000000001</v>
      </c>
      <c r="D564" s="23">
        <v>81.59</v>
      </c>
      <c r="E564" s="3">
        <v>98.02</v>
      </c>
      <c r="F564" s="3">
        <v>26.21</v>
      </c>
      <c r="G564" s="3">
        <v>484.3</v>
      </c>
      <c r="H564" s="3">
        <v>2.7120000000000002</v>
      </c>
      <c r="I564" s="13">
        <f t="shared" si="9"/>
        <v>3.7397939717665012</v>
      </c>
    </row>
    <row r="565" spans="2:9">
      <c r="C565" s="46">
        <v>1.589</v>
      </c>
      <c r="D565" s="23">
        <v>72.3</v>
      </c>
      <c r="E565" s="3">
        <v>98.6</v>
      </c>
      <c r="F565" s="3">
        <v>26.78</v>
      </c>
      <c r="G565" s="3">
        <v>490.6</v>
      </c>
      <c r="H565" s="3">
        <v>2.7189999999999999</v>
      </c>
      <c r="I565" s="13">
        <f t="shared" si="9"/>
        <v>3.6818521284540697</v>
      </c>
    </row>
    <row r="566" spans="2:9">
      <c r="C566" s="46">
        <v>1.587</v>
      </c>
      <c r="D566" s="23">
        <v>78.47</v>
      </c>
      <c r="E566" s="3">
        <v>98.81</v>
      </c>
      <c r="F566" s="3">
        <v>26.4</v>
      </c>
      <c r="G566" s="3">
        <v>490.2</v>
      </c>
      <c r="H566" s="3">
        <v>2.738</v>
      </c>
      <c r="I566" s="13">
        <f t="shared" si="9"/>
        <v>3.7428030303030306</v>
      </c>
    </row>
    <row r="567" spans="2:9">
      <c r="C567" s="46">
        <v>1.5820000000000001</v>
      </c>
      <c r="D567" s="23">
        <v>82.31</v>
      </c>
      <c r="E567" s="3">
        <v>99.22</v>
      </c>
      <c r="F567" s="3">
        <v>26.21</v>
      </c>
      <c r="G567" s="3">
        <v>496.4</v>
      </c>
      <c r="H567" s="3">
        <v>2.7610000000000001</v>
      </c>
      <c r="I567" s="13">
        <f t="shared" si="9"/>
        <v>3.7855780236550931</v>
      </c>
    </row>
    <row r="568" spans="2:9">
      <c r="C568" s="46">
        <v>1.569</v>
      </c>
      <c r="D568" s="23">
        <v>119.1</v>
      </c>
      <c r="E568" s="3">
        <v>98.96</v>
      </c>
      <c r="F568" s="3">
        <v>26.26</v>
      </c>
      <c r="G568" s="3">
        <v>474.5</v>
      </c>
      <c r="H568" s="3">
        <v>2.88</v>
      </c>
      <c r="I568" s="13">
        <f t="shared" si="9"/>
        <v>3.768469154607768</v>
      </c>
    </row>
    <row r="569" spans="2:9">
      <c r="C569" s="46">
        <v>1.5669999999999999</v>
      </c>
      <c r="D569" s="23">
        <v>109.9</v>
      </c>
      <c r="E569" s="3">
        <v>98.69</v>
      </c>
      <c r="F569" s="3">
        <v>26.82</v>
      </c>
      <c r="G569" s="3">
        <v>480.5</v>
      </c>
      <c r="H569" s="3">
        <v>2.7349999999999999</v>
      </c>
      <c r="I569" s="13">
        <f t="shared" si="9"/>
        <v>3.6797166293810588</v>
      </c>
    </row>
    <row r="570" spans="2:9">
      <c r="C570" s="46">
        <v>1.589</v>
      </c>
      <c r="D570" s="23">
        <v>79.430000000000007</v>
      </c>
      <c r="E570" s="3">
        <v>98.43</v>
      </c>
      <c r="F570" s="3">
        <v>26.74</v>
      </c>
      <c r="G570" s="3">
        <v>479.7</v>
      </c>
      <c r="H570" s="3">
        <v>2.8149999999999999</v>
      </c>
      <c r="I570" s="13">
        <f t="shared" si="9"/>
        <v>3.6810022438294694</v>
      </c>
    </row>
    <row r="571" spans="2:9">
      <c r="C571" s="46">
        <v>1.5920000000000001</v>
      </c>
      <c r="D571" s="23">
        <v>78.47</v>
      </c>
      <c r="E571" s="3">
        <v>98.36</v>
      </c>
      <c r="F571" s="3">
        <v>25.91</v>
      </c>
      <c r="G571" s="3">
        <v>473</v>
      </c>
      <c r="H571" s="3">
        <v>2.3769999999999998</v>
      </c>
      <c r="I571" s="13">
        <f t="shared" si="9"/>
        <v>3.796217676572752</v>
      </c>
    </row>
    <row r="572" spans="2:9">
      <c r="C572" s="46">
        <v>1.597</v>
      </c>
      <c r="D572" s="23">
        <v>82.23</v>
      </c>
      <c r="E572" s="3">
        <v>98.17</v>
      </c>
      <c r="F572" s="3">
        <v>27.01</v>
      </c>
      <c r="G572" s="3">
        <v>475.7</v>
      </c>
      <c r="H572" s="3">
        <v>2.3610000000000002</v>
      </c>
      <c r="I572" s="13">
        <f t="shared" si="9"/>
        <v>3.6345797852647168</v>
      </c>
    </row>
    <row r="573" spans="2:9">
      <c r="C573" s="46">
        <v>1.6080000000000001</v>
      </c>
      <c r="D573" s="23">
        <v>85.87</v>
      </c>
      <c r="E573" s="3">
        <v>98.02</v>
      </c>
      <c r="F573" s="3">
        <v>26.21</v>
      </c>
      <c r="G573" s="3">
        <v>492.2</v>
      </c>
      <c r="H573" s="3">
        <v>2.4849999999999999</v>
      </c>
      <c r="I573" s="13">
        <f t="shared" si="9"/>
        <v>3.7397939717665012</v>
      </c>
    </row>
    <row r="574" spans="2:9">
      <c r="C574" s="46">
        <v>1.61</v>
      </c>
      <c r="D574" s="23">
        <v>91.9</v>
      </c>
      <c r="E574" s="3">
        <v>98.14</v>
      </c>
      <c r="F574" s="3">
        <v>26.29</v>
      </c>
      <c r="G574" s="3">
        <v>489.9</v>
      </c>
      <c r="H574" s="3">
        <v>2.452</v>
      </c>
      <c r="I574" s="13">
        <f t="shared" si="9"/>
        <v>3.7329783187523775</v>
      </c>
    </row>
    <row r="575" spans="2:9">
      <c r="C575" s="46">
        <v>1.6120000000000001</v>
      </c>
      <c r="D575" s="23">
        <v>88.97</v>
      </c>
      <c r="E575" s="3">
        <v>98.28</v>
      </c>
      <c r="F575" s="3">
        <v>26.06</v>
      </c>
      <c r="G575" s="3">
        <v>486.9</v>
      </c>
      <c r="H575" s="3">
        <v>2.5649999999999999</v>
      </c>
      <c r="I575" s="13">
        <f t="shared" si="9"/>
        <v>3.7712970069071376</v>
      </c>
    </row>
    <row r="576" spans="2:9">
      <c r="C576" s="46">
        <v>1.6259999999999999</v>
      </c>
      <c r="D576" s="23">
        <v>106.7</v>
      </c>
      <c r="E576" s="3">
        <v>98.21</v>
      </c>
      <c r="F576" s="3">
        <v>26.7</v>
      </c>
      <c r="G576" s="3">
        <v>488.5</v>
      </c>
      <c r="H576" s="3">
        <v>2.5529999999999999</v>
      </c>
      <c r="I576" s="13">
        <f t="shared" si="9"/>
        <v>3.6782771535580525</v>
      </c>
    </row>
    <row r="577" spans="2:9">
      <c r="C577" s="46">
        <v>1.62</v>
      </c>
      <c r="D577" s="23">
        <v>118.8</v>
      </c>
      <c r="E577" s="3">
        <v>98.4</v>
      </c>
      <c r="F577" s="3">
        <v>26.88</v>
      </c>
      <c r="G577" s="3">
        <v>484.7</v>
      </c>
      <c r="H577" s="3">
        <v>2.419</v>
      </c>
      <c r="I577" s="13">
        <f t="shared" si="9"/>
        <v>3.660714285714286</v>
      </c>
    </row>
    <row r="578" spans="2:9">
      <c r="C578" s="46">
        <v>1.639</v>
      </c>
      <c r="D578" s="23">
        <v>110.6</v>
      </c>
      <c r="E578" s="3">
        <v>98.62</v>
      </c>
      <c r="F578" s="3">
        <v>26.9</v>
      </c>
      <c r="G578" s="3">
        <v>472.2</v>
      </c>
      <c r="H578" s="3">
        <v>2.4089999999999998</v>
      </c>
      <c r="I578" s="13">
        <f t="shared" si="9"/>
        <v>3.6661710037174724</v>
      </c>
    </row>
    <row r="579" spans="2:9">
      <c r="C579" s="46">
        <v>1.659</v>
      </c>
      <c r="D579" s="23">
        <v>113.8</v>
      </c>
      <c r="E579" s="3">
        <v>98.88</v>
      </c>
      <c r="F579" s="3">
        <v>26.29</v>
      </c>
      <c r="G579" s="3">
        <v>471.9</v>
      </c>
      <c r="H579" s="3">
        <v>2.5529999999999999</v>
      </c>
      <c r="I579" s="13">
        <f t="shared" si="9"/>
        <v>3.7611259033853175</v>
      </c>
    </row>
    <row r="580" spans="2:9">
      <c r="C580" s="46">
        <v>1.675</v>
      </c>
      <c r="D580" s="23">
        <v>105.7</v>
      </c>
      <c r="E580" s="3">
        <v>98.69</v>
      </c>
      <c r="F580" s="3">
        <v>26.21</v>
      </c>
      <c r="G580" s="3">
        <v>469.1</v>
      </c>
      <c r="H580" s="3">
        <v>2.423</v>
      </c>
      <c r="I580" s="13">
        <f t="shared" si="9"/>
        <v>3.7653567340709651</v>
      </c>
    </row>
    <row r="581" spans="2:9">
      <c r="C581" s="46">
        <v>1.639</v>
      </c>
      <c r="D581" s="23">
        <v>88.07</v>
      </c>
      <c r="E581" s="3">
        <v>98.43</v>
      </c>
      <c r="F581" s="3">
        <v>26.4</v>
      </c>
      <c r="G581" s="3">
        <v>463.7</v>
      </c>
      <c r="H581" s="3">
        <v>2.4740000000000002</v>
      </c>
      <c r="I581" s="13">
        <f t="shared" si="9"/>
        <v>3.7284090909090915</v>
      </c>
    </row>
    <row r="582" spans="2:9">
      <c r="B582" s="16">
        <v>30</v>
      </c>
      <c r="C582" s="47">
        <v>1.6279999999999999</v>
      </c>
      <c r="D582" s="27">
        <v>181.5</v>
      </c>
      <c r="E582" s="16">
        <v>90.55</v>
      </c>
      <c r="F582" s="16">
        <v>17.86</v>
      </c>
      <c r="G582" s="16">
        <v>485.3</v>
      </c>
      <c r="H582" s="16">
        <v>1.419</v>
      </c>
      <c r="I582" s="13">
        <f t="shared" si="9"/>
        <v>5.0699888017917134</v>
      </c>
    </row>
    <row r="583" spans="2:9">
      <c r="C583" s="46">
        <v>1.6379999999999999</v>
      </c>
      <c r="D583" s="23">
        <v>199</v>
      </c>
      <c r="E583" s="3">
        <v>90.64</v>
      </c>
      <c r="F583" s="3">
        <v>17.73</v>
      </c>
      <c r="G583" s="3">
        <v>479.3</v>
      </c>
      <c r="H583" s="3">
        <v>1.52</v>
      </c>
      <c r="I583" s="13">
        <f t="shared" si="9"/>
        <v>5.1122391426959952</v>
      </c>
    </row>
    <row r="584" spans="2:9">
      <c r="C584" s="46">
        <v>1.615</v>
      </c>
      <c r="D584" s="23">
        <v>182.8</v>
      </c>
      <c r="E584" s="3">
        <v>91.25</v>
      </c>
      <c r="F584" s="3">
        <v>18.04</v>
      </c>
      <c r="G584" s="3">
        <v>493.4</v>
      </c>
      <c r="H584" s="3">
        <v>1.528</v>
      </c>
      <c r="I584" s="13">
        <f t="shared" si="9"/>
        <v>5.0582039911308208</v>
      </c>
    </row>
    <row r="585" spans="2:9">
      <c r="C585" s="46">
        <v>1.6879999999999999</v>
      </c>
      <c r="D585" s="23">
        <v>174.8</v>
      </c>
      <c r="E585" s="3">
        <v>90.89</v>
      </c>
      <c r="F585" s="3">
        <v>17.96</v>
      </c>
      <c r="G585" s="3">
        <v>518.20000000000005</v>
      </c>
      <c r="H585" s="3">
        <v>1.431</v>
      </c>
      <c r="I585" s="13">
        <f t="shared" si="9"/>
        <v>5.0606904231625833</v>
      </c>
    </row>
    <row r="586" spans="2:9">
      <c r="C586" s="46">
        <v>1.663</v>
      </c>
      <c r="D586" s="23">
        <v>164.9</v>
      </c>
      <c r="E586" s="3">
        <v>90.71</v>
      </c>
      <c r="F586" s="3">
        <v>17.59</v>
      </c>
      <c r="G586" s="3">
        <v>484.7</v>
      </c>
      <c r="H586" s="3">
        <v>1.446</v>
      </c>
      <c r="I586" s="13">
        <f t="shared" si="9"/>
        <v>5.1569073337123363</v>
      </c>
    </row>
    <row r="587" spans="2:9">
      <c r="C587" s="46">
        <v>1.645</v>
      </c>
      <c r="D587" s="23">
        <v>177</v>
      </c>
      <c r="E587" s="3">
        <v>90.79</v>
      </c>
      <c r="F587" s="3">
        <v>17.77</v>
      </c>
      <c r="G587" s="3">
        <v>466.1</v>
      </c>
      <c r="H587" s="3">
        <v>1.4970000000000001</v>
      </c>
      <c r="I587" s="13">
        <f t="shared" si="9"/>
        <v>5.1091727630838495</v>
      </c>
    </row>
    <row r="588" spans="2:9">
      <c r="C588" s="46">
        <v>1.647</v>
      </c>
      <c r="D588" s="23">
        <v>172.8</v>
      </c>
      <c r="E588" s="3">
        <v>90.96</v>
      </c>
      <c r="F588" s="3">
        <v>17.84</v>
      </c>
      <c r="G588" s="3">
        <v>493.5</v>
      </c>
      <c r="H588" s="3">
        <v>1.458</v>
      </c>
      <c r="I588" s="13">
        <f t="shared" si="9"/>
        <v>5.0986547085201792</v>
      </c>
    </row>
    <row r="589" spans="2:9">
      <c r="C589" s="46">
        <v>1.625</v>
      </c>
      <c r="D589" s="23">
        <v>176.9</v>
      </c>
      <c r="E589" s="3">
        <v>91.13</v>
      </c>
      <c r="F589" s="3">
        <v>17.920000000000002</v>
      </c>
      <c r="G589" s="3">
        <v>495.5</v>
      </c>
      <c r="H589" s="3">
        <v>1.5580000000000001</v>
      </c>
      <c r="I589" s="13">
        <f t="shared" si="9"/>
        <v>5.0853794642857135</v>
      </c>
    </row>
    <row r="590" spans="2:9">
      <c r="C590" s="46">
        <v>1.603</v>
      </c>
      <c r="D590" s="23">
        <v>183.4</v>
      </c>
      <c r="E590" s="3">
        <v>91.48</v>
      </c>
      <c r="F590" s="3">
        <v>18.079999999999998</v>
      </c>
      <c r="G590" s="3">
        <v>473</v>
      </c>
      <c r="H590" s="3">
        <v>1.482</v>
      </c>
      <c r="I590" s="13">
        <f t="shared" si="9"/>
        <v>5.0597345132743365</v>
      </c>
    </row>
    <row r="591" spans="2:9">
      <c r="C591" s="46">
        <v>1.5169999999999999</v>
      </c>
      <c r="D591" s="23">
        <v>178.5</v>
      </c>
      <c r="E591" s="3">
        <v>90.6</v>
      </c>
      <c r="F591" s="3">
        <v>17.88</v>
      </c>
      <c r="G591" s="3">
        <v>488.8</v>
      </c>
      <c r="H591" s="3">
        <v>1.411</v>
      </c>
      <c r="I591" s="13">
        <f t="shared" si="9"/>
        <v>5.0671140939597317</v>
      </c>
    </row>
    <row r="592" spans="2:9">
      <c r="C592" s="46">
        <v>1.5289999999999999</v>
      </c>
      <c r="D592" s="23">
        <v>191.3</v>
      </c>
      <c r="E592" s="3">
        <v>90.34</v>
      </c>
      <c r="F592" s="3">
        <v>17.829999999999998</v>
      </c>
      <c r="G592" s="3">
        <v>486.3</v>
      </c>
      <c r="H592" s="3">
        <v>1.363</v>
      </c>
      <c r="I592" s="13">
        <f t="shared" si="9"/>
        <v>5.0667414469994396</v>
      </c>
    </row>
    <row r="593" spans="2:9">
      <c r="C593" s="46">
        <v>1.5569999999999999</v>
      </c>
      <c r="D593" s="23">
        <v>174.8</v>
      </c>
      <c r="E593" s="3">
        <v>90.61</v>
      </c>
      <c r="F593" s="3">
        <v>17.52</v>
      </c>
      <c r="G593" s="3">
        <v>481.1</v>
      </c>
      <c r="H593" s="3">
        <v>1.3169999999999999</v>
      </c>
      <c r="I593" s="13">
        <f t="shared" si="9"/>
        <v>5.1718036529680367</v>
      </c>
    </row>
    <row r="594" spans="2:9">
      <c r="C594" s="46">
        <v>1.603</v>
      </c>
      <c r="D594" s="23">
        <v>183.2</v>
      </c>
      <c r="E594" s="3">
        <v>91.22</v>
      </c>
      <c r="F594" s="3">
        <v>17.27</v>
      </c>
      <c r="G594" s="3">
        <v>531.4</v>
      </c>
      <c r="H594" s="3">
        <v>1.3109999999999999</v>
      </c>
      <c r="I594" s="13">
        <f t="shared" si="9"/>
        <v>5.2819918934568619</v>
      </c>
    </row>
    <row r="595" spans="2:9">
      <c r="C595" s="46">
        <v>1.645</v>
      </c>
      <c r="D595" s="23">
        <v>170.3</v>
      </c>
      <c r="E595" s="3">
        <v>91.4</v>
      </c>
      <c r="F595" s="3">
        <v>17.48</v>
      </c>
      <c r="G595" s="3">
        <v>476.8</v>
      </c>
      <c r="H595" s="3">
        <v>1.2989999999999999</v>
      </c>
      <c r="I595" s="13">
        <f t="shared" si="9"/>
        <v>5.2288329519450807</v>
      </c>
    </row>
    <row r="596" spans="2:9">
      <c r="C596" s="46">
        <v>1.611</v>
      </c>
      <c r="D596" s="23">
        <v>186.9</v>
      </c>
      <c r="E596" s="3">
        <v>91.06</v>
      </c>
      <c r="F596" s="3">
        <v>17.37</v>
      </c>
      <c r="G596" s="3">
        <v>488.6</v>
      </c>
      <c r="H596" s="3">
        <v>1.482</v>
      </c>
      <c r="I596" s="13">
        <f t="shared" si="9"/>
        <v>5.2423719055843403</v>
      </c>
    </row>
    <row r="597" spans="2:9">
      <c r="C597" s="46">
        <v>1.6679999999999999</v>
      </c>
      <c r="D597" s="23">
        <v>176.9</v>
      </c>
      <c r="E597" s="3">
        <v>90.71</v>
      </c>
      <c r="F597" s="3">
        <v>17.84</v>
      </c>
      <c r="G597" s="3">
        <v>484.4</v>
      </c>
      <c r="H597" s="3">
        <v>1.4810000000000001</v>
      </c>
      <c r="I597" s="13">
        <f t="shared" si="9"/>
        <v>5.0846412556053808</v>
      </c>
    </row>
    <row r="598" spans="2:9">
      <c r="C598" s="46">
        <v>1.5940000000000001</v>
      </c>
      <c r="D598" s="23">
        <v>135</v>
      </c>
      <c r="E598" s="3">
        <v>90.36</v>
      </c>
      <c r="F598" s="3">
        <v>17.77</v>
      </c>
      <c r="G598" s="3">
        <v>500.8</v>
      </c>
      <c r="H598" s="3">
        <v>1.446</v>
      </c>
      <c r="I598" s="13">
        <f t="shared" ref="I598:I661" si="10">E598/F598</f>
        <v>5.0849746764209343</v>
      </c>
    </row>
    <row r="599" spans="2:9">
      <c r="C599" s="46">
        <v>1.615</v>
      </c>
      <c r="D599" s="23">
        <v>159.80000000000001</v>
      </c>
      <c r="E599" s="3">
        <v>90.63</v>
      </c>
      <c r="F599" s="3">
        <v>17.920000000000002</v>
      </c>
      <c r="G599" s="3">
        <v>495.4</v>
      </c>
      <c r="H599" s="3">
        <v>1.42</v>
      </c>
      <c r="I599" s="13">
        <f t="shared" si="10"/>
        <v>5.0574776785714279</v>
      </c>
    </row>
    <row r="600" spans="2:9">
      <c r="C600" s="46">
        <v>1.6279999999999999</v>
      </c>
      <c r="D600" s="23">
        <v>168.1</v>
      </c>
      <c r="E600" s="3">
        <v>90.8</v>
      </c>
      <c r="F600" s="3">
        <v>17.989999999999998</v>
      </c>
      <c r="G600" s="3">
        <v>476.6</v>
      </c>
      <c r="H600" s="3">
        <v>1.4339999999999999</v>
      </c>
      <c r="I600" s="13">
        <f t="shared" si="10"/>
        <v>5.0472484713729857</v>
      </c>
    </row>
    <row r="601" spans="2:9">
      <c r="C601" s="46">
        <v>1.639</v>
      </c>
      <c r="D601" s="23">
        <v>177.2</v>
      </c>
      <c r="E601" s="3">
        <v>90.53</v>
      </c>
      <c r="F601" s="3">
        <v>17.59</v>
      </c>
      <c r="G601" s="3">
        <v>486.4</v>
      </c>
      <c r="H601" s="3">
        <v>1.2989999999999999</v>
      </c>
      <c r="I601" s="13">
        <f t="shared" si="10"/>
        <v>5.1466742467310977</v>
      </c>
    </row>
    <row r="602" spans="2:9">
      <c r="B602" s="16">
        <v>31</v>
      </c>
      <c r="C602" s="47">
        <v>1.073</v>
      </c>
      <c r="D602" s="25">
        <v>105.4</v>
      </c>
      <c r="E602" s="16">
        <v>87.5</v>
      </c>
      <c r="F602" s="16">
        <v>25.59</v>
      </c>
      <c r="G602" s="16">
        <v>510.6</v>
      </c>
      <c r="H602" s="16">
        <v>1.0680000000000001</v>
      </c>
      <c r="I602" s="13">
        <f t="shared" si="10"/>
        <v>3.4193044157874168</v>
      </c>
    </row>
    <row r="603" spans="2:9">
      <c r="C603" s="46">
        <v>1.0229999999999999</v>
      </c>
      <c r="D603" s="3">
        <v>111.1</v>
      </c>
      <c r="E603" s="3">
        <v>87.82</v>
      </c>
      <c r="F603" s="3">
        <v>25.52</v>
      </c>
      <c r="G603" s="3">
        <v>484.4</v>
      </c>
      <c r="H603" s="3">
        <v>1.089</v>
      </c>
      <c r="I603" s="13">
        <f t="shared" si="10"/>
        <v>3.4412225705329154</v>
      </c>
    </row>
    <row r="604" spans="2:9">
      <c r="C604" s="46">
        <v>1.03</v>
      </c>
      <c r="D604" s="3">
        <v>106.6</v>
      </c>
      <c r="E604" s="3">
        <v>87.75</v>
      </c>
      <c r="F604" s="3">
        <v>25.46</v>
      </c>
      <c r="G604" s="3">
        <v>497.2</v>
      </c>
      <c r="H604" s="3">
        <v>1.0940000000000001</v>
      </c>
      <c r="I604" s="13">
        <f t="shared" si="10"/>
        <v>3.4465828750981933</v>
      </c>
    </row>
    <row r="605" spans="2:9">
      <c r="C605" s="46">
        <v>1.05</v>
      </c>
      <c r="D605" s="3">
        <v>104.7</v>
      </c>
      <c r="E605" s="3">
        <v>88.05</v>
      </c>
      <c r="F605" s="3">
        <v>25.4</v>
      </c>
      <c r="G605" s="3">
        <v>481.6</v>
      </c>
      <c r="H605" s="3">
        <v>1.2509999999999999</v>
      </c>
      <c r="I605" s="13">
        <f t="shared" si="10"/>
        <v>3.4665354330708662</v>
      </c>
    </row>
    <row r="606" spans="2:9">
      <c r="C606" s="46">
        <v>1.0660000000000001</v>
      </c>
      <c r="D606" s="3">
        <v>131.4</v>
      </c>
      <c r="E606" s="3">
        <v>87.57</v>
      </c>
      <c r="F606" s="3">
        <v>25.78</v>
      </c>
      <c r="G606" s="3">
        <v>514.1</v>
      </c>
      <c r="H606" s="3">
        <v>1.173</v>
      </c>
      <c r="I606" s="13">
        <f t="shared" si="10"/>
        <v>3.3968192397207133</v>
      </c>
    </row>
    <row r="607" spans="2:9">
      <c r="C607" s="46">
        <v>1.073</v>
      </c>
      <c r="D607" s="3">
        <v>109.4</v>
      </c>
      <c r="E607" s="3">
        <v>87.17</v>
      </c>
      <c r="F607" s="3">
        <v>26.16</v>
      </c>
      <c r="G607" s="3">
        <v>480.7</v>
      </c>
      <c r="H607" s="3">
        <v>1.2390000000000001</v>
      </c>
      <c r="I607" s="13">
        <f t="shared" si="10"/>
        <v>3.3321865443425076</v>
      </c>
    </row>
    <row r="608" spans="2:9">
      <c r="C608" s="46">
        <v>1.103</v>
      </c>
      <c r="D608" s="3">
        <v>113.9</v>
      </c>
      <c r="E608" s="3">
        <v>87.64</v>
      </c>
      <c r="F608" s="3">
        <v>26.22</v>
      </c>
      <c r="G608" s="3">
        <v>489.2</v>
      </c>
      <c r="H608" s="3">
        <v>1.266</v>
      </c>
      <c r="I608" s="13">
        <f t="shared" si="10"/>
        <v>3.3424866514111367</v>
      </c>
    </row>
    <row r="609" spans="2:9">
      <c r="C609" s="46">
        <v>1.151</v>
      </c>
      <c r="D609" s="3">
        <v>102.9</v>
      </c>
      <c r="E609" s="3">
        <v>87.51</v>
      </c>
      <c r="F609" s="3">
        <v>25.9</v>
      </c>
      <c r="G609" s="3">
        <v>496</v>
      </c>
      <c r="H609" s="3">
        <v>1.2050000000000001</v>
      </c>
      <c r="I609" s="13">
        <f t="shared" si="10"/>
        <v>3.3787644787644791</v>
      </c>
    </row>
    <row r="610" spans="2:9">
      <c r="C610" s="46">
        <v>1.137</v>
      </c>
      <c r="D610" s="3">
        <v>109.4</v>
      </c>
      <c r="E610" s="3">
        <v>87.55</v>
      </c>
      <c r="F610" s="3">
        <v>26.72</v>
      </c>
      <c r="G610" s="3">
        <v>505</v>
      </c>
      <c r="H610" s="3">
        <v>1.1519999999999999</v>
      </c>
      <c r="I610" s="13">
        <f t="shared" si="10"/>
        <v>3.2765718562874251</v>
      </c>
    </row>
    <row r="611" spans="2:9">
      <c r="C611" s="46">
        <v>1.1339999999999999</v>
      </c>
      <c r="D611" s="3">
        <v>120.5</v>
      </c>
      <c r="E611" s="3">
        <v>87.64</v>
      </c>
      <c r="F611" s="3">
        <v>26.22</v>
      </c>
      <c r="G611" s="3">
        <v>488</v>
      </c>
      <c r="H611" s="3">
        <v>1.1499999999999999</v>
      </c>
      <c r="I611" s="13">
        <f t="shared" si="10"/>
        <v>3.3424866514111367</v>
      </c>
    </row>
    <row r="612" spans="2:9">
      <c r="C612" s="46">
        <v>1.141</v>
      </c>
      <c r="D612" s="3">
        <v>119.3</v>
      </c>
      <c r="E612" s="3">
        <v>87.75</v>
      </c>
      <c r="F612" s="3">
        <v>26.09</v>
      </c>
      <c r="G612" s="3">
        <v>507.2</v>
      </c>
      <c r="H612" s="3">
        <v>1.1080000000000001</v>
      </c>
      <c r="I612" s="13">
        <f t="shared" si="10"/>
        <v>3.363357608279034</v>
      </c>
    </row>
    <row r="613" spans="2:9">
      <c r="C613" s="46">
        <v>1.137</v>
      </c>
      <c r="D613" s="3">
        <v>102.5</v>
      </c>
      <c r="E613" s="3">
        <v>87.13</v>
      </c>
      <c r="F613" s="3">
        <v>25.85</v>
      </c>
      <c r="G613" s="3">
        <v>477.8</v>
      </c>
      <c r="H613" s="3">
        <v>1.1100000000000001</v>
      </c>
      <c r="I613" s="13">
        <f t="shared" si="10"/>
        <v>3.3705996131528044</v>
      </c>
    </row>
    <row r="614" spans="2:9">
      <c r="C614" s="46">
        <v>1.115</v>
      </c>
      <c r="D614" s="3">
        <v>107.6</v>
      </c>
      <c r="E614" s="3">
        <v>87.33</v>
      </c>
      <c r="F614" s="3">
        <v>26.23</v>
      </c>
      <c r="G614" s="3">
        <v>501.2</v>
      </c>
      <c r="H614" s="3">
        <v>1.0920000000000001</v>
      </c>
      <c r="I614" s="13">
        <f t="shared" si="10"/>
        <v>3.3293938238658023</v>
      </c>
    </row>
    <row r="615" spans="2:9">
      <c r="C615" s="46">
        <v>1.1240000000000001</v>
      </c>
      <c r="D615" s="3">
        <v>103.6</v>
      </c>
      <c r="E615" s="3">
        <v>88.42</v>
      </c>
      <c r="F615" s="3">
        <v>25.85</v>
      </c>
      <c r="G615" s="3">
        <v>487.2</v>
      </c>
      <c r="H615" s="3">
        <v>1.0329999999999999</v>
      </c>
      <c r="I615" s="13">
        <f t="shared" si="10"/>
        <v>3.4205029013539652</v>
      </c>
    </row>
    <row r="616" spans="2:9">
      <c r="C616" s="46">
        <v>1.1200000000000001</v>
      </c>
      <c r="D616" s="3">
        <v>105.2</v>
      </c>
      <c r="E616" s="3">
        <v>88.56</v>
      </c>
      <c r="F616" s="3">
        <v>26.41</v>
      </c>
      <c r="G616" s="3">
        <v>480.7</v>
      </c>
      <c r="H616" s="3">
        <v>1.0169999999999999</v>
      </c>
      <c r="I616" s="13">
        <f t="shared" si="10"/>
        <v>3.3532752745172285</v>
      </c>
    </row>
    <row r="617" spans="2:9">
      <c r="C617" s="46">
        <v>1.1080000000000001</v>
      </c>
      <c r="D617" s="3">
        <v>95.1</v>
      </c>
      <c r="E617" s="3">
        <v>87.79</v>
      </c>
      <c r="F617" s="3">
        <v>26.35</v>
      </c>
      <c r="G617" s="3">
        <v>487</v>
      </c>
      <c r="H617" s="3">
        <v>1.0469999999999999</v>
      </c>
      <c r="I617" s="13">
        <f t="shared" si="10"/>
        <v>3.3316888045540796</v>
      </c>
    </row>
    <row r="618" spans="2:9">
      <c r="C618" s="46">
        <v>1.147</v>
      </c>
      <c r="D618" s="3">
        <v>124.2</v>
      </c>
      <c r="E618" s="3">
        <v>87.93</v>
      </c>
      <c r="F618" s="3">
        <v>26.91</v>
      </c>
      <c r="G618" s="3">
        <v>487.7</v>
      </c>
      <c r="H618" s="3">
        <v>1.012</v>
      </c>
      <c r="I618" s="13">
        <f t="shared" si="10"/>
        <v>3.2675585284280939</v>
      </c>
    </row>
    <row r="619" spans="2:9">
      <c r="C619" s="46">
        <v>1.127</v>
      </c>
      <c r="D619" s="3">
        <v>97.8</v>
      </c>
      <c r="E619" s="3">
        <v>88.03</v>
      </c>
      <c r="F619" s="3">
        <v>26.72</v>
      </c>
      <c r="G619" s="3">
        <v>510.5</v>
      </c>
      <c r="H619" s="3">
        <v>0.98</v>
      </c>
      <c r="I619" s="13">
        <f t="shared" si="10"/>
        <v>3.2945359281437128</v>
      </c>
    </row>
    <row r="620" spans="2:9">
      <c r="C620" s="46">
        <v>1.1339999999999999</v>
      </c>
      <c r="D620" s="3">
        <v>107.2</v>
      </c>
      <c r="E620" s="3">
        <v>88.08</v>
      </c>
      <c r="F620" s="3">
        <v>26.65</v>
      </c>
      <c r="G620" s="3">
        <v>487.2</v>
      </c>
      <c r="H620" s="3">
        <v>0.96</v>
      </c>
      <c r="I620" s="13">
        <f t="shared" si="10"/>
        <v>3.3050656660412758</v>
      </c>
    </row>
    <row r="621" spans="2:9">
      <c r="C621" s="46">
        <v>1.1579999999999999</v>
      </c>
      <c r="D621" s="3">
        <v>112.5</v>
      </c>
      <c r="E621" s="3">
        <v>88.13</v>
      </c>
      <c r="F621" s="3">
        <v>26.62</v>
      </c>
      <c r="G621" s="3">
        <v>497.1</v>
      </c>
      <c r="H621" s="3">
        <v>1.0009999999999999</v>
      </c>
      <c r="I621" s="13">
        <f t="shared" si="10"/>
        <v>3.3106686701728023</v>
      </c>
    </row>
    <row r="622" spans="2:9">
      <c r="B622" s="16">
        <v>32</v>
      </c>
      <c r="C622" s="47">
        <v>2.9180000000000001</v>
      </c>
      <c r="D622" s="25">
        <v>169</v>
      </c>
      <c r="E622" s="16">
        <v>80</v>
      </c>
      <c r="F622" s="16">
        <v>22.5</v>
      </c>
      <c r="G622" s="16">
        <v>372.2</v>
      </c>
      <c r="H622" s="16">
        <v>1.1579999999999999</v>
      </c>
      <c r="I622" s="13">
        <f t="shared" si="10"/>
        <v>3.5555555555555554</v>
      </c>
    </row>
    <row r="623" spans="2:9">
      <c r="C623" s="46">
        <v>2.9449999999999998</v>
      </c>
      <c r="D623" s="3">
        <v>81.86</v>
      </c>
      <c r="E623" s="3">
        <v>80.52</v>
      </c>
      <c r="F623" s="3">
        <v>22.9</v>
      </c>
      <c r="G623" s="3">
        <v>369.9</v>
      </c>
      <c r="H623" s="3">
        <v>1.1859999999999999</v>
      </c>
      <c r="I623" s="13">
        <f t="shared" si="10"/>
        <v>3.5161572052401748</v>
      </c>
    </row>
    <row r="624" spans="2:9">
      <c r="C624" s="46">
        <v>2.9740000000000002</v>
      </c>
      <c r="D624" s="3">
        <v>109.1</v>
      </c>
      <c r="E624" s="3">
        <v>79.650000000000006</v>
      </c>
      <c r="F624" s="3">
        <v>22.58</v>
      </c>
      <c r="G624" s="3">
        <v>378.2</v>
      </c>
      <c r="H624" s="3">
        <v>1.238</v>
      </c>
      <c r="I624" s="13">
        <f t="shared" si="10"/>
        <v>3.5274579273693538</v>
      </c>
    </row>
    <row r="625" spans="3:9">
      <c r="C625" s="46">
        <v>2.9590000000000001</v>
      </c>
      <c r="D625" s="3">
        <v>125.6</v>
      </c>
      <c r="E625" s="3">
        <v>80.209999999999994</v>
      </c>
      <c r="F625" s="3">
        <v>22.42</v>
      </c>
      <c r="G625" s="3">
        <v>370.8</v>
      </c>
      <c r="H625" s="3">
        <v>1.1819999999999999</v>
      </c>
      <c r="I625" s="13">
        <f t="shared" si="10"/>
        <v>3.5776092774308648</v>
      </c>
    </row>
    <row r="626" spans="3:9">
      <c r="C626" s="46">
        <v>2.9580000000000002</v>
      </c>
      <c r="D626" s="3">
        <v>161.30000000000001</v>
      </c>
      <c r="E626" s="3">
        <v>80.38</v>
      </c>
      <c r="F626" s="3">
        <v>22.51</v>
      </c>
      <c r="G626" s="3">
        <v>373.2</v>
      </c>
      <c r="H626" s="3">
        <v>1.242</v>
      </c>
      <c r="I626" s="13">
        <f t="shared" si="10"/>
        <v>3.5708573967125719</v>
      </c>
    </row>
    <row r="627" spans="3:9">
      <c r="C627" s="46">
        <v>2.9649999999999999</v>
      </c>
      <c r="D627" s="3">
        <v>173.7</v>
      </c>
      <c r="E627" s="3">
        <v>80.45</v>
      </c>
      <c r="F627" s="3">
        <v>22.95</v>
      </c>
      <c r="G627" s="3">
        <v>381.1</v>
      </c>
      <c r="H627" s="3">
        <v>1.2150000000000001</v>
      </c>
      <c r="I627" s="13">
        <f t="shared" si="10"/>
        <v>3.505446623093682</v>
      </c>
    </row>
    <row r="628" spans="3:9">
      <c r="C628" s="46">
        <v>2.9220000000000002</v>
      </c>
      <c r="D628" s="3">
        <v>152.9</v>
      </c>
      <c r="E628" s="3">
        <v>80.63</v>
      </c>
      <c r="F628" s="3">
        <v>22.83</v>
      </c>
      <c r="G628" s="3">
        <v>373.5</v>
      </c>
      <c r="H628" s="3">
        <v>1.115</v>
      </c>
      <c r="I628" s="13">
        <f t="shared" si="10"/>
        <v>3.5317564607971965</v>
      </c>
    </row>
    <row r="629" spans="3:9">
      <c r="C629" s="46">
        <v>2.9289999999999998</v>
      </c>
      <c r="D629" s="3">
        <v>241</v>
      </c>
      <c r="E629" s="3">
        <v>80.8</v>
      </c>
      <c r="F629" s="3">
        <v>22.67</v>
      </c>
      <c r="G629" s="3">
        <v>387</v>
      </c>
      <c r="H629" s="3">
        <v>1.101</v>
      </c>
      <c r="I629" s="13">
        <f t="shared" si="10"/>
        <v>3.5641817379797085</v>
      </c>
    </row>
    <row r="630" spans="3:9">
      <c r="C630" s="46">
        <v>2.8929999999999998</v>
      </c>
      <c r="D630" s="3">
        <v>113.5</v>
      </c>
      <c r="E630" s="3">
        <v>80.63</v>
      </c>
      <c r="F630" s="3">
        <v>22.14</v>
      </c>
      <c r="G630" s="3">
        <v>371.4</v>
      </c>
      <c r="H630" s="3">
        <v>1.1180000000000001</v>
      </c>
      <c r="I630" s="13">
        <f t="shared" si="10"/>
        <v>3.6418247515808488</v>
      </c>
    </row>
    <row r="631" spans="3:9">
      <c r="C631" s="46">
        <v>2.944</v>
      </c>
      <c r="D631" s="3">
        <v>120.7</v>
      </c>
      <c r="E631" s="3">
        <v>80.52</v>
      </c>
      <c r="F631" s="3">
        <v>22.01</v>
      </c>
      <c r="G631" s="3">
        <v>373.5</v>
      </c>
      <c r="H631" s="3">
        <v>1.0640000000000001</v>
      </c>
      <c r="I631" s="13">
        <f t="shared" si="10"/>
        <v>3.65833711949114</v>
      </c>
    </row>
    <row r="632" spans="3:9">
      <c r="C632" s="46">
        <v>2.8879999999999999</v>
      </c>
      <c r="D632" s="3">
        <v>167.6</v>
      </c>
      <c r="E632" s="3">
        <v>80.599999999999994</v>
      </c>
      <c r="F632" s="3">
        <v>22.74</v>
      </c>
      <c r="G632" s="3">
        <v>373.9</v>
      </c>
      <c r="H632" s="3">
        <v>1.085</v>
      </c>
      <c r="I632" s="13">
        <f t="shared" si="10"/>
        <v>3.544415127528584</v>
      </c>
    </row>
    <row r="633" spans="3:9">
      <c r="C633" s="46">
        <v>2.9180000000000001</v>
      </c>
      <c r="D633" s="3">
        <v>119.7</v>
      </c>
      <c r="E633" s="3">
        <v>80.25</v>
      </c>
      <c r="F633" s="3">
        <v>22.59</v>
      </c>
      <c r="G633" s="3">
        <v>392.3</v>
      </c>
      <c r="H633" s="3">
        <v>1.26</v>
      </c>
      <c r="I633" s="13">
        <f t="shared" si="10"/>
        <v>3.5524568393094289</v>
      </c>
    </row>
    <row r="634" spans="3:9">
      <c r="C634" s="46">
        <v>2.9260000000000002</v>
      </c>
      <c r="D634" s="3">
        <v>132.69999999999999</v>
      </c>
      <c r="E634" s="3">
        <v>79.62</v>
      </c>
      <c r="F634" s="3">
        <v>22.44</v>
      </c>
      <c r="G634" s="3">
        <v>373.1</v>
      </c>
      <c r="H634" s="3">
        <v>1.32</v>
      </c>
      <c r="I634" s="13">
        <f t="shared" si="10"/>
        <v>3.5481283422459895</v>
      </c>
    </row>
    <row r="635" spans="3:9">
      <c r="C635" s="46">
        <v>2.9140000000000001</v>
      </c>
      <c r="D635" s="3">
        <v>167.3</v>
      </c>
      <c r="E635" s="3">
        <v>79.97</v>
      </c>
      <c r="F635" s="3">
        <v>22.15</v>
      </c>
      <c r="G635" s="3">
        <v>376.1</v>
      </c>
      <c r="H635" s="3">
        <v>1.3</v>
      </c>
      <c r="I635" s="13">
        <f t="shared" si="10"/>
        <v>3.6103837471783295</v>
      </c>
    </row>
    <row r="636" spans="3:9">
      <c r="C636" s="46">
        <v>2.8889999999999998</v>
      </c>
      <c r="D636" s="3">
        <v>114</v>
      </c>
      <c r="E636" s="3">
        <v>80.400000000000006</v>
      </c>
      <c r="F636" s="3">
        <v>22.54</v>
      </c>
      <c r="G636" s="3">
        <v>368.3</v>
      </c>
      <c r="H636" s="3">
        <v>1.2869999999999999</v>
      </c>
      <c r="I636" s="13">
        <f t="shared" si="10"/>
        <v>3.5669920141969835</v>
      </c>
    </row>
    <row r="637" spans="3:9">
      <c r="C637" s="46">
        <v>2.88</v>
      </c>
      <c r="D637" s="3">
        <v>114.1</v>
      </c>
      <c r="E637" s="3">
        <v>80.599999999999994</v>
      </c>
      <c r="F637" s="3">
        <v>22.57</v>
      </c>
      <c r="G637" s="3">
        <v>381.5</v>
      </c>
      <c r="H637" s="3">
        <v>1.2689999999999999</v>
      </c>
      <c r="I637" s="13">
        <f t="shared" si="10"/>
        <v>3.5711120957022593</v>
      </c>
    </row>
    <row r="638" spans="3:9">
      <c r="C638" s="46">
        <v>2.8849999999999998</v>
      </c>
      <c r="D638" s="3">
        <v>100.8</v>
      </c>
      <c r="E638" s="3">
        <v>80.87</v>
      </c>
      <c r="F638" s="3">
        <v>22.25</v>
      </c>
      <c r="G638" s="3">
        <v>380.8</v>
      </c>
      <c r="H638" s="3">
        <v>1.2609999999999999</v>
      </c>
      <c r="I638" s="13">
        <f t="shared" si="10"/>
        <v>3.6346067415730339</v>
      </c>
    </row>
    <row r="639" spans="3:9">
      <c r="C639" s="46">
        <v>2.927</v>
      </c>
      <c r="D639" s="3">
        <v>154.30000000000001</v>
      </c>
      <c r="E639" s="3">
        <v>80.099999999999994</v>
      </c>
      <c r="F639" s="3">
        <v>22.11</v>
      </c>
      <c r="G639" s="3">
        <v>364.5</v>
      </c>
      <c r="H639" s="3">
        <v>1.3089999999999999</v>
      </c>
      <c r="I639" s="13">
        <f t="shared" si="10"/>
        <v>3.6227951153324285</v>
      </c>
    </row>
    <row r="640" spans="3:9">
      <c r="C640" s="46">
        <v>2.9140000000000001</v>
      </c>
      <c r="D640" s="3">
        <v>129.69999999999999</v>
      </c>
      <c r="E640" s="3">
        <v>80.650000000000006</v>
      </c>
      <c r="F640" s="3">
        <v>22.97</v>
      </c>
      <c r="G640" s="3">
        <v>381.2</v>
      </c>
      <c r="H640" s="3">
        <v>1.238</v>
      </c>
      <c r="I640" s="13">
        <f t="shared" si="10"/>
        <v>3.5111014366565088</v>
      </c>
    </row>
    <row r="641" spans="2:9">
      <c r="C641" s="46">
        <v>2.9260000000000002</v>
      </c>
      <c r="D641" s="3">
        <v>109.1</v>
      </c>
      <c r="E641" s="3">
        <v>80.7</v>
      </c>
      <c r="F641" s="3">
        <v>21.12</v>
      </c>
      <c r="G641" s="3">
        <v>381.1</v>
      </c>
      <c r="H641" s="3">
        <v>1.1859999999999999</v>
      </c>
      <c r="I641" s="13">
        <f t="shared" si="10"/>
        <v>3.8210227272727271</v>
      </c>
    </row>
    <row r="642" spans="2:9">
      <c r="B642" s="16">
        <v>33</v>
      </c>
      <c r="C642" s="47">
        <v>1.88</v>
      </c>
      <c r="D642" s="25">
        <v>125.3</v>
      </c>
      <c r="E642" s="16">
        <v>88.4</v>
      </c>
      <c r="F642" s="16">
        <v>23.61</v>
      </c>
      <c r="G642" s="16">
        <v>302.7</v>
      </c>
      <c r="H642" s="16">
        <v>1.681</v>
      </c>
      <c r="I642" s="13">
        <f t="shared" si="10"/>
        <v>3.7441761965268956</v>
      </c>
    </row>
    <row r="643" spans="2:9">
      <c r="C643" s="46">
        <v>1.8540000000000001</v>
      </c>
      <c r="D643" s="3">
        <v>108.5</v>
      </c>
      <c r="E643" s="3">
        <v>89.3</v>
      </c>
      <c r="F643" s="3">
        <v>25</v>
      </c>
      <c r="G643" s="3">
        <v>322.10000000000002</v>
      </c>
      <c r="H643" s="3">
        <v>1.641</v>
      </c>
      <c r="I643" s="13">
        <f t="shared" si="10"/>
        <v>3.5720000000000001</v>
      </c>
    </row>
    <row r="644" spans="2:9">
      <c r="C644" s="46">
        <v>1.871</v>
      </c>
      <c r="D644" s="3">
        <v>60.41</v>
      </c>
      <c r="E644" s="3">
        <v>88.59</v>
      </c>
      <c r="F644" s="3">
        <v>24.83</v>
      </c>
      <c r="G644" s="3">
        <v>308.2</v>
      </c>
      <c r="H644" s="3">
        <v>1.571</v>
      </c>
      <c r="I644" s="13">
        <f t="shared" si="10"/>
        <v>3.5678614579138141</v>
      </c>
    </row>
    <row r="645" spans="2:9">
      <c r="C645" s="46">
        <v>1.8220000000000001</v>
      </c>
      <c r="D645" s="3">
        <v>67.89</v>
      </c>
      <c r="E645" s="3">
        <v>89.49</v>
      </c>
      <c r="F645" s="3">
        <v>24.96</v>
      </c>
      <c r="G645" s="3">
        <v>306.10000000000002</v>
      </c>
      <c r="H645" s="3">
        <v>1.595</v>
      </c>
      <c r="I645" s="13">
        <f t="shared" si="10"/>
        <v>3.5853365384615383</v>
      </c>
    </row>
    <row r="646" spans="2:9">
      <c r="C646" s="46">
        <v>1.86</v>
      </c>
      <c r="D646" s="3">
        <v>81.400000000000006</v>
      </c>
      <c r="E646" s="3">
        <v>89.33</v>
      </c>
      <c r="F646" s="3">
        <v>24.85</v>
      </c>
      <c r="G646" s="3">
        <v>310.60000000000002</v>
      </c>
      <c r="H646" s="3">
        <v>1.6759999999999999</v>
      </c>
      <c r="I646" s="13">
        <f t="shared" si="10"/>
        <v>3.5947686116700197</v>
      </c>
    </row>
    <row r="647" spans="2:9">
      <c r="C647" s="46">
        <v>1.79</v>
      </c>
      <c r="D647" s="3">
        <v>89.19</v>
      </c>
      <c r="E647" s="3">
        <v>89.47</v>
      </c>
      <c r="F647" s="3">
        <v>24.7</v>
      </c>
      <c r="G647" s="3">
        <v>328.1</v>
      </c>
      <c r="H647" s="3">
        <v>1.659</v>
      </c>
      <c r="I647" s="13">
        <f t="shared" si="10"/>
        <v>3.622267206477733</v>
      </c>
    </row>
    <row r="648" spans="2:9">
      <c r="C648" s="46">
        <v>1.706</v>
      </c>
      <c r="D648" s="3">
        <v>101.4</v>
      </c>
      <c r="E648" s="3">
        <v>89.46</v>
      </c>
      <c r="F648" s="3">
        <v>24.84</v>
      </c>
      <c r="G648" s="3">
        <v>304.3</v>
      </c>
      <c r="H648" s="3">
        <v>1.6970000000000001</v>
      </c>
      <c r="I648" s="13">
        <f t="shared" si="10"/>
        <v>3.6014492753623184</v>
      </c>
    </row>
    <row r="649" spans="2:9">
      <c r="C649" s="46">
        <v>1.78</v>
      </c>
      <c r="D649" s="3">
        <v>97.36</v>
      </c>
      <c r="E649" s="3">
        <v>89.3</v>
      </c>
      <c r="F649" s="3">
        <v>24.79</v>
      </c>
      <c r="G649" s="3">
        <v>327.9</v>
      </c>
      <c r="H649" s="3">
        <v>1.694</v>
      </c>
      <c r="I649" s="13">
        <f t="shared" si="10"/>
        <v>3.6022589753933039</v>
      </c>
    </row>
    <row r="650" spans="2:9">
      <c r="C650" s="46">
        <v>1.823</v>
      </c>
      <c r="D650" s="3">
        <v>86.54</v>
      </c>
      <c r="E650" s="3">
        <v>89.45</v>
      </c>
      <c r="F650" s="3">
        <v>24.19</v>
      </c>
      <c r="G650" s="3">
        <v>317.2</v>
      </c>
      <c r="H650" s="3">
        <v>1.7030000000000001</v>
      </c>
      <c r="I650" s="13">
        <f t="shared" si="10"/>
        <v>3.6978090119884248</v>
      </c>
    </row>
    <row r="651" spans="2:9">
      <c r="C651" s="46">
        <v>1.86</v>
      </c>
      <c r="D651" s="3">
        <v>132.5</v>
      </c>
      <c r="E651" s="3">
        <v>89.74</v>
      </c>
      <c r="F651" s="3">
        <v>24.61</v>
      </c>
      <c r="G651" s="3">
        <v>317.89999999999998</v>
      </c>
      <c r="H651" s="3">
        <v>1.665</v>
      </c>
      <c r="I651" s="13">
        <f t="shared" si="10"/>
        <v>3.6464851686306377</v>
      </c>
    </row>
    <row r="652" spans="2:9">
      <c r="C652" s="46">
        <v>1.887</v>
      </c>
      <c r="D652" s="3">
        <v>83.47</v>
      </c>
      <c r="E652" s="3">
        <v>89.44</v>
      </c>
      <c r="F652" s="3">
        <v>25.33</v>
      </c>
      <c r="G652" s="3">
        <v>313.39999999999998</v>
      </c>
      <c r="H652" s="3">
        <v>1.69</v>
      </c>
      <c r="I652" s="13">
        <f t="shared" si="10"/>
        <v>3.5309909198578762</v>
      </c>
    </row>
    <row r="653" spans="2:9">
      <c r="C653" s="46">
        <v>1.871</v>
      </c>
      <c r="D653" s="3">
        <v>71.959999999999994</v>
      </c>
      <c r="E653" s="3">
        <v>89.14</v>
      </c>
      <c r="F653" s="3">
        <v>24.84</v>
      </c>
      <c r="G653" s="3">
        <v>318.89999999999998</v>
      </c>
      <c r="H653" s="3">
        <v>1.6859999999999999</v>
      </c>
      <c r="I653" s="13">
        <f t="shared" si="10"/>
        <v>3.5885668276972624</v>
      </c>
    </row>
    <row r="654" spans="2:9">
      <c r="C654" s="46">
        <v>1.8839999999999999</v>
      </c>
      <c r="D654" s="3">
        <v>79.98</v>
      </c>
      <c r="E654" s="3">
        <v>89.91</v>
      </c>
      <c r="F654" s="3">
        <v>24.65</v>
      </c>
      <c r="G654" s="3">
        <v>335.2</v>
      </c>
      <c r="H654" s="3">
        <v>1.64</v>
      </c>
      <c r="I654" s="13">
        <f t="shared" si="10"/>
        <v>3.6474645030425963</v>
      </c>
    </row>
    <row r="655" spans="2:9">
      <c r="C655" s="46">
        <v>1.8879999999999999</v>
      </c>
      <c r="D655" s="3">
        <v>73.86</v>
      </c>
      <c r="E655" s="3">
        <v>89.17</v>
      </c>
      <c r="F655" s="3">
        <v>24.7</v>
      </c>
      <c r="G655" s="3">
        <v>311.39999999999998</v>
      </c>
      <c r="H655" s="3">
        <v>1.609</v>
      </c>
      <c r="I655" s="13">
        <f t="shared" si="10"/>
        <v>3.6101214574898788</v>
      </c>
    </row>
    <row r="656" spans="2:9">
      <c r="C656" s="46">
        <v>1.8939999999999999</v>
      </c>
      <c r="D656" s="3">
        <v>125.6</v>
      </c>
      <c r="E656" s="3">
        <v>89.61</v>
      </c>
      <c r="F656" s="3">
        <v>24.8</v>
      </c>
      <c r="G656" s="3">
        <v>335.4</v>
      </c>
      <c r="H656" s="3">
        <v>1.6040000000000001</v>
      </c>
      <c r="I656" s="13">
        <f t="shared" si="10"/>
        <v>3.6133064516129032</v>
      </c>
    </row>
    <row r="657" spans="2:9">
      <c r="C657" s="46">
        <v>1.837</v>
      </c>
      <c r="D657" s="3">
        <v>87.91</v>
      </c>
      <c r="E657" s="3">
        <v>89</v>
      </c>
      <c r="F657" s="3">
        <v>25.41</v>
      </c>
      <c r="G657" s="3">
        <v>324.10000000000002</v>
      </c>
      <c r="H657" s="3">
        <v>1.583</v>
      </c>
      <c r="I657" s="13">
        <f t="shared" si="10"/>
        <v>3.5025580480125935</v>
      </c>
    </row>
    <row r="658" spans="2:9">
      <c r="C658" s="46">
        <v>1.8180000000000001</v>
      </c>
      <c r="D658" s="3">
        <v>138.69999999999999</v>
      </c>
      <c r="E658" s="3">
        <v>89.09</v>
      </c>
      <c r="F658" s="3">
        <v>25.38</v>
      </c>
      <c r="G658" s="3">
        <v>309.2</v>
      </c>
      <c r="H658" s="3">
        <v>1.55</v>
      </c>
      <c r="I658" s="13">
        <f t="shared" si="10"/>
        <v>3.5102442868400319</v>
      </c>
    </row>
    <row r="659" spans="2:9">
      <c r="C659" s="46">
        <v>1.8480000000000001</v>
      </c>
      <c r="D659" s="3">
        <v>71.510000000000005</v>
      </c>
      <c r="E659" s="3">
        <v>88.56</v>
      </c>
      <c r="F659" s="3">
        <v>25.03</v>
      </c>
      <c r="G659" s="3">
        <v>304</v>
      </c>
      <c r="H659" s="3">
        <v>1.5980000000000001</v>
      </c>
      <c r="I659" s="13">
        <f t="shared" si="10"/>
        <v>3.5381542149420695</v>
      </c>
    </row>
    <row r="660" spans="2:9">
      <c r="C660" s="46">
        <v>1.819</v>
      </c>
      <c r="D660" s="3">
        <v>54.74</v>
      </c>
      <c r="E660" s="3">
        <v>89.01</v>
      </c>
      <c r="F660" s="3">
        <v>25.22</v>
      </c>
      <c r="G660" s="3">
        <v>328.2</v>
      </c>
      <c r="H660" s="3">
        <v>1.552</v>
      </c>
      <c r="I660" s="13">
        <f t="shared" si="10"/>
        <v>3.5293417922283905</v>
      </c>
    </row>
    <row r="661" spans="2:9">
      <c r="C661" s="46">
        <v>1.7769999999999999</v>
      </c>
      <c r="D661" s="3">
        <v>98.79</v>
      </c>
      <c r="E661" s="3">
        <v>88.87</v>
      </c>
      <c r="F661" s="3">
        <v>25.31</v>
      </c>
      <c r="G661" s="3">
        <v>312.60000000000002</v>
      </c>
      <c r="H661" s="3">
        <v>1.595</v>
      </c>
      <c r="I661" s="13">
        <f t="shared" si="10"/>
        <v>3.5112603713947061</v>
      </c>
    </row>
    <row r="662" spans="2:9">
      <c r="B662" s="16">
        <v>34</v>
      </c>
      <c r="C662" s="47">
        <v>2.0179999999999998</v>
      </c>
      <c r="D662" s="27">
        <v>94.4</v>
      </c>
      <c r="E662" s="16">
        <v>101.4</v>
      </c>
      <c r="F662" s="16">
        <v>18.75</v>
      </c>
      <c r="G662" s="16">
        <v>369.4</v>
      </c>
      <c r="H662" s="16">
        <v>6.3869999999999996</v>
      </c>
      <c r="I662" s="13">
        <f t="shared" ref="I662:I725" si="11">E662/F662</f>
        <v>5.4080000000000004</v>
      </c>
    </row>
    <row r="663" spans="2:9">
      <c r="C663" s="46">
        <v>1.9379999999999999</v>
      </c>
      <c r="D663" s="23">
        <v>102.4</v>
      </c>
      <c r="E663" s="3">
        <v>101.7</v>
      </c>
      <c r="F663" s="3">
        <v>18.829999999999998</v>
      </c>
      <c r="G663" s="3">
        <v>375.3</v>
      </c>
      <c r="H663" s="3">
        <v>5.625</v>
      </c>
      <c r="I663" s="13">
        <f t="shared" si="11"/>
        <v>5.4009559214020184</v>
      </c>
    </row>
    <row r="664" spans="2:9">
      <c r="C664" s="46">
        <v>1.9630000000000001</v>
      </c>
      <c r="D664" s="23">
        <v>100.6</v>
      </c>
      <c r="E664" s="3">
        <v>101.8</v>
      </c>
      <c r="F664" s="3">
        <v>18.14</v>
      </c>
      <c r="G664" s="3">
        <v>368.4</v>
      </c>
      <c r="H664" s="3">
        <v>6.2320000000000002</v>
      </c>
      <c r="I664" s="13">
        <f t="shared" si="11"/>
        <v>5.6119073869900769</v>
      </c>
    </row>
    <row r="665" spans="2:9">
      <c r="C665" s="46">
        <v>1.9379999999999999</v>
      </c>
      <c r="D665" s="23">
        <v>105.4</v>
      </c>
      <c r="E665" s="3">
        <v>101.6</v>
      </c>
      <c r="F665" s="3">
        <v>18.670000000000002</v>
      </c>
      <c r="G665" s="3">
        <v>385.7</v>
      </c>
      <c r="H665" s="3">
        <v>5.5149999999999997</v>
      </c>
      <c r="I665" s="13">
        <f t="shared" si="11"/>
        <v>5.4418853776111398</v>
      </c>
    </row>
    <row r="666" spans="2:9">
      <c r="C666" s="46">
        <v>1.9690000000000001</v>
      </c>
      <c r="D666" s="23">
        <v>106.3</v>
      </c>
      <c r="E666" s="3">
        <v>101.5</v>
      </c>
      <c r="F666" s="3">
        <v>18.350000000000001</v>
      </c>
      <c r="G666" s="3">
        <v>382.7</v>
      </c>
      <c r="H666" s="3">
        <v>6.8769999999999998</v>
      </c>
      <c r="I666" s="13">
        <f t="shared" si="11"/>
        <v>5.53133514986376</v>
      </c>
    </row>
    <row r="667" spans="2:9">
      <c r="C667" s="46">
        <v>1.8380000000000001</v>
      </c>
      <c r="D667" s="23">
        <v>116.1</v>
      </c>
      <c r="E667" s="3">
        <v>101.6</v>
      </c>
      <c r="F667" s="3">
        <v>18.46</v>
      </c>
      <c r="G667" s="3">
        <v>378.9</v>
      </c>
      <c r="H667" s="3">
        <v>6.3869999999999996</v>
      </c>
      <c r="I667" s="13">
        <f t="shared" si="11"/>
        <v>5.5037919826652217</v>
      </c>
    </row>
    <row r="668" spans="2:9">
      <c r="C668" s="46">
        <v>1.976</v>
      </c>
      <c r="D668" s="23">
        <v>112.7</v>
      </c>
      <c r="E668" s="3">
        <v>101.8</v>
      </c>
      <c r="F668" s="3">
        <v>18.43</v>
      </c>
      <c r="G668" s="3">
        <v>373</v>
      </c>
      <c r="H668" s="3">
        <v>5.625</v>
      </c>
      <c r="I668" s="13">
        <f t="shared" si="11"/>
        <v>5.5236028214867066</v>
      </c>
    </row>
    <row r="669" spans="2:9">
      <c r="C669" s="46">
        <v>2.028</v>
      </c>
      <c r="D669" s="23">
        <v>125.3</v>
      </c>
      <c r="E669" s="3">
        <v>101.5</v>
      </c>
      <c r="F669" s="3">
        <v>18.149999999999999</v>
      </c>
      <c r="G669" s="3">
        <v>388.8</v>
      </c>
      <c r="H669" s="3">
        <v>5.7350000000000003</v>
      </c>
      <c r="I669" s="13">
        <f t="shared" si="11"/>
        <v>5.5922865013774112</v>
      </c>
    </row>
    <row r="670" spans="2:9">
      <c r="C670" s="46">
        <v>2.0609999999999999</v>
      </c>
      <c r="D670" s="23">
        <v>96.8</v>
      </c>
      <c r="E670" s="3">
        <v>101.3</v>
      </c>
      <c r="F670" s="3">
        <v>18.510000000000002</v>
      </c>
      <c r="G670" s="3">
        <v>375.3</v>
      </c>
      <c r="H670" s="3">
        <v>6.2240000000000002</v>
      </c>
      <c r="I670" s="13">
        <f t="shared" si="11"/>
        <v>5.4727174500270115</v>
      </c>
    </row>
    <row r="671" spans="2:9">
      <c r="C671" s="46">
        <v>2.0299999999999998</v>
      </c>
      <c r="D671" s="23">
        <v>103.8</v>
      </c>
      <c r="E671" s="3">
        <v>101.9</v>
      </c>
      <c r="F671" s="3">
        <v>18.329999999999998</v>
      </c>
      <c r="G671" s="3">
        <v>378.1</v>
      </c>
      <c r="H671" s="3">
        <v>5.7469999999999999</v>
      </c>
      <c r="I671" s="13">
        <f t="shared" si="11"/>
        <v>5.5591925804691771</v>
      </c>
    </row>
    <row r="672" spans="2:9">
      <c r="C672" s="46">
        <v>1.986</v>
      </c>
      <c r="D672" s="23">
        <v>103.7</v>
      </c>
      <c r="E672" s="3">
        <v>101.1</v>
      </c>
      <c r="F672" s="3">
        <v>18.16</v>
      </c>
      <c r="G672" s="3">
        <v>399.4</v>
      </c>
      <c r="H672" s="3">
        <v>6.6150000000000002</v>
      </c>
      <c r="I672" s="13">
        <f t="shared" si="11"/>
        <v>5.5671806167400879</v>
      </c>
    </row>
    <row r="673" spans="2:9">
      <c r="C673" s="46">
        <v>2.0529999999999999</v>
      </c>
      <c r="D673" s="23">
        <v>124.1</v>
      </c>
      <c r="E673" s="3">
        <v>100.1</v>
      </c>
      <c r="F673" s="3">
        <v>18.86</v>
      </c>
      <c r="G673" s="3">
        <v>368.8</v>
      </c>
      <c r="H673" s="3">
        <v>5.0640000000000001</v>
      </c>
      <c r="I673" s="13">
        <f t="shared" si="11"/>
        <v>5.3075291622481444</v>
      </c>
    </row>
    <row r="674" spans="2:9">
      <c r="C674" s="46">
        <v>2.02</v>
      </c>
      <c r="D674" s="23">
        <v>60.8</v>
      </c>
      <c r="E674" s="3">
        <v>100.9</v>
      </c>
      <c r="F674" s="3">
        <v>18.43</v>
      </c>
      <c r="G674" s="3">
        <v>377.3</v>
      </c>
      <c r="H674" s="3">
        <v>6.0789999999999997</v>
      </c>
      <c r="I674" s="13">
        <f t="shared" si="11"/>
        <v>5.4747693977211069</v>
      </c>
    </row>
    <row r="675" spans="2:9">
      <c r="C675" s="46">
        <v>2.0779999999999998</v>
      </c>
      <c r="D675" s="23">
        <v>100</v>
      </c>
      <c r="E675" s="3">
        <v>100.9</v>
      </c>
      <c r="F675" s="3">
        <v>18.28</v>
      </c>
      <c r="G675" s="3">
        <v>384.6</v>
      </c>
      <c r="H675" s="3">
        <v>6.8920000000000003</v>
      </c>
      <c r="I675" s="13">
        <f t="shared" si="11"/>
        <v>5.5196936542669581</v>
      </c>
    </row>
    <row r="676" spans="2:9">
      <c r="C676" s="46">
        <v>2.0609999999999999</v>
      </c>
      <c r="D676" s="23">
        <v>69.7</v>
      </c>
      <c r="E676" s="3">
        <v>101</v>
      </c>
      <c r="F676" s="3">
        <v>18.64</v>
      </c>
      <c r="G676" s="3">
        <v>384.2</v>
      </c>
      <c r="H676" s="3">
        <v>6.0789999999999997</v>
      </c>
      <c r="I676" s="13">
        <f t="shared" si="11"/>
        <v>5.4184549356223171</v>
      </c>
    </row>
    <row r="677" spans="2:9">
      <c r="C677" s="46">
        <v>1.976</v>
      </c>
      <c r="D677" s="23">
        <v>116.1</v>
      </c>
      <c r="E677" s="3">
        <v>100.9</v>
      </c>
      <c r="F677" s="3">
        <v>18.53</v>
      </c>
      <c r="G677" s="3">
        <v>366.8</v>
      </c>
      <c r="H677" s="3">
        <v>5.7350000000000003</v>
      </c>
      <c r="I677" s="13">
        <f t="shared" si="11"/>
        <v>5.4452239611440909</v>
      </c>
    </row>
    <row r="678" spans="2:9">
      <c r="C678" s="46">
        <v>1.899</v>
      </c>
      <c r="D678" s="23">
        <v>119.3</v>
      </c>
      <c r="E678" s="3">
        <v>101.4</v>
      </c>
      <c r="F678" s="3">
        <v>18.23</v>
      </c>
      <c r="G678" s="3">
        <v>382.7</v>
      </c>
      <c r="H678" s="3">
        <v>6.2240000000000002</v>
      </c>
      <c r="I678" s="13">
        <f t="shared" si="11"/>
        <v>5.5622600109709275</v>
      </c>
    </row>
    <row r="679" spans="2:9">
      <c r="C679" s="46">
        <v>1.9550000000000001</v>
      </c>
      <c r="D679" s="23">
        <v>104.7</v>
      </c>
      <c r="E679" s="3">
        <v>101.3</v>
      </c>
      <c r="F679" s="3">
        <v>18.05</v>
      </c>
      <c r="G679" s="3">
        <v>392.4</v>
      </c>
      <c r="H679" s="3">
        <v>6.077</v>
      </c>
      <c r="I679" s="13">
        <f t="shared" si="11"/>
        <v>5.6121883656509688</v>
      </c>
    </row>
    <row r="680" spans="2:9">
      <c r="C680" s="46">
        <v>1.897</v>
      </c>
      <c r="D680" s="23">
        <v>92.8</v>
      </c>
      <c r="E680" s="3">
        <v>101</v>
      </c>
      <c r="F680" s="3">
        <v>18.57</v>
      </c>
      <c r="G680" s="3">
        <v>366.1</v>
      </c>
      <c r="H680" s="3">
        <v>5.7469999999999999</v>
      </c>
      <c r="I680" s="13">
        <f t="shared" si="11"/>
        <v>5.4388799138395258</v>
      </c>
    </row>
    <row r="681" spans="2:9">
      <c r="C681" s="46">
        <v>1.833</v>
      </c>
      <c r="D681" s="23">
        <v>77.400000000000006</v>
      </c>
      <c r="E681" s="3">
        <v>101.7</v>
      </c>
      <c r="F681" s="3">
        <v>18.48</v>
      </c>
      <c r="G681" s="3">
        <v>386.3</v>
      </c>
      <c r="H681" s="3">
        <v>5.399</v>
      </c>
      <c r="I681" s="13">
        <f t="shared" si="11"/>
        <v>5.5032467532467528</v>
      </c>
    </row>
    <row r="682" spans="2:9">
      <c r="B682" s="16">
        <v>35</v>
      </c>
      <c r="C682" s="47">
        <v>1.466</v>
      </c>
      <c r="D682" s="25">
        <v>178</v>
      </c>
      <c r="E682" s="16">
        <v>83.45</v>
      </c>
      <c r="F682" s="16">
        <v>27.21</v>
      </c>
      <c r="G682" s="16">
        <v>607</v>
      </c>
      <c r="H682" s="16">
        <v>3.5880000000000001</v>
      </c>
      <c r="I682" s="13">
        <f t="shared" si="11"/>
        <v>3.0668871738331496</v>
      </c>
    </row>
    <row r="683" spans="2:9">
      <c r="C683" s="46">
        <v>1.4590000000000001</v>
      </c>
      <c r="D683" s="3">
        <v>152.19999999999999</v>
      </c>
      <c r="E683" s="3">
        <v>83.48</v>
      </c>
      <c r="F683" s="3">
        <v>27.13</v>
      </c>
      <c r="G683" s="3">
        <v>590.20000000000005</v>
      </c>
      <c r="H683" s="3">
        <v>3.641</v>
      </c>
      <c r="I683" s="13">
        <f t="shared" si="11"/>
        <v>3.077036490969407</v>
      </c>
    </row>
    <row r="684" spans="2:9">
      <c r="C684" s="46">
        <v>1.478</v>
      </c>
      <c r="D684" s="3">
        <v>147.30000000000001</v>
      </c>
      <c r="E684" s="3">
        <v>82.93</v>
      </c>
      <c r="F684" s="3">
        <v>27.04</v>
      </c>
      <c r="G684" s="3">
        <v>548.9</v>
      </c>
      <c r="H684" s="3">
        <v>3.7429999999999999</v>
      </c>
      <c r="I684" s="13">
        <f t="shared" si="11"/>
        <v>3.0669378698224854</v>
      </c>
    </row>
    <row r="685" spans="2:9">
      <c r="C685" s="46">
        <v>1.468</v>
      </c>
      <c r="D685" s="3">
        <v>167.8</v>
      </c>
      <c r="E685" s="3">
        <v>82.56</v>
      </c>
      <c r="F685" s="3">
        <v>27.12</v>
      </c>
      <c r="G685" s="3">
        <v>584.70000000000005</v>
      </c>
      <c r="H685" s="3">
        <v>2.593</v>
      </c>
      <c r="I685" s="13">
        <f t="shared" si="11"/>
        <v>3.0442477876106193</v>
      </c>
    </row>
    <row r="686" spans="2:9">
      <c r="C686" s="46">
        <v>1.47</v>
      </c>
      <c r="D686" s="3">
        <v>179.7</v>
      </c>
      <c r="E686" s="3">
        <v>82.34</v>
      </c>
      <c r="F686" s="3">
        <v>26.96</v>
      </c>
      <c r="G686" s="3">
        <v>557.4</v>
      </c>
      <c r="H686" s="3">
        <v>3.6459999999999999</v>
      </c>
      <c r="I686" s="13">
        <f t="shared" si="11"/>
        <v>3.0541543026706233</v>
      </c>
    </row>
    <row r="687" spans="2:9">
      <c r="C687" s="46">
        <v>1.4850000000000001</v>
      </c>
      <c r="D687" s="3">
        <v>149.69999999999999</v>
      </c>
      <c r="E687" s="3">
        <v>82.54</v>
      </c>
      <c r="F687" s="3">
        <v>27.3</v>
      </c>
      <c r="G687" s="3">
        <v>555.9</v>
      </c>
      <c r="H687" s="3">
        <v>3.6139999999999999</v>
      </c>
      <c r="I687" s="13">
        <f t="shared" si="11"/>
        <v>3.0234432234432238</v>
      </c>
    </row>
    <row r="688" spans="2:9">
      <c r="C688" s="46">
        <v>1.506</v>
      </c>
      <c r="D688" s="3">
        <v>154.80000000000001</v>
      </c>
      <c r="E688" s="3">
        <v>82.56</v>
      </c>
      <c r="F688" s="3">
        <v>27.4</v>
      </c>
      <c r="G688" s="3">
        <v>585</v>
      </c>
      <c r="H688" s="3">
        <v>3.6659999999999999</v>
      </c>
      <c r="I688" s="13">
        <f t="shared" si="11"/>
        <v>3.0131386861313869</v>
      </c>
    </row>
    <row r="689" spans="2:9">
      <c r="C689" s="46">
        <v>1.4930000000000001</v>
      </c>
      <c r="D689" s="3">
        <v>176</v>
      </c>
      <c r="E689" s="3">
        <v>83.09</v>
      </c>
      <c r="F689" s="3">
        <v>26.96</v>
      </c>
      <c r="G689" s="3">
        <v>546.1</v>
      </c>
      <c r="H689" s="3">
        <v>3.6589999999999998</v>
      </c>
      <c r="I689" s="13">
        <f t="shared" si="11"/>
        <v>3.081973293768546</v>
      </c>
    </row>
    <row r="690" spans="2:9">
      <c r="C690" s="46">
        <v>1.486</v>
      </c>
      <c r="D690" s="3">
        <v>180.9</v>
      </c>
      <c r="E690" s="3">
        <v>83.47</v>
      </c>
      <c r="F690" s="3">
        <v>27.3</v>
      </c>
      <c r="G690" s="3">
        <v>602.1</v>
      </c>
      <c r="H690" s="3">
        <v>3.645</v>
      </c>
      <c r="I690" s="13">
        <f t="shared" si="11"/>
        <v>3.0575091575091573</v>
      </c>
    </row>
    <row r="691" spans="2:9">
      <c r="C691" s="46">
        <v>1.4770000000000001</v>
      </c>
      <c r="D691" s="3">
        <v>168.3</v>
      </c>
      <c r="E691" s="3">
        <v>83.33</v>
      </c>
      <c r="F691" s="3">
        <v>27.12</v>
      </c>
      <c r="G691" s="3">
        <v>598.29999999999995</v>
      </c>
      <c r="H691" s="3">
        <v>3.718</v>
      </c>
      <c r="I691" s="13">
        <f t="shared" si="11"/>
        <v>3.0726401179941001</v>
      </c>
    </row>
    <row r="692" spans="2:9">
      <c r="C692" s="46">
        <v>1.4810000000000001</v>
      </c>
      <c r="D692" s="3">
        <v>162</v>
      </c>
      <c r="E692" s="3">
        <v>83.23</v>
      </c>
      <c r="F692" s="3">
        <v>27</v>
      </c>
      <c r="G692" s="3">
        <v>557.29999999999995</v>
      </c>
      <c r="H692" s="3">
        <v>3.758</v>
      </c>
      <c r="I692" s="13">
        <f t="shared" si="11"/>
        <v>3.0825925925925928</v>
      </c>
    </row>
    <row r="693" spans="2:9">
      <c r="C693" s="46">
        <v>1.4670000000000001</v>
      </c>
      <c r="D693" s="3">
        <v>173.3</v>
      </c>
      <c r="E693" s="3">
        <v>83.06</v>
      </c>
      <c r="F693" s="3">
        <v>27.47</v>
      </c>
      <c r="G693" s="3">
        <v>547.9</v>
      </c>
      <c r="H693" s="3">
        <v>3.5910000000000002</v>
      </c>
      <c r="I693" s="13">
        <f t="shared" si="11"/>
        <v>3.0236621769202769</v>
      </c>
    </row>
    <row r="694" spans="2:9">
      <c r="C694" s="46">
        <v>1.456</v>
      </c>
      <c r="D694" s="3">
        <v>174.5</v>
      </c>
      <c r="E694" s="3">
        <v>83.26</v>
      </c>
      <c r="F694" s="3">
        <v>27.38</v>
      </c>
      <c r="G694" s="3">
        <v>563.70000000000005</v>
      </c>
      <c r="H694" s="3">
        <v>3.64</v>
      </c>
      <c r="I694" s="13">
        <f t="shared" si="11"/>
        <v>3.0409057706355007</v>
      </c>
    </row>
    <row r="695" spans="2:9">
      <c r="C695" s="46">
        <v>1.43</v>
      </c>
      <c r="D695" s="3">
        <v>152.19999999999999</v>
      </c>
      <c r="E695" s="3">
        <v>82.99</v>
      </c>
      <c r="F695" s="3">
        <v>27.21</v>
      </c>
      <c r="G695" s="3">
        <v>553</v>
      </c>
      <c r="H695" s="3">
        <v>3.5880000000000001</v>
      </c>
      <c r="I695" s="13">
        <f t="shared" si="11"/>
        <v>3.0499816244027929</v>
      </c>
    </row>
    <row r="696" spans="2:9">
      <c r="C696" s="46">
        <v>1.421</v>
      </c>
      <c r="D696" s="3">
        <v>145.4</v>
      </c>
      <c r="E696" s="3">
        <v>82.96</v>
      </c>
      <c r="F696" s="3">
        <v>27.14</v>
      </c>
      <c r="G696" s="3">
        <v>571.9</v>
      </c>
      <c r="H696" s="3">
        <v>3.613</v>
      </c>
      <c r="I696" s="13">
        <f t="shared" si="11"/>
        <v>3.0567428150331613</v>
      </c>
    </row>
    <row r="697" spans="2:9">
      <c r="C697" s="46">
        <v>1.397</v>
      </c>
      <c r="D697" s="3">
        <v>168.6</v>
      </c>
      <c r="E697" s="3">
        <v>82.64</v>
      </c>
      <c r="F697" s="3">
        <v>27.05</v>
      </c>
      <c r="G697" s="3">
        <v>636.4</v>
      </c>
      <c r="H697" s="3">
        <v>3.8540000000000001</v>
      </c>
      <c r="I697" s="13">
        <f t="shared" si="11"/>
        <v>3.055083179297597</v>
      </c>
    </row>
    <row r="698" spans="2:9">
      <c r="C698" s="46">
        <v>1.4650000000000001</v>
      </c>
      <c r="D698" s="3">
        <v>163.80000000000001</v>
      </c>
      <c r="E698" s="3">
        <v>82.84</v>
      </c>
      <c r="F698" s="3">
        <v>26.91</v>
      </c>
      <c r="G698" s="3">
        <v>600.29999999999995</v>
      </c>
      <c r="H698" s="3">
        <v>3.5960000000000001</v>
      </c>
      <c r="I698" s="13">
        <f t="shared" si="11"/>
        <v>3.0784095131921219</v>
      </c>
    </row>
    <row r="699" spans="2:9">
      <c r="C699" s="46">
        <v>1.41</v>
      </c>
      <c r="D699" s="3">
        <v>166.1</v>
      </c>
      <c r="E699" s="3">
        <v>83</v>
      </c>
      <c r="F699" s="3">
        <v>27.29</v>
      </c>
      <c r="G699" s="3">
        <v>553.29999999999995</v>
      </c>
      <c r="H699" s="3">
        <v>3.544</v>
      </c>
      <c r="I699" s="13">
        <f t="shared" si="11"/>
        <v>3.0414071088310739</v>
      </c>
    </row>
    <row r="700" spans="2:9">
      <c r="C700" s="46">
        <v>1.4039999999999999</v>
      </c>
      <c r="D700" s="3">
        <v>174.5</v>
      </c>
      <c r="E700" s="3">
        <v>83.16</v>
      </c>
      <c r="F700" s="3">
        <v>27.23</v>
      </c>
      <c r="G700" s="3">
        <v>626.79999999999995</v>
      </c>
      <c r="H700" s="3">
        <v>3.56</v>
      </c>
      <c r="I700" s="13">
        <f t="shared" si="11"/>
        <v>3.0539845758354756</v>
      </c>
    </row>
    <row r="701" spans="2:9">
      <c r="C701" s="46">
        <v>1.42</v>
      </c>
      <c r="D701" s="3">
        <v>142.19999999999999</v>
      </c>
      <c r="E701" s="3">
        <v>83.26</v>
      </c>
      <c r="F701" s="3">
        <v>27.3</v>
      </c>
      <c r="G701" s="3">
        <v>554</v>
      </c>
      <c r="H701" s="3">
        <v>3.8809999999999998</v>
      </c>
      <c r="I701" s="13">
        <f t="shared" si="11"/>
        <v>3.0498168498168501</v>
      </c>
    </row>
    <row r="702" spans="2:9">
      <c r="B702" s="16">
        <v>36</v>
      </c>
      <c r="C702" s="47">
        <v>2.4420000000000002</v>
      </c>
      <c r="D702" s="18">
        <v>123.8</v>
      </c>
      <c r="E702" s="16">
        <v>105.7</v>
      </c>
      <c r="F702" s="16">
        <v>37.869999999999997</v>
      </c>
      <c r="G702" s="57">
        <v>521.70000000000005</v>
      </c>
      <c r="H702" s="16">
        <v>2.8460000000000001</v>
      </c>
      <c r="I702" s="13">
        <f t="shared" si="11"/>
        <v>2.791127541589649</v>
      </c>
    </row>
    <row r="703" spans="2:9">
      <c r="C703" s="46">
        <v>2.4409999999999998</v>
      </c>
      <c r="D703" s="3">
        <v>142.9</v>
      </c>
      <c r="E703" s="3">
        <v>105.9</v>
      </c>
      <c r="F703" s="3">
        <v>37.72</v>
      </c>
      <c r="G703" s="3">
        <v>527.6</v>
      </c>
      <c r="H703" s="3">
        <v>2.819</v>
      </c>
      <c r="I703" s="13">
        <f t="shared" si="11"/>
        <v>2.8075291622481444</v>
      </c>
    </row>
    <row r="704" spans="2:9">
      <c r="C704" s="46">
        <v>2.427</v>
      </c>
      <c r="D704" s="3">
        <v>156.5</v>
      </c>
      <c r="E704" s="3">
        <v>105.7</v>
      </c>
      <c r="F704" s="3">
        <v>37.56</v>
      </c>
      <c r="G704" s="3">
        <v>527.4</v>
      </c>
      <c r="H704" s="3">
        <v>2.7429999999999999</v>
      </c>
      <c r="I704" s="13">
        <f t="shared" si="11"/>
        <v>2.814164004259851</v>
      </c>
    </row>
    <row r="705" spans="3:9">
      <c r="C705" s="46">
        <v>2.39</v>
      </c>
      <c r="D705" s="3">
        <v>162.19999999999999</v>
      </c>
      <c r="E705" s="3">
        <v>106.2</v>
      </c>
      <c r="F705" s="3">
        <v>36.979999999999997</v>
      </c>
      <c r="G705" s="3">
        <v>532.4</v>
      </c>
      <c r="H705" s="3">
        <v>2.6850000000000001</v>
      </c>
      <c r="I705" s="13">
        <f t="shared" si="11"/>
        <v>2.8718226068144945</v>
      </c>
    </row>
    <row r="706" spans="3:9">
      <c r="C706" s="46">
        <v>2.4420000000000002</v>
      </c>
      <c r="D706" s="3">
        <v>123.8</v>
      </c>
      <c r="E706" s="3">
        <v>106.3</v>
      </c>
      <c r="F706" s="3">
        <v>36.82</v>
      </c>
      <c r="G706" s="3">
        <v>538.20000000000005</v>
      </c>
      <c r="H706" s="3">
        <v>2.714</v>
      </c>
      <c r="I706" s="13">
        <f t="shared" si="11"/>
        <v>2.8870179250407388</v>
      </c>
    </row>
    <row r="707" spans="3:9">
      <c r="C707" s="46">
        <v>2.4279999999999999</v>
      </c>
      <c r="D707" s="3">
        <v>109.5</v>
      </c>
      <c r="E707" s="3">
        <v>106.1</v>
      </c>
      <c r="F707" s="3">
        <v>36.94</v>
      </c>
      <c r="G707" s="3">
        <v>531.1</v>
      </c>
      <c r="H707" s="3">
        <v>2.746</v>
      </c>
      <c r="I707" s="13">
        <f t="shared" si="11"/>
        <v>2.8722252301028695</v>
      </c>
    </row>
    <row r="708" spans="3:9">
      <c r="C708" s="46">
        <v>2.4300000000000002</v>
      </c>
      <c r="D708" s="3">
        <v>103.5</v>
      </c>
      <c r="E708" s="3">
        <v>106.6</v>
      </c>
      <c r="F708" s="3">
        <v>37</v>
      </c>
      <c r="G708" s="3">
        <v>508.4</v>
      </c>
      <c r="H708" s="3">
        <v>2.8530000000000002</v>
      </c>
      <c r="I708" s="13">
        <f t="shared" si="11"/>
        <v>2.881081081081081</v>
      </c>
    </row>
    <row r="709" spans="3:9">
      <c r="C709" s="46">
        <v>2.444</v>
      </c>
      <c r="D709" s="3">
        <v>112.5</v>
      </c>
      <c r="E709" s="3">
        <v>107</v>
      </c>
      <c r="F709" s="3">
        <v>37.33</v>
      </c>
      <c r="G709" s="3">
        <v>498.2</v>
      </c>
      <c r="H709" s="3">
        <v>2.9540000000000002</v>
      </c>
      <c r="I709" s="13">
        <f t="shared" si="11"/>
        <v>2.8663273506563089</v>
      </c>
    </row>
    <row r="710" spans="3:9">
      <c r="C710" s="46">
        <v>2.391</v>
      </c>
      <c r="D710" s="3">
        <v>105.6</v>
      </c>
      <c r="E710" s="3">
        <v>106.8</v>
      </c>
      <c r="F710" s="3">
        <v>37.020000000000003</v>
      </c>
      <c r="G710" s="3">
        <v>519.70000000000005</v>
      </c>
      <c r="H710" s="3">
        <v>2.9449999999999998</v>
      </c>
      <c r="I710" s="13">
        <f t="shared" si="11"/>
        <v>2.8849270664505671</v>
      </c>
    </row>
    <row r="711" spans="3:9">
      <c r="C711" s="46">
        <v>2.3740000000000001</v>
      </c>
      <c r="D711" s="3">
        <v>115</v>
      </c>
      <c r="E711" s="3">
        <v>107.1</v>
      </c>
      <c r="F711" s="3">
        <v>36.71</v>
      </c>
      <c r="G711" s="3">
        <v>493.4</v>
      </c>
      <c r="H711" s="3">
        <v>2.9279999999999999</v>
      </c>
      <c r="I711" s="13">
        <f t="shared" si="11"/>
        <v>2.9174611822391716</v>
      </c>
    </row>
    <row r="712" spans="3:9">
      <c r="C712" s="46">
        <v>2.246</v>
      </c>
      <c r="D712" s="3">
        <v>153.69999999999999</v>
      </c>
      <c r="E712" s="3">
        <v>106.8</v>
      </c>
      <c r="F712" s="3">
        <v>36.56</v>
      </c>
      <c r="G712" s="3">
        <v>509.1</v>
      </c>
      <c r="H712" s="3">
        <v>2.819</v>
      </c>
      <c r="I712" s="13">
        <f t="shared" si="11"/>
        <v>2.9212253829321662</v>
      </c>
    </row>
    <row r="713" spans="3:9">
      <c r="C713" s="46">
        <v>2.2360000000000002</v>
      </c>
      <c r="D713" s="3">
        <v>115</v>
      </c>
      <c r="E713" s="3">
        <v>106.9</v>
      </c>
      <c r="F713" s="3">
        <v>37.11</v>
      </c>
      <c r="G713" s="3">
        <v>500.8</v>
      </c>
      <c r="H713" s="3">
        <v>2.7770000000000001</v>
      </c>
      <c r="I713" s="13">
        <f t="shared" si="11"/>
        <v>2.8806251684182165</v>
      </c>
    </row>
    <row r="714" spans="3:9">
      <c r="C714" s="46">
        <v>2.2490000000000001</v>
      </c>
      <c r="D714" s="3">
        <v>119.7</v>
      </c>
      <c r="E714" s="3">
        <v>106.4</v>
      </c>
      <c r="F714" s="3">
        <v>37.479999999999997</v>
      </c>
      <c r="G714" s="3">
        <v>516.9</v>
      </c>
      <c r="H714" s="3">
        <v>2.8450000000000002</v>
      </c>
      <c r="I714" s="13">
        <f t="shared" si="11"/>
        <v>2.8388473852721456</v>
      </c>
    </row>
    <row r="715" spans="3:9">
      <c r="C715" s="46">
        <v>2.3330000000000002</v>
      </c>
      <c r="D715" s="3">
        <v>191.7</v>
      </c>
      <c r="E715" s="3">
        <v>106.5</v>
      </c>
      <c r="F715" s="3">
        <v>36.9</v>
      </c>
      <c r="G715" s="3">
        <v>534.6</v>
      </c>
      <c r="H715" s="3">
        <v>2.7280000000000002</v>
      </c>
      <c r="I715" s="13">
        <f t="shared" si="11"/>
        <v>2.8861788617886179</v>
      </c>
    </row>
    <row r="716" spans="3:9">
      <c r="C716" s="46">
        <v>2.379</v>
      </c>
      <c r="D716" s="3">
        <v>136.4</v>
      </c>
      <c r="E716" s="3">
        <v>106.3</v>
      </c>
      <c r="F716" s="3">
        <v>36.869999999999997</v>
      </c>
      <c r="G716" s="3">
        <v>524.70000000000005</v>
      </c>
      <c r="H716" s="3">
        <v>2.819</v>
      </c>
      <c r="I716" s="13">
        <f t="shared" si="11"/>
        <v>2.8831027935991322</v>
      </c>
    </row>
    <row r="717" spans="3:9">
      <c r="C717" s="46">
        <v>2.411</v>
      </c>
      <c r="D717" s="3">
        <v>142.30000000000001</v>
      </c>
      <c r="E717" s="3">
        <v>106.4</v>
      </c>
      <c r="F717" s="3">
        <v>37.26</v>
      </c>
      <c r="G717" s="3">
        <v>520.5</v>
      </c>
      <c r="H717" s="3">
        <v>2.7429999999999999</v>
      </c>
      <c r="I717" s="13">
        <f t="shared" si="11"/>
        <v>2.8556092324208269</v>
      </c>
    </row>
    <row r="718" spans="3:9">
      <c r="C718" s="46">
        <v>2.42</v>
      </c>
      <c r="D718" s="3">
        <v>152.80000000000001</v>
      </c>
      <c r="E718" s="3">
        <v>106.6</v>
      </c>
      <c r="F718" s="3">
        <v>36.78</v>
      </c>
      <c r="G718" s="3">
        <v>514.79999999999995</v>
      </c>
      <c r="H718" s="3">
        <v>2.714</v>
      </c>
      <c r="I718" s="13">
        <f t="shared" si="11"/>
        <v>2.8983143012506796</v>
      </c>
    </row>
    <row r="719" spans="3:9">
      <c r="C719" s="46">
        <v>2.3889999999999998</v>
      </c>
      <c r="D719" s="3">
        <v>167.7</v>
      </c>
      <c r="E719" s="3">
        <v>107</v>
      </c>
      <c r="F719" s="3">
        <v>37.11</v>
      </c>
      <c r="G719" s="3">
        <v>512.79999999999995</v>
      </c>
      <c r="H719" s="3">
        <v>2.7160000000000002</v>
      </c>
      <c r="I719" s="13">
        <f t="shared" si="11"/>
        <v>2.8833198598760443</v>
      </c>
    </row>
    <row r="720" spans="3:9">
      <c r="C720" s="46">
        <v>2.4329999999999998</v>
      </c>
      <c r="D720" s="3">
        <v>175.9</v>
      </c>
      <c r="E720" s="3">
        <v>106.5</v>
      </c>
      <c r="F720" s="3">
        <v>37.020000000000003</v>
      </c>
      <c r="G720" s="3">
        <v>511.5</v>
      </c>
      <c r="H720" s="3">
        <v>2.8159999999999998</v>
      </c>
      <c r="I720" s="13">
        <f t="shared" si="11"/>
        <v>2.8768233387358184</v>
      </c>
    </row>
    <row r="721" spans="2:9">
      <c r="C721" s="46">
        <v>2.4300000000000002</v>
      </c>
      <c r="D721" s="3">
        <v>165.4</v>
      </c>
      <c r="E721" s="3">
        <v>106.7</v>
      </c>
      <c r="F721" s="3">
        <v>36.78</v>
      </c>
      <c r="G721" s="3">
        <v>511.5</v>
      </c>
      <c r="H721" s="3">
        <v>2.923</v>
      </c>
      <c r="I721" s="13">
        <f t="shared" si="11"/>
        <v>2.9010331702011962</v>
      </c>
    </row>
    <row r="722" spans="2:9">
      <c r="B722" s="16">
        <v>37</v>
      </c>
      <c r="C722" s="47">
        <v>1.63</v>
      </c>
      <c r="D722" s="18">
        <v>123.7</v>
      </c>
      <c r="E722" s="16">
        <v>73.05</v>
      </c>
      <c r="F722" s="16">
        <v>25.29</v>
      </c>
      <c r="G722" s="16">
        <v>515.9</v>
      </c>
      <c r="H722" s="16">
        <v>2.12</v>
      </c>
      <c r="I722" s="13">
        <f t="shared" si="11"/>
        <v>2.8884934756820879</v>
      </c>
    </row>
    <row r="723" spans="2:9">
      <c r="C723" s="46">
        <v>1.5449999999999999</v>
      </c>
      <c r="D723" s="3">
        <v>134.80000000000001</v>
      </c>
      <c r="E723" s="3">
        <v>73.319999999999993</v>
      </c>
      <c r="F723" s="3">
        <v>25.65</v>
      </c>
      <c r="G723" s="3">
        <v>515.6</v>
      </c>
      <c r="H723" s="3">
        <v>2.117</v>
      </c>
      <c r="I723" s="13">
        <f t="shared" si="11"/>
        <v>2.8584795321637424</v>
      </c>
    </row>
    <row r="724" spans="2:9">
      <c r="C724" s="46">
        <v>1.556</v>
      </c>
      <c r="D724" s="3">
        <v>123.7</v>
      </c>
      <c r="E724" s="3">
        <v>73.48</v>
      </c>
      <c r="F724" s="3">
        <v>25.83</v>
      </c>
      <c r="G724" s="3">
        <v>520.6</v>
      </c>
      <c r="H724" s="3">
        <v>2.04</v>
      </c>
      <c r="I724" s="13">
        <f t="shared" si="11"/>
        <v>2.8447541618273329</v>
      </c>
    </row>
    <row r="725" spans="2:9">
      <c r="C725" s="46">
        <v>1.6</v>
      </c>
      <c r="D725" s="3">
        <v>168.4</v>
      </c>
      <c r="E725" s="3">
        <v>73.92</v>
      </c>
      <c r="F725" s="3">
        <v>25.47</v>
      </c>
      <c r="G725" s="3">
        <v>513.4</v>
      </c>
      <c r="H725" s="3">
        <v>2.0579999999999998</v>
      </c>
      <c r="I725" s="13">
        <f t="shared" si="11"/>
        <v>2.9022379269729095</v>
      </c>
    </row>
    <row r="726" spans="2:9">
      <c r="C726" s="46">
        <v>1.5940000000000001</v>
      </c>
      <c r="D726" s="3">
        <v>121.6</v>
      </c>
      <c r="E726" s="3">
        <v>73.819999999999993</v>
      </c>
      <c r="F726" s="3">
        <v>24.93</v>
      </c>
      <c r="G726" s="3">
        <v>506.7</v>
      </c>
      <c r="H726" s="3">
        <v>2.085</v>
      </c>
      <c r="I726" s="13">
        <f t="shared" ref="I726:I789" si="12">E726/F726</f>
        <v>2.9610910549538705</v>
      </c>
    </row>
    <row r="727" spans="2:9">
      <c r="C727" s="46">
        <v>1.621</v>
      </c>
      <c r="D727" s="3">
        <v>120.7</v>
      </c>
      <c r="E727" s="3">
        <v>73.92</v>
      </c>
      <c r="F727" s="3">
        <v>25.58</v>
      </c>
      <c r="G727" s="3">
        <v>508.1</v>
      </c>
      <c r="H727" s="3">
        <v>2.101</v>
      </c>
      <c r="I727" s="13">
        <f t="shared" si="12"/>
        <v>2.8897576231430806</v>
      </c>
    </row>
    <row r="728" spans="2:9">
      <c r="C728" s="46">
        <v>1.6080000000000001</v>
      </c>
      <c r="D728" s="3">
        <v>147</v>
      </c>
      <c r="E728" s="3">
        <v>74.010000000000005</v>
      </c>
      <c r="F728" s="3">
        <v>25.68</v>
      </c>
      <c r="G728" s="3">
        <v>515.79999999999995</v>
      </c>
      <c r="H728" s="3">
        <v>2.0619999999999998</v>
      </c>
      <c r="I728" s="13">
        <f t="shared" si="12"/>
        <v>2.8820093457943927</v>
      </c>
    </row>
    <row r="729" spans="2:9">
      <c r="C729" s="46">
        <v>1.6379999999999999</v>
      </c>
      <c r="D729" s="3">
        <v>157.4</v>
      </c>
      <c r="E729" s="3">
        <v>73.849999999999994</v>
      </c>
      <c r="F729" s="3">
        <v>25.51</v>
      </c>
      <c r="G729" s="3">
        <v>521.79999999999995</v>
      </c>
      <c r="H729" s="3">
        <v>2.0960000000000001</v>
      </c>
      <c r="I729" s="13">
        <f t="shared" si="12"/>
        <v>2.8949431595452761</v>
      </c>
    </row>
    <row r="730" spans="2:9">
      <c r="C730" s="46">
        <v>1.63</v>
      </c>
      <c r="D730" s="3">
        <v>156.5</v>
      </c>
      <c r="E730" s="3">
        <v>73.66</v>
      </c>
      <c r="F730" s="3">
        <v>25.41</v>
      </c>
      <c r="G730" s="3">
        <v>528.9</v>
      </c>
      <c r="H730" s="3">
        <v>2.1920000000000002</v>
      </c>
      <c r="I730" s="13">
        <f t="shared" si="12"/>
        <v>2.8988587170405351</v>
      </c>
    </row>
    <row r="731" spans="2:9">
      <c r="C731" s="46">
        <v>1.5880000000000001</v>
      </c>
      <c r="D731" s="3">
        <v>129.4</v>
      </c>
      <c r="E731" s="3">
        <v>74.47</v>
      </c>
      <c r="F731" s="3">
        <v>25.66</v>
      </c>
      <c r="G731" s="3">
        <v>517.70000000000005</v>
      </c>
      <c r="H731" s="3">
        <v>2.1789999999999998</v>
      </c>
      <c r="I731" s="13">
        <f t="shared" si="12"/>
        <v>2.9021823850350739</v>
      </c>
    </row>
    <row r="732" spans="2:9">
      <c r="C732" s="46">
        <v>1.5549999999999999</v>
      </c>
      <c r="D732" s="3">
        <v>124.2</v>
      </c>
      <c r="E732" s="3">
        <v>73.72</v>
      </c>
      <c r="F732" s="3">
        <v>25.31</v>
      </c>
      <c r="G732" s="3">
        <v>522.29999999999995</v>
      </c>
      <c r="H732" s="3">
        <v>2.19</v>
      </c>
      <c r="I732" s="13">
        <f t="shared" si="12"/>
        <v>2.9126827340971948</v>
      </c>
    </row>
    <row r="733" spans="2:9">
      <c r="C733" s="46">
        <v>1.532</v>
      </c>
      <c r="D733" s="3">
        <v>119.1</v>
      </c>
      <c r="E733" s="3">
        <v>73.900000000000006</v>
      </c>
      <c r="F733" s="3">
        <v>25.84</v>
      </c>
      <c r="G733" s="3">
        <v>526.79999999999995</v>
      </c>
      <c r="H733" s="3">
        <v>2.165</v>
      </c>
      <c r="I733" s="13">
        <f t="shared" si="12"/>
        <v>2.8599071207430344</v>
      </c>
    </row>
    <row r="734" spans="2:9">
      <c r="C734" s="46">
        <v>1.5629999999999999</v>
      </c>
      <c r="D734" s="3">
        <v>138.9</v>
      </c>
      <c r="E734" s="3">
        <v>74.02</v>
      </c>
      <c r="F734" s="3">
        <v>25.21</v>
      </c>
      <c r="G734" s="3">
        <v>520.1</v>
      </c>
      <c r="H734" s="3">
        <v>2.1829999999999998</v>
      </c>
      <c r="I734" s="13">
        <f t="shared" si="12"/>
        <v>2.9361364537881789</v>
      </c>
    </row>
    <row r="735" spans="2:9">
      <c r="C735" s="46">
        <v>1.552</v>
      </c>
      <c r="D735" s="3">
        <v>128.1</v>
      </c>
      <c r="E735" s="3">
        <v>74.55</v>
      </c>
      <c r="F735" s="3">
        <v>25.39</v>
      </c>
      <c r="G735" s="3">
        <v>513.5</v>
      </c>
      <c r="H735" s="3">
        <v>2.15</v>
      </c>
      <c r="I735" s="13">
        <f t="shared" si="12"/>
        <v>2.9361953525009845</v>
      </c>
    </row>
    <row r="736" spans="2:9">
      <c r="C736" s="46">
        <v>1.573</v>
      </c>
      <c r="D736" s="3">
        <v>134.5</v>
      </c>
      <c r="E736" s="3">
        <v>73.66</v>
      </c>
      <c r="F736" s="3">
        <v>25.57</v>
      </c>
      <c r="G736" s="3">
        <v>513.79999999999995</v>
      </c>
      <c r="H736" s="3">
        <v>2.1459999999999999</v>
      </c>
      <c r="I736" s="13">
        <f t="shared" si="12"/>
        <v>2.8807195932733669</v>
      </c>
    </row>
    <row r="737" spans="2:9">
      <c r="C737" s="46">
        <v>1.593</v>
      </c>
      <c r="D737" s="3">
        <v>116.2</v>
      </c>
      <c r="E737" s="3">
        <v>73.760000000000005</v>
      </c>
      <c r="F737" s="3">
        <v>25.64</v>
      </c>
      <c r="G737" s="3">
        <v>510.9</v>
      </c>
      <c r="H737" s="3">
        <v>2.117</v>
      </c>
      <c r="I737" s="13">
        <f t="shared" si="12"/>
        <v>2.8767550702028082</v>
      </c>
    </row>
    <row r="738" spans="2:9">
      <c r="C738" s="46">
        <v>1.5449999999999999</v>
      </c>
      <c r="D738" s="3">
        <v>146.19999999999999</v>
      </c>
      <c r="E738" s="3">
        <v>73.930000000000007</v>
      </c>
      <c r="F738" s="3">
        <v>25.88</v>
      </c>
      <c r="G738" s="3">
        <v>508.1</v>
      </c>
      <c r="H738" s="3">
        <v>2.0569999999999999</v>
      </c>
      <c r="I738" s="13">
        <f t="shared" si="12"/>
        <v>2.8566460587326126</v>
      </c>
    </row>
    <row r="739" spans="2:9">
      <c r="C739" s="46">
        <v>1.556</v>
      </c>
      <c r="D739" s="3">
        <v>156.30000000000001</v>
      </c>
      <c r="E739" s="3">
        <v>73.400000000000006</v>
      </c>
      <c r="F739" s="3">
        <v>25.95</v>
      </c>
      <c r="G739" s="3">
        <v>513.79999999999995</v>
      </c>
      <c r="H739" s="3">
        <v>2.0489999999999999</v>
      </c>
      <c r="I739" s="13">
        <f t="shared" si="12"/>
        <v>2.8285163776493261</v>
      </c>
    </row>
    <row r="740" spans="2:9">
      <c r="C740" s="46">
        <v>1.6080000000000001</v>
      </c>
      <c r="D740" s="3">
        <v>134</v>
      </c>
      <c r="E740" s="3">
        <v>73.5</v>
      </c>
      <c r="F740" s="3">
        <v>25.61</v>
      </c>
      <c r="G740" s="3">
        <v>504.6</v>
      </c>
      <c r="H740" s="3">
        <v>2.0379999999999998</v>
      </c>
      <c r="I740" s="13">
        <f t="shared" si="12"/>
        <v>2.8699726669269818</v>
      </c>
    </row>
    <row r="741" spans="2:9">
      <c r="C741" s="46">
        <v>1.6</v>
      </c>
      <c r="D741" s="3">
        <v>114.2</v>
      </c>
      <c r="E741" s="3">
        <v>74.319999999999993</v>
      </c>
      <c r="F741" s="3">
        <v>25.26</v>
      </c>
      <c r="G741" s="3">
        <v>534.5</v>
      </c>
      <c r="H741" s="3">
        <v>2.085</v>
      </c>
      <c r="I741" s="13">
        <f t="shared" si="12"/>
        <v>2.9422011084718918</v>
      </c>
    </row>
    <row r="742" spans="2:9">
      <c r="B742" s="16">
        <v>38</v>
      </c>
      <c r="C742" s="47">
        <v>2.669</v>
      </c>
      <c r="D742" s="18">
        <v>88.91</v>
      </c>
      <c r="E742" s="16">
        <v>81.45</v>
      </c>
      <c r="F742" s="16">
        <v>27.79</v>
      </c>
      <c r="G742" s="16">
        <v>445.5</v>
      </c>
      <c r="H742" s="16">
        <v>1.9790000000000001</v>
      </c>
      <c r="I742" s="13">
        <f t="shared" si="12"/>
        <v>2.9309103994242536</v>
      </c>
    </row>
    <row r="743" spans="2:9">
      <c r="C743" s="46">
        <v>2.5299999999999998</v>
      </c>
      <c r="D743" s="3">
        <v>100.5</v>
      </c>
      <c r="E743" s="3">
        <v>81.23</v>
      </c>
      <c r="F743" s="3">
        <v>27.01</v>
      </c>
      <c r="G743" s="3">
        <v>443.1</v>
      </c>
      <c r="H743" s="3">
        <v>1.98</v>
      </c>
      <c r="I743" s="13">
        <f t="shared" si="12"/>
        <v>3.0074046649389117</v>
      </c>
    </row>
    <row r="744" spans="2:9">
      <c r="C744" s="46">
        <v>2.5419999999999998</v>
      </c>
      <c r="D744" s="3">
        <v>95.25</v>
      </c>
      <c r="E744" s="3">
        <v>81.34</v>
      </c>
      <c r="F744" s="3">
        <v>27.59</v>
      </c>
      <c r="G744" s="3">
        <v>445.5</v>
      </c>
      <c r="H744" s="3">
        <v>1.974</v>
      </c>
      <c r="I744" s="13">
        <f t="shared" si="12"/>
        <v>2.9481696266763322</v>
      </c>
    </row>
    <row r="745" spans="2:9">
      <c r="C745" s="46">
        <v>2.6309999999999998</v>
      </c>
      <c r="D745" s="3">
        <v>106</v>
      </c>
      <c r="E745" s="3">
        <v>81.23</v>
      </c>
      <c r="F745" s="3">
        <v>27.81</v>
      </c>
      <c r="G745" s="3">
        <v>446</v>
      </c>
      <c r="H745" s="3">
        <v>1.966</v>
      </c>
      <c r="I745" s="13">
        <f t="shared" si="12"/>
        <v>2.9208917655519602</v>
      </c>
    </row>
    <row r="746" spans="2:9">
      <c r="C746" s="46">
        <v>2.7440000000000002</v>
      </c>
      <c r="D746" s="3">
        <v>95.68</v>
      </c>
      <c r="E746" s="3">
        <v>81.260000000000005</v>
      </c>
      <c r="F746" s="3">
        <v>27.2</v>
      </c>
      <c r="G746" s="3">
        <v>441.5</v>
      </c>
      <c r="H746" s="3">
        <v>1.925</v>
      </c>
      <c r="I746" s="13">
        <f t="shared" si="12"/>
        <v>2.9875000000000003</v>
      </c>
    </row>
    <row r="747" spans="2:9">
      <c r="C747" s="46">
        <v>2.7919999999999998</v>
      </c>
      <c r="D747" s="3">
        <v>109.8</v>
      </c>
      <c r="E747" s="3">
        <v>81.14</v>
      </c>
      <c r="F747" s="3">
        <v>27.85</v>
      </c>
      <c r="G747" s="3">
        <v>445</v>
      </c>
      <c r="H747" s="3">
        <v>1.849</v>
      </c>
      <c r="I747" s="13">
        <f t="shared" si="12"/>
        <v>2.9134649910233392</v>
      </c>
    </row>
    <row r="748" spans="2:9">
      <c r="C748" s="46">
        <v>2.7749999999999999</v>
      </c>
      <c r="D748" s="3">
        <v>107.7</v>
      </c>
      <c r="E748" s="3">
        <v>81.45</v>
      </c>
      <c r="F748" s="3">
        <v>27.97</v>
      </c>
      <c r="G748" s="3">
        <v>440.4</v>
      </c>
      <c r="H748" s="3">
        <v>1.835</v>
      </c>
      <c r="I748" s="13">
        <f t="shared" si="12"/>
        <v>2.9120486235252057</v>
      </c>
    </row>
    <row r="749" spans="2:9">
      <c r="C749" s="46">
        <v>2.7639999999999998</v>
      </c>
      <c r="D749" s="3">
        <v>107.1</v>
      </c>
      <c r="E749" s="3">
        <v>81.680000000000007</v>
      </c>
      <c r="F749" s="3">
        <v>27.88</v>
      </c>
      <c r="G749" s="3">
        <v>440.7</v>
      </c>
      <c r="H749" s="3">
        <v>1.849</v>
      </c>
      <c r="I749" s="13">
        <f t="shared" si="12"/>
        <v>2.9296987087517938</v>
      </c>
    </row>
    <row r="750" spans="2:9">
      <c r="C750" s="46">
        <v>2.7570000000000001</v>
      </c>
      <c r="D750" s="3">
        <v>91.67</v>
      </c>
      <c r="E750" s="3">
        <v>81.790000000000006</v>
      </c>
      <c r="F750" s="3">
        <v>28</v>
      </c>
      <c r="G750" s="3">
        <v>441.7</v>
      </c>
      <c r="H750" s="3">
        <v>1.9179999999999999</v>
      </c>
      <c r="I750" s="13">
        <f t="shared" si="12"/>
        <v>2.921071428571429</v>
      </c>
    </row>
    <row r="751" spans="2:9">
      <c r="C751" s="46">
        <v>2.69</v>
      </c>
      <c r="D751" s="3">
        <v>148.19999999999999</v>
      </c>
      <c r="E751" s="3">
        <v>81.489999999999995</v>
      </c>
      <c r="F751" s="3">
        <v>27.77</v>
      </c>
      <c r="G751" s="3">
        <v>442.7</v>
      </c>
      <c r="H751" s="3">
        <v>1.9790000000000001</v>
      </c>
      <c r="I751" s="13">
        <f t="shared" si="12"/>
        <v>2.934461649261793</v>
      </c>
    </row>
    <row r="752" spans="2:9">
      <c r="C752" s="46">
        <v>2.5979999999999999</v>
      </c>
      <c r="D752" s="3">
        <v>147.4</v>
      </c>
      <c r="E752" s="3">
        <v>81.040000000000006</v>
      </c>
      <c r="F752" s="3">
        <v>27.74</v>
      </c>
      <c r="G752" s="3">
        <v>445</v>
      </c>
      <c r="H752" s="3">
        <v>2.0299999999999998</v>
      </c>
      <c r="I752" s="13">
        <f t="shared" si="12"/>
        <v>2.9214131218457107</v>
      </c>
    </row>
    <row r="753" spans="2:9">
      <c r="C753" s="46">
        <v>2.5099999999999998</v>
      </c>
      <c r="D753" s="3">
        <v>109.3</v>
      </c>
      <c r="E753" s="3">
        <v>81.489999999999995</v>
      </c>
      <c r="F753" s="3">
        <v>27.55</v>
      </c>
      <c r="G753" s="3">
        <v>441.9</v>
      </c>
      <c r="H753" s="3">
        <v>1.8939999999999999</v>
      </c>
      <c r="I753" s="13">
        <f t="shared" si="12"/>
        <v>2.9578947368421051</v>
      </c>
    </row>
    <row r="754" spans="2:9">
      <c r="C754" s="46">
        <v>2.4969999999999999</v>
      </c>
      <c r="D754" s="3">
        <v>142.69999999999999</v>
      </c>
      <c r="E754" s="3">
        <v>81.88</v>
      </c>
      <c r="F754" s="3">
        <v>27.86</v>
      </c>
      <c r="G754" s="3">
        <v>441.6</v>
      </c>
      <c r="H754" s="3">
        <v>1.8720000000000001</v>
      </c>
      <c r="I754" s="13">
        <f t="shared" si="12"/>
        <v>2.938980617372577</v>
      </c>
    </row>
    <row r="755" spans="2:9">
      <c r="C755" s="46">
        <v>2.4630000000000001</v>
      </c>
      <c r="D755" s="3">
        <v>96.57</v>
      </c>
      <c r="E755" s="3">
        <v>81.96</v>
      </c>
      <c r="F755" s="3">
        <v>27.97</v>
      </c>
      <c r="G755" s="3">
        <v>444.2</v>
      </c>
      <c r="H755" s="3">
        <v>1.8109999999999999</v>
      </c>
      <c r="I755" s="13">
        <f t="shared" si="12"/>
        <v>2.9302824454772969</v>
      </c>
    </row>
    <row r="756" spans="2:9">
      <c r="C756" s="46">
        <v>2.48</v>
      </c>
      <c r="D756" s="3">
        <v>90.98</v>
      </c>
      <c r="E756" s="3">
        <v>82.03</v>
      </c>
      <c r="F756" s="3">
        <v>27.64</v>
      </c>
      <c r="G756" s="3">
        <v>443.8</v>
      </c>
      <c r="H756" s="3">
        <v>1.849</v>
      </c>
      <c r="I756" s="13">
        <f t="shared" si="12"/>
        <v>2.9678002894356004</v>
      </c>
    </row>
    <row r="757" spans="2:9">
      <c r="C757" s="46">
        <v>2.3929999999999998</v>
      </c>
      <c r="D757" s="3">
        <v>91.77</v>
      </c>
      <c r="E757" s="3">
        <v>81.99</v>
      </c>
      <c r="F757" s="3">
        <v>27.5</v>
      </c>
      <c r="G757" s="3">
        <v>444.8</v>
      </c>
      <c r="H757" s="3">
        <v>1.8979999999999999</v>
      </c>
      <c r="I757" s="13">
        <f t="shared" si="12"/>
        <v>2.9814545454545454</v>
      </c>
    </row>
    <row r="758" spans="2:9">
      <c r="C758" s="46">
        <v>2.4630000000000001</v>
      </c>
      <c r="D758" s="3">
        <v>95.78</v>
      </c>
      <c r="E758" s="3">
        <v>81.790000000000006</v>
      </c>
      <c r="F758" s="3">
        <v>27.38</v>
      </c>
      <c r="G758" s="3">
        <v>443.1</v>
      </c>
      <c r="H758" s="3">
        <v>1.966</v>
      </c>
      <c r="I758" s="13">
        <f t="shared" si="12"/>
        <v>2.9872169466764067</v>
      </c>
    </row>
    <row r="759" spans="2:9">
      <c r="C759" s="46">
        <v>2.516</v>
      </c>
      <c r="D759" s="3">
        <v>109.8</v>
      </c>
      <c r="E759" s="3">
        <v>81.680000000000007</v>
      </c>
      <c r="F759" s="3">
        <v>27.65</v>
      </c>
      <c r="G759" s="3">
        <v>441.2</v>
      </c>
      <c r="H759" s="3">
        <v>2.09</v>
      </c>
      <c r="I759" s="13">
        <f t="shared" si="12"/>
        <v>2.9540687160940329</v>
      </c>
    </row>
    <row r="760" spans="2:9">
      <c r="C760" s="46">
        <v>2.6970000000000001</v>
      </c>
      <c r="D760" s="3">
        <v>96.97</v>
      </c>
      <c r="E760" s="3">
        <v>81.83</v>
      </c>
      <c r="F760" s="3">
        <v>27.17</v>
      </c>
      <c r="G760" s="3">
        <v>442.9</v>
      </c>
      <c r="H760" s="3">
        <v>2.2029999999999998</v>
      </c>
      <c r="I760" s="13">
        <f t="shared" si="12"/>
        <v>3.0117776959882221</v>
      </c>
    </row>
    <row r="761" spans="2:9">
      <c r="C761" s="46">
        <v>2.74</v>
      </c>
      <c r="D761" s="3">
        <v>120.8</v>
      </c>
      <c r="E761" s="3">
        <v>81.569999999999993</v>
      </c>
      <c r="F761" s="3">
        <v>27.71</v>
      </c>
      <c r="G761" s="3">
        <v>440.3</v>
      </c>
      <c r="H761" s="3">
        <v>1.8979999999999999</v>
      </c>
      <c r="I761" s="13">
        <f t="shared" si="12"/>
        <v>2.943702634428004</v>
      </c>
    </row>
    <row r="762" spans="2:9">
      <c r="B762" s="16">
        <v>39</v>
      </c>
      <c r="C762" s="47">
        <v>1.883</v>
      </c>
      <c r="D762" s="18">
        <v>100.5</v>
      </c>
      <c r="E762" s="16">
        <v>65.05</v>
      </c>
      <c r="F762" s="16">
        <v>16.260000000000002</v>
      </c>
      <c r="G762" s="16">
        <v>516</v>
      </c>
      <c r="H762" s="16">
        <v>2.169</v>
      </c>
      <c r="I762" s="13">
        <f t="shared" si="12"/>
        <v>4.0006150061500607</v>
      </c>
    </row>
    <row r="763" spans="2:9">
      <c r="C763" s="46">
        <v>1.8380000000000001</v>
      </c>
      <c r="D763" s="3">
        <v>103.9</v>
      </c>
      <c r="E763" s="3">
        <v>65.36</v>
      </c>
      <c r="F763" s="3">
        <v>16.48</v>
      </c>
      <c r="G763" s="3">
        <v>514.6</v>
      </c>
      <c r="H763" s="3">
        <v>1.8160000000000001</v>
      </c>
      <c r="I763" s="13">
        <f t="shared" si="12"/>
        <v>3.9660194174757279</v>
      </c>
    </row>
    <row r="764" spans="2:9">
      <c r="C764" s="46">
        <v>1.8440000000000001</v>
      </c>
      <c r="D764" s="3">
        <v>101.8</v>
      </c>
      <c r="E764" s="3">
        <v>64.14</v>
      </c>
      <c r="F764" s="3">
        <v>16.41</v>
      </c>
      <c r="G764" s="3">
        <v>516.4</v>
      </c>
      <c r="H764" s="3">
        <v>2.09</v>
      </c>
      <c r="I764" s="13">
        <f t="shared" si="12"/>
        <v>3.9085923217550276</v>
      </c>
    </row>
    <row r="765" spans="2:9">
      <c r="C765" s="46">
        <v>1.837</v>
      </c>
      <c r="D765" s="3">
        <v>90.9</v>
      </c>
      <c r="E765" s="3">
        <v>64.349999999999994</v>
      </c>
      <c r="F765" s="3">
        <v>16.43</v>
      </c>
      <c r="G765" s="3">
        <v>516.6</v>
      </c>
      <c r="H765" s="3">
        <v>2.3650000000000002</v>
      </c>
      <c r="I765" s="13">
        <f t="shared" si="12"/>
        <v>3.9166159464394399</v>
      </c>
    </row>
    <row r="766" spans="2:9">
      <c r="C766" s="46">
        <v>1.875</v>
      </c>
      <c r="D766" s="3">
        <v>104.3</v>
      </c>
      <c r="E766" s="3">
        <v>64.33</v>
      </c>
      <c r="F766" s="3">
        <v>16.04</v>
      </c>
      <c r="G766" s="3">
        <v>518.5</v>
      </c>
      <c r="H766" s="3">
        <v>2.4039999999999999</v>
      </c>
      <c r="I766" s="13">
        <f t="shared" si="12"/>
        <v>4.0105985037406482</v>
      </c>
    </row>
    <row r="767" spans="2:9">
      <c r="C767" s="46">
        <v>1.8180000000000001</v>
      </c>
      <c r="D767" s="3">
        <v>114</v>
      </c>
      <c r="E767" s="3">
        <v>63.95</v>
      </c>
      <c r="F767" s="3">
        <v>16.23</v>
      </c>
      <c r="G767" s="3">
        <v>519.29999999999995</v>
      </c>
      <c r="H767" s="3">
        <v>2.08</v>
      </c>
      <c r="I767" s="13">
        <f t="shared" si="12"/>
        <v>3.9402341343191623</v>
      </c>
    </row>
    <row r="768" spans="2:9">
      <c r="C768" s="46">
        <v>1.766</v>
      </c>
      <c r="D768" s="3">
        <v>110.6</v>
      </c>
      <c r="E768" s="3">
        <v>64.349999999999994</v>
      </c>
      <c r="F768" s="3">
        <v>16.22</v>
      </c>
      <c r="G768" s="3">
        <v>522.4</v>
      </c>
      <c r="H768" s="3">
        <v>2.0339999999999998</v>
      </c>
      <c r="I768" s="13">
        <f t="shared" si="12"/>
        <v>3.9673242909987669</v>
      </c>
    </row>
    <row r="769" spans="2:9">
      <c r="C769" s="46">
        <v>1.7170000000000001</v>
      </c>
      <c r="D769" s="3">
        <v>100.5</v>
      </c>
      <c r="E769" s="3">
        <v>64.36</v>
      </c>
      <c r="F769" s="3">
        <v>16.23</v>
      </c>
      <c r="G769" s="3">
        <v>525.20000000000005</v>
      </c>
      <c r="H769" s="3">
        <v>1.8120000000000001</v>
      </c>
      <c r="I769" s="13">
        <f t="shared" si="12"/>
        <v>3.9654959950708562</v>
      </c>
    </row>
    <row r="770" spans="2:9">
      <c r="C770" s="46">
        <v>1.81</v>
      </c>
      <c r="D770" s="3">
        <v>97.1</v>
      </c>
      <c r="E770" s="3">
        <v>64.75</v>
      </c>
      <c r="F770" s="3">
        <v>16.239999999999998</v>
      </c>
      <c r="G770" s="3">
        <v>522.4</v>
      </c>
      <c r="H770" s="3">
        <v>1.742</v>
      </c>
      <c r="I770" s="13">
        <f t="shared" si="12"/>
        <v>3.9870689655172415</v>
      </c>
    </row>
    <row r="771" spans="2:9">
      <c r="C771" s="46">
        <v>1.875</v>
      </c>
      <c r="D771" s="3">
        <v>102.8</v>
      </c>
      <c r="E771" s="3">
        <v>64.709999999999994</v>
      </c>
      <c r="F771" s="3">
        <v>16.48</v>
      </c>
      <c r="G771" s="3">
        <v>522.20000000000005</v>
      </c>
      <c r="H771" s="3">
        <v>1.7090000000000001</v>
      </c>
      <c r="I771" s="13">
        <f t="shared" si="12"/>
        <v>3.9265776699029122</v>
      </c>
    </row>
    <row r="772" spans="2:9">
      <c r="C772" s="46">
        <v>1.8819999999999999</v>
      </c>
      <c r="D772" s="3">
        <v>111</v>
      </c>
      <c r="E772" s="3">
        <v>64.319999999999993</v>
      </c>
      <c r="F772" s="3">
        <v>16.63</v>
      </c>
      <c r="G772" s="3">
        <v>518.5</v>
      </c>
      <c r="H772" s="3">
        <v>1.869</v>
      </c>
      <c r="I772" s="13">
        <f t="shared" si="12"/>
        <v>3.867708959711365</v>
      </c>
    </row>
    <row r="773" spans="2:9">
      <c r="C773" s="46">
        <v>1.873</v>
      </c>
      <c r="D773" s="3">
        <v>108.6</v>
      </c>
      <c r="E773" s="3">
        <v>64.760000000000005</v>
      </c>
      <c r="F773" s="3">
        <v>16.600000000000001</v>
      </c>
      <c r="G773" s="3">
        <v>517</v>
      </c>
      <c r="H773" s="3">
        <v>1.9</v>
      </c>
      <c r="I773" s="13">
        <f t="shared" si="12"/>
        <v>3.9012048192771083</v>
      </c>
    </row>
    <row r="774" spans="2:9">
      <c r="C774" s="46">
        <v>1.865</v>
      </c>
      <c r="D774" s="3">
        <v>130.19999999999999</v>
      </c>
      <c r="E774" s="3">
        <v>65.09</v>
      </c>
      <c r="F774" s="3">
        <v>16.03</v>
      </c>
      <c r="G774" s="3">
        <v>516.6</v>
      </c>
      <c r="H774" s="3">
        <v>2.2010000000000001</v>
      </c>
      <c r="I774" s="13">
        <f t="shared" si="12"/>
        <v>4.0605115408608858</v>
      </c>
    </row>
    <row r="775" spans="2:9">
      <c r="C775" s="46">
        <v>1.796</v>
      </c>
      <c r="D775" s="3">
        <v>126.1</v>
      </c>
      <c r="E775" s="3">
        <v>64.7</v>
      </c>
      <c r="F775" s="3">
        <v>16.61</v>
      </c>
      <c r="G775" s="3">
        <v>514.4</v>
      </c>
      <c r="H775" s="3">
        <v>2.4209999999999998</v>
      </c>
      <c r="I775" s="13">
        <f t="shared" si="12"/>
        <v>3.8952438290186637</v>
      </c>
    </row>
    <row r="776" spans="2:9">
      <c r="C776" s="46">
        <v>1.776</v>
      </c>
      <c r="D776" s="3">
        <v>130.19999999999999</v>
      </c>
      <c r="E776" s="3">
        <v>64.5</v>
      </c>
      <c r="F776" s="3">
        <v>16.22</v>
      </c>
      <c r="G776" s="3">
        <v>513.9</v>
      </c>
      <c r="H776" s="3">
        <v>2.0569999999999999</v>
      </c>
      <c r="I776" s="13">
        <f t="shared" si="12"/>
        <v>3.9765721331689274</v>
      </c>
    </row>
    <row r="777" spans="2:9">
      <c r="C777" s="46">
        <v>1.7390000000000001</v>
      </c>
      <c r="D777" s="3">
        <v>117.6</v>
      </c>
      <c r="E777" s="3">
        <v>64.89</v>
      </c>
      <c r="F777" s="3">
        <v>16.239999999999998</v>
      </c>
      <c r="G777" s="3">
        <v>515.5</v>
      </c>
      <c r="H777" s="3">
        <v>1.93</v>
      </c>
      <c r="I777" s="13">
        <f t="shared" si="12"/>
        <v>3.9956896551724141</v>
      </c>
    </row>
    <row r="778" spans="2:9">
      <c r="C778" s="46">
        <v>1.69</v>
      </c>
      <c r="D778" s="3">
        <v>106.6</v>
      </c>
      <c r="E778" s="3">
        <v>64.510000000000005</v>
      </c>
      <c r="F778" s="3">
        <v>16.27</v>
      </c>
      <c r="G778" s="3">
        <v>515.6</v>
      </c>
      <c r="H778" s="3">
        <v>2.0339999999999998</v>
      </c>
      <c r="I778" s="13">
        <f t="shared" si="12"/>
        <v>3.9649661954517521</v>
      </c>
    </row>
    <row r="779" spans="2:9">
      <c r="C779" s="46">
        <v>1.627</v>
      </c>
      <c r="D779" s="3">
        <v>102.8</v>
      </c>
      <c r="E779" s="3">
        <v>64.709999999999994</v>
      </c>
      <c r="F779" s="3">
        <v>16.43</v>
      </c>
      <c r="G779" s="3">
        <v>513.20000000000005</v>
      </c>
      <c r="H779" s="3">
        <v>2.169</v>
      </c>
      <c r="I779" s="13">
        <f t="shared" si="12"/>
        <v>3.9385270846013385</v>
      </c>
    </row>
    <row r="780" spans="2:9">
      <c r="C780" s="46">
        <v>1.5289999999999999</v>
      </c>
      <c r="D780" s="3">
        <v>97.1</v>
      </c>
      <c r="E780" s="3">
        <v>64.72</v>
      </c>
      <c r="F780" s="3">
        <v>16.23</v>
      </c>
      <c r="G780" s="3">
        <v>514.20000000000005</v>
      </c>
      <c r="H780" s="3">
        <v>1.9259999999999999</v>
      </c>
      <c r="I780" s="13">
        <f t="shared" si="12"/>
        <v>3.9876771410967344</v>
      </c>
    </row>
    <row r="781" spans="2:9">
      <c r="C781" s="46">
        <v>1.798</v>
      </c>
      <c r="D781" s="3">
        <v>100.5</v>
      </c>
      <c r="E781" s="3">
        <v>64.73</v>
      </c>
      <c r="F781" s="3">
        <v>16.21</v>
      </c>
      <c r="G781" s="3">
        <v>514.6</v>
      </c>
      <c r="H781" s="3">
        <v>1.742</v>
      </c>
      <c r="I781" s="13">
        <f t="shared" si="12"/>
        <v>3.9932140653917334</v>
      </c>
    </row>
    <row r="782" spans="2:9">
      <c r="B782" s="16">
        <v>40</v>
      </c>
      <c r="C782" s="47">
        <v>2.5880000000000001</v>
      </c>
      <c r="D782" s="18">
        <v>123.4</v>
      </c>
      <c r="E782" s="16">
        <v>103</v>
      </c>
      <c r="F782" s="16">
        <v>27.63</v>
      </c>
      <c r="G782" s="16">
        <v>409.6</v>
      </c>
      <c r="H782" s="16">
        <v>1.413</v>
      </c>
      <c r="I782" s="13">
        <f t="shared" si="12"/>
        <v>3.7278320665942819</v>
      </c>
    </row>
    <row r="783" spans="2:9">
      <c r="C783" s="46">
        <v>2.452</v>
      </c>
      <c r="D783" s="3">
        <v>133.69999999999999</v>
      </c>
      <c r="E783" s="3">
        <v>103.1</v>
      </c>
      <c r="F783" s="3">
        <v>27.55</v>
      </c>
      <c r="G783" s="3">
        <v>408.7</v>
      </c>
      <c r="H783" s="3">
        <v>1.5649999999999999</v>
      </c>
      <c r="I783" s="13">
        <f t="shared" si="12"/>
        <v>3.7422867513611613</v>
      </c>
    </row>
    <row r="784" spans="2:9">
      <c r="C784" s="46">
        <v>2.42</v>
      </c>
      <c r="D784" s="3">
        <v>165</v>
      </c>
      <c r="E784" s="3">
        <v>103.1</v>
      </c>
      <c r="F784" s="3">
        <v>27.59</v>
      </c>
      <c r="G784" s="3">
        <v>404.4</v>
      </c>
      <c r="H784" s="3">
        <v>1.552</v>
      </c>
      <c r="I784" s="13">
        <f t="shared" si="12"/>
        <v>3.7368611815875314</v>
      </c>
    </row>
    <row r="785" spans="3:9">
      <c r="C785" s="46">
        <v>2.532</v>
      </c>
      <c r="D785" s="3">
        <v>130.80000000000001</v>
      </c>
      <c r="E785" s="3">
        <v>103.5</v>
      </c>
      <c r="F785" s="3">
        <v>25.94</v>
      </c>
      <c r="G785" s="3">
        <v>402.3</v>
      </c>
      <c r="H785" s="3">
        <v>1.4750000000000001</v>
      </c>
      <c r="I785" s="13">
        <f t="shared" si="12"/>
        <v>3.9899768696993059</v>
      </c>
    </row>
    <row r="786" spans="3:9">
      <c r="C786" s="46">
        <v>2.665</v>
      </c>
      <c r="D786" s="3">
        <v>128.80000000000001</v>
      </c>
      <c r="E786" s="3">
        <v>102.8</v>
      </c>
      <c r="F786" s="3">
        <v>25.91</v>
      </c>
      <c r="G786" s="3">
        <v>404.3</v>
      </c>
      <c r="H786" s="3">
        <v>1.484</v>
      </c>
      <c r="I786" s="13">
        <f t="shared" si="12"/>
        <v>3.9675800849093013</v>
      </c>
    </row>
    <row r="787" spans="3:9">
      <c r="C787" s="46">
        <v>2.7029999999999998</v>
      </c>
      <c r="D787" s="3">
        <v>201.8</v>
      </c>
      <c r="E787" s="3">
        <v>102.4</v>
      </c>
      <c r="F787" s="3">
        <v>25.23</v>
      </c>
      <c r="G787" s="3">
        <v>408.8</v>
      </c>
      <c r="H787" s="3">
        <v>1.4830000000000001</v>
      </c>
      <c r="I787" s="13">
        <f t="shared" si="12"/>
        <v>4.0586603250099094</v>
      </c>
    </row>
    <row r="788" spans="3:9">
      <c r="C788" s="46">
        <v>2.5779999999999998</v>
      </c>
      <c r="D788" s="3">
        <v>112.5</v>
      </c>
      <c r="E788" s="3">
        <v>103.3</v>
      </c>
      <c r="F788" s="3">
        <v>25.37</v>
      </c>
      <c r="G788" s="3">
        <v>401.2</v>
      </c>
      <c r="H788" s="3">
        <v>1.573</v>
      </c>
      <c r="I788" s="13">
        <f t="shared" si="12"/>
        <v>4.0717382735514382</v>
      </c>
    </row>
    <row r="789" spans="3:9">
      <c r="C789" s="46">
        <v>2.484</v>
      </c>
      <c r="D789" s="3">
        <v>109.9</v>
      </c>
      <c r="E789" s="3">
        <v>102.9</v>
      </c>
      <c r="F789" s="3">
        <v>25.64</v>
      </c>
      <c r="G789" s="3">
        <v>411.8</v>
      </c>
      <c r="H789" s="3">
        <v>1.552</v>
      </c>
      <c r="I789" s="13">
        <f t="shared" si="12"/>
        <v>4.013260530421217</v>
      </c>
    </row>
    <row r="790" spans="3:9">
      <c r="C790" s="46">
        <v>2.46</v>
      </c>
      <c r="D790" s="3">
        <v>103</v>
      </c>
      <c r="E790" s="3">
        <v>102.5</v>
      </c>
      <c r="F790" s="3">
        <v>25.39</v>
      </c>
      <c r="G790" s="3">
        <v>409.6</v>
      </c>
      <c r="H790" s="3">
        <v>1.597</v>
      </c>
      <c r="I790" s="13">
        <f t="shared" ref="I790:I853" si="13">E790/F790</f>
        <v>4.0370224497833789</v>
      </c>
    </row>
    <row r="791" spans="3:9">
      <c r="C791" s="46">
        <v>2.6179999999999999</v>
      </c>
      <c r="D791" s="3">
        <v>118.7</v>
      </c>
      <c r="E791" s="3">
        <v>103</v>
      </c>
      <c r="F791" s="3">
        <v>25.39</v>
      </c>
      <c r="G791" s="3">
        <v>412.1</v>
      </c>
      <c r="H791" s="3">
        <v>1.6659999999999999</v>
      </c>
      <c r="I791" s="13">
        <f t="shared" si="13"/>
        <v>4.0567152422213466</v>
      </c>
    </row>
    <row r="792" spans="3:9">
      <c r="C792" s="46">
        <v>2.5</v>
      </c>
      <c r="D792" s="3">
        <v>130.80000000000001</v>
      </c>
      <c r="E792" s="3">
        <v>103.2</v>
      </c>
      <c r="F792" s="3">
        <v>25.41</v>
      </c>
      <c r="G792" s="3">
        <v>407.7</v>
      </c>
      <c r="H792" s="3">
        <v>1.718</v>
      </c>
      <c r="I792" s="13">
        <f t="shared" si="13"/>
        <v>4.0613931523022435</v>
      </c>
    </row>
    <row r="793" spans="3:9">
      <c r="C793" s="46">
        <v>2.5579999999999998</v>
      </c>
      <c r="D793" s="3">
        <v>123.1</v>
      </c>
      <c r="E793" s="3">
        <v>103.4</v>
      </c>
      <c r="F793" s="3">
        <v>25.64</v>
      </c>
      <c r="G793" s="3">
        <v>410.5</v>
      </c>
      <c r="H793" s="3">
        <v>1.5369999999999999</v>
      </c>
      <c r="I793" s="13">
        <f t="shared" si="13"/>
        <v>4.0327613104524183</v>
      </c>
    </row>
    <row r="794" spans="3:9">
      <c r="C794" s="46">
        <v>2.645</v>
      </c>
      <c r="D794" s="3">
        <v>169.8</v>
      </c>
      <c r="E794" s="3">
        <v>103.1</v>
      </c>
      <c r="F794" s="3">
        <v>26.01</v>
      </c>
      <c r="G794" s="3">
        <v>408.7</v>
      </c>
      <c r="H794" s="3">
        <v>1.552</v>
      </c>
      <c r="I794" s="13">
        <f t="shared" si="13"/>
        <v>3.9638600538254511</v>
      </c>
    </row>
    <row r="795" spans="3:9">
      <c r="C795" s="46">
        <v>2.609</v>
      </c>
      <c r="D795" s="3">
        <v>163</v>
      </c>
      <c r="E795" s="3">
        <v>102.6</v>
      </c>
      <c r="F795" s="3">
        <v>25.69</v>
      </c>
      <c r="G795" s="3">
        <v>402.6</v>
      </c>
      <c r="H795" s="3">
        <v>1.6120000000000001</v>
      </c>
      <c r="I795" s="13">
        <f t="shared" si="13"/>
        <v>3.9937718956792523</v>
      </c>
    </row>
    <row r="796" spans="3:9">
      <c r="C796" s="46">
        <v>2.6</v>
      </c>
      <c r="D796" s="3">
        <v>130.80000000000001</v>
      </c>
      <c r="E796" s="3">
        <v>103.1</v>
      </c>
      <c r="F796" s="3">
        <v>25.65</v>
      </c>
      <c r="G796" s="3">
        <v>422.6</v>
      </c>
      <c r="H796" s="3">
        <v>1.6579999999999999</v>
      </c>
      <c r="I796" s="13">
        <f t="shared" si="13"/>
        <v>4.0194931773879139</v>
      </c>
    </row>
    <row r="797" spans="3:9">
      <c r="C797" s="46">
        <v>2.6560000000000001</v>
      </c>
      <c r="D797" s="3">
        <v>159.6</v>
      </c>
      <c r="E797" s="3">
        <v>102.5</v>
      </c>
      <c r="F797" s="3">
        <v>25.17</v>
      </c>
      <c r="G797" s="3">
        <v>410.5</v>
      </c>
      <c r="H797" s="3">
        <v>1.5609999999999999</v>
      </c>
      <c r="I797" s="13">
        <f t="shared" si="13"/>
        <v>4.0723083035359551</v>
      </c>
    </row>
    <row r="798" spans="3:9">
      <c r="C798" s="46">
        <v>2.7</v>
      </c>
      <c r="D798" s="3">
        <v>185.7</v>
      </c>
      <c r="E798" s="3">
        <v>102.6</v>
      </c>
      <c r="F798" s="3">
        <v>26.06</v>
      </c>
      <c r="G798" s="3">
        <v>411.2</v>
      </c>
      <c r="H798" s="3">
        <v>1.413</v>
      </c>
      <c r="I798" s="13">
        <f t="shared" si="13"/>
        <v>3.9370683039140446</v>
      </c>
    </row>
    <row r="799" spans="3:9">
      <c r="C799" s="46">
        <v>2.5950000000000002</v>
      </c>
      <c r="D799" s="3">
        <v>133.19999999999999</v>
      </c>
      <c r="E799" s="3">
        <v>103.6</v>
      </c>
      <c r="F799" s="3">
        <v>25.51</v>
      </c>
      <c r="G799" s="3">
        <v>410.5</v>
      </c>
      <c r="H799" s="3">
        <v>1.349</v>
      </c>
      <c r="I799" s="13">
        <f t="shared" si="13"/>
        <v>4.0611524892199133</v>
      </c>
    </row>
    <row r="800" spans="3:9">
      <c r="C800" s="46">
        <v>2.448</v>
      </c>
      <c r="D800" s="3">
        <v>165</v>
      </c>
      <c r="E800" s="3">
        <v>102.8</v>
      </c>
      <c r="F800" s="3">
        <v>25.12</v>
      </c>
      <c r="G800" s="3">
        <v>410.7</v>
      </c>
      <c r="H800" s="3">
        <v>1.2969999999999999</v>
      </c>
      <c r="I800" s="13">
        <f t="shared" si="13"/>
        <v>4.0923566878980893</v>
      </c>
    </row>
    <row r="801" spans="2:9">
      <c r="C801" s="46">
        <v>2.5230000000000001</v>
      </c>
      <c r="D801" s="3">
        <v>147.19999999999999</v>
      </c>
      <c r="E801" s="3">
        <v>102.8</v>
      </c>
      <c r="F801" s="3">
        <v>24.7</v>
      </c>
      <c r="G801" s="3">
        <v>401.1</v>
      </c>
      <c r="H801" s="3">
        <v>1.4179999999999999</v>
      </c>
      <c r="I801" s="13">
        <f t="shared" si="13"/>
        <v>4.1619433198380564</v>
      </c>
    </row>
    <row r="802" spans="2:9">
      <c r="B802" s="16">
        <v>41</v>
      </c>
      <c r="C802" s="47">
        <v>2.3109999999999999</v>
      </c>
      <c r="D802" s="18">
        <v>73.58</v>
      </c>
      <c r="E802" s="16">
        <v>111.7</v>
      </c>
      <c r="F802" s="16">
        <v>27.73</v>
      </c>
      <c r="G802" s="16">
        <v>490.9</v>
      </c>
      <c r="H802" s="16">
        <v>2.4060000000000001</v>
      </c>
      <c r="I802" s="13">
        <f t="shared" si="13"/>
        <v>4.0281283808150015</v>
      </c>
    </row>
    <row r="803" spans="2:9">
      <c r="C803" s="46">
        <v>2.351</v>
      </c>
      <c r="D803" s="3">
        <v>74.59</v>
      </c>
      <c r="E803" s="3">
        <v>111.6</v>
      </c>
      <c r="F803" s="3">
        <v>27.92</v>
      </c>
      <c r="G803" s="3">
        <v>493.5</v>
      </c>
      <c r="H803" s="3">
        <v>2.3420000000000001</v>
      </c>
      <c r="I803" s="13">
        <f t="shared" si="13"/>
        <v>3.9971346704871054</v>
      </c>
    </row>
    <row r="804" spans="2:9">
      <c r="C804" s="46">
        <v>2.3340000000000001</v>
      </c>
      <c r="D804" s="3">
        <v>83.98</v>
      </c>
      <c r="E804" s="3">
        <v>111.2</v>
      </c>
      <c r="F804" s="3">
        <v>28.15</v>
      </c>
      <c r="G804" s="3">
        <v>488.9</v>
      </c>
      <c r="H804" s="3">
        <v>2.391</v>
      </c>
      <c r="I804" s="13">
        <f t="shared" si="13"/>
        <v>3.9502664298401422</v>
      </c>
    </row>
    <row r="805" spans="2:9">
      <c r="C805" s="46">
        <v>2.286</v>
      </c>
      <c r="D805" s="3">
        <v>71.5</v>
      </c>
      <c r="E805" s="3">
        <v>111.5</v>
      </c>
      <c r="F805" s="3">
        <v>27.76</v>
      </c>
      <c r="G805" s="3">
        <v>487.6</v>
      </c>
      <c r="H805" s="3">
        <v>2.2120000000000002</v>
      </c>
      <c r="I805" s="13">
        <f t="shared" si="13"/>
        <v>4.0165706051873196</v>
      </c>
    </row>
    <row r="806" spans="2:9">
      <c r="C806" s="46">
        <v>2.2999999999999998</v>
      </c>
      <c r="D806" s="3">
        <v>78.83</v>
      </c>
      <c r="E806" s="3">
        <v>111.6</v>
      </c>
      <c r="F806" s="3">
        <v>27.63</v>
      </c>
      <c r="G806" s="3">
        <v>493.3</v>
      </c>
      <c r="H806" s="3">
        <v>2.468</v>
      </c>
      <c r="I806" s="13">
        <f t="shared" si="13"/>
        <v>4.0390879478827362</v>
      </c>
    </row>
    <row r="807" spans="2:9">
      <c r="C807" s="46">
        <v>2.27</v>
      </c>
      <c r="D807" s="3">
        <v>102.4</v>
      </c>
      <c r="E807" s="3">
        <v>111.7</v>
      </c>
      <c r="F807" s="3">
        <v>26.96</v>
      </c>
      <c r="G807" s="3">
        <v>490.8</v>
      </c>
      <c r="H807" s="3">
        <v>2.5329999999999999</v>
      </c>
      <c r="I807" s="13">
        <f t="shared" si="13"/>
        <v>4.1431750741839766</v>
      </c>
    </row>
    <row r="808" spans="2:9">
      <c r="C808" s="46">
        <v>2.286</v>
      </c>
      <c r="D808" s="3">
        <v>73.739999999999995</v>
      </c>
      <c r="E808" s="3">
        <v>111.5</v>
      </c>
      <c r="F808" s="3">
        <v>27.65</v>
      </c>
      <c r="G808" s="3">
        <v>492.2</v>
      </c>
      <c r="H808" s="3">
        <v>2.492</v>
      </c>
      <c r="I808" s="13">
        <f t="shared" si="13"/>
        <v>4.0325497287522607</v>
      </c>
    </row>
    <row r="809" spans="2:9">
      <c r="C809" s="46">
        <v>2.3479999999999999</v>
      </c>
      <c r="D809" s="3">
        <v>69.400000000000006</v>
      </c>
      <c r="E809" s="3">
        <v>111.4</v>
      </c>
      <c r="F809" s="3">
        <v>27.52</v>
      </c>
      <c r="G809" s="3">
        <v>492.7</v>
      </c>
      <c r="H809" s="3">
        <v>2.4900000000000002</v>
      </c>
      <c r="I809" s="13">
        <f t="shared" si="13"/>
        <v>4.0479651162790704</v>
      </c>
    </row>
    <row r="810" spans="2:9">
      <c r="C810" s="46">
        <v>2.3340000000000001</v>
      </c>
      <c r="D810" s="3">
        <v>82.24</v>
      </c>
      <c r="E810" s="3">
        <v>111.8</v>
      </c>
      <c r="F810" s="3">
        <v>26.86</v>
      </c>
      <c r="G810" s="3">
        <v>503.6</v>
      </c>
      <c r="H810" s="3">
        <v>2.3610000000000002</v>
      </c>
      <c r="I810" s="13">
        <f t="shared" si="13"/>
        <v>4.1623231571109454</v>
      </c>
    </row>
    <row r="811" spans="2:9">
      <c r="C811" s="46">
        <v>2.3740000000000001</v>
      </c>
      <c r="D811" s="3">
        <v>119</v>
      </c>
      <c r="E811" s="3">
        <v>112.1</v>
      </c>
      <c r="F811" s="3">
        <v>27.44</v>
      </c>
      <c r="G811" s="3">
        <v>497.5</v>
      </c>
      <c r="H811" s="3">
        <v>2.589</v>
      </c>
      <c r="I811" s="13">
        <f t="shared" si="13"/>
        <v>4.0852769679300289</v>
      </c>
    </row>
    <row r="812" spans="2:9">
      <c r="C812" s="46">
        <v>2.403</v>
      </c>
      <c r="D812" s="3">
        <v>110.1</v>
      </c>
      <c r="E812" s="3">
        <v>112.2</v>
      </c>
      <c r="F812" s="3">
        <v>27.74</v>
      </c>
      <c r="G812" s="3">
        <v>495</v>
      </c>
      <c r="H812" s="3">
        <v>2.8090000000000002</v>
      </c>
      <c r="I812" s="13">
        <f t="shared" si="13"/>
        <v>4.0447007930785874</v>
      </c>
    </row>
    <row r="813" spans="2:9">
      <c r="C813" s="46">
        <v>2.4239999999999999</v>
      </c>
      <c r="D813" s="3">
        <v>154.19999999999999</v>
      </c>
      <c r="E813" s="3">
        <v>111.8</v>
      </c>
      <c r="F813" s="3">
        <v>27.47</v>
      </c>
      <c r="G813" s="3">
        <v>500.3</v>
      </c>
      <c r="H813" s="3">
        <v>2.1960000000000002</v>
      </c>
      <c r="I813" s="13">
        <f t="shared" si="13"/>
        <v>4.0698944302875866</v>
      </c>
    </row>
    <row r="814" spans="2:9">
      <c r="C814" s="46">
        <v>2.4540000000000002</v>
      </c>
      <c r="D814" s="3">
        <v>142.1</v>
      </c>
      <c r="E814" s="3">
        <v>111.6</v>
      </c>
      <c r="F814" s="3">
        <v>27.18</v>
      </c>
      <c r="G814" s="3">
        <v>507.7</v>
      </c>
      <c r="H814" s="3">
        <v>2.2509999999999999</v>
      </c>
      <c r="I814" s="13">
        <f t="shared" si="13"/>
        <v>4.1059602649006619</v>
      </c>
    </row>
    <row r="815" spans="2:9">
      <c r="C815" s="46">
        <v>2.4359999999999999</v>
      </c>
      <c r="D815" s="3">
        <v>145.80000000000001</v>
      </c>
      <c r="E815" s="3">
        <v>111.5</v>
      </c>
      <c r="F815" s="3">
        <v>27.84</v>
      </c>
      <c r="G815" s="3">
        <v>507.2</v>
      </c>
      <c r="H815" s="3">
        <v>2.4390000000000001</v>
      </c>
      <c r="I815" s="13">
        <f t="shared" si="13"/>
        <v>4.0050287356321839</v>
      </c>
    </row>
    <row r="816" spans="2:9">
      <c r="C816" s="46">
        <v>2.395</v>
      </c>
      <c r="D816" s="3">
        <v>142.1</v>
      </c>
      <c r="E816" s="3">
        <v>111.2</v>
      </c>
      <c r="F816" s="3">
        <v>28.1</v>
      </c>
      <c r="G816" s="3">
        <v>495</v>
      </c>
      <c r="H816" s="3">
        <v>2.4769999999999999</v>
      </c>
      <c r="I816" s="13">
        <f t="shared" si="13"/>
        <v>3.9572953736654801</v>
      </c>
    </row>
    <row r="817" spans="2:9">
      <c r="C817" s="46">
        <v>2.3660000000000001</v>
      </c>
      <c r="D817" s="3">
        <v>183.8</v>
      </c>
      <c r="E817" s="3">
        <v>111.3</v>
      </c>
      <c r="F817" s="3">
        <v>27.94</v>
      </c>
      <c r="G817" s="3">
        <v>494.9</v>
      </c>
      <c r="H817" s="3">
        <v>2.4209999999999998</v>
      </c>
      <c r="I817" s="13">
        <f t="shared" si="13"/>
        <v>3.9835361488904795</v>
      </c>
    </row>
    <row r="818" spans="2:9">
      <c r="C818" s="46">
        <v>2.403</v>
      </c>
      <c r="D818" s="3">
        <v>153.69999999999999</v>
      </c>
      <c r="E818" s="3">
        <v>111.2</v>
      </c>
      <c r="F818" s="3">
        <v>27.89</v>
      </c>
      <c r="G818" s="3">
        <v>487.5</v>
      </c>
      <c r="H818" s="3">
        <v>2.3650000000000002</v>
      </c>
      <c r="I818" s="13">
        <f t="shared" si="13"/>
        <v>3.9870921477231982</v>
      </c>
    </row>
    <row r="819" spans="2:9">
      <c r="C819" s="46">
        <v>2.3740000000000001</v>
      </c>
      <c r="D819" s="3">
        <v>150.80000000000001</v>
      </c>
      <c r="E819" s="3">
        <v>111.6</v>
      </c>
      <c r="F819" s="3">
        <v>28.25</v>
      </c>
      <c r="G819" s="3">
        <v>494.8</v>
      </c>
      <c r="H819" s="3">
        <v>2.2650000000000001</v>
      </c>
      <c r="I819" s="13">
        <f t="shared" si="13"/>
        <v>3.950442477876106</v>
      </c>
    </row>
    <row r="820" spans="2:9">
      <c r="C820" s="46">
        <v>2.3340000000000001</v>
      </c>
      <c r="D820" s="3">
        <v>148.69999999999999</v>
      </c>
      <c r="E820" s="3">
        <v>111.9</v>
      </c>
      <c r="F820" s="3">
        <v>27.84</v>
      </c>
      <c r="G820" s="3">
        <v>497.2</v>
      </c>
      <c r="H820" s="3">
        <v>2.468</v>
      </c>
      <c r="I820" s="13">
        <f t="shared" si="13"/>
        <v>4.0193965517241379</v>
      </c>
    </row>
    <row r="821" spans="2:9">
      <c r="C821" s="46">
        <v>2.27</v>
      </c>
      <c r="D821" s="3">
        <v>150.80000000000001</v>
      </c>
      <c r="E821" s="3">
        <v>111.2</v>
      </c>
      <c r="F821" s="3">
        <v>28.08</v>
      </c>
      <c r="G821" s="3">
        <v>498.6</v>
      </c>
      <c r="H821" s="3">
        <v>2.1629999999999998</v>
      </c>
      <c r="I821" s="13">
        <f t="shared" si="13"/>
        <v>3.9601139601139606</v>
      </c>
    </row>
    <row r="822" spans="2:9">
      <c r="B822" s="16">
        <v>42</v>
      </c>
      <c r="C822" s="47">
        <v>2.0190000000000001</v>
      </c>
      <c r="D822" s="18">
        <v>71.900000000000006</v>
      </c>
      <c r="E822" s="16">
        <v>83.27</v>
      </c>
      <c r="F822" s="16">
        <v>25.8</v>
      </c>
      <c r="G822" s="16">
        <v>488.9</v>
      </c>
      <c r="H822" s="16">
        <v>3.6859999999999999</v>
      </c>
      <c r="I822" s="13">
        <f t="shared" si="13"/>
        <v>3.2275193798449608</v>
      </c>
    </row>
    <row r="823" spans="2:9">
      <c r="C823" s="46">
        <v>2.0289999999999999</v>
      </c>
      <c r="D823" s="3">
        <v>70.52</v>
      </c>
      <c r="E823" s="3">
        <v>82.87</v>
      </c>
      <c r="F823" s="3">
        <v>26.13</v>
      </c>
      <c r="G823" s="3">
        <v>493.7</v>
      </c>
      <c r="H823" s="3">
        <v>3.6030000000000002</v>
      </c>
      <c r="I823" s="13">
        <f t="shared" si="13"/>
        <v>3.1714504401071566</v>
      </c>
    </row>
    <row r="824" spans="2:9">
      <c r="C824" s="46">
        <v>2.0230000000000001</v>
      </c>
      <c r="D824" s="3">
        <v>73.58</v>
      </c>
      <c r="E824" s="3">
        <v>82.73</v>
      </c>
      <c r="F824" s="3">
        <v>26.18</v>
      </c>
      <c r="G824" s="3">
        <v>491.7</v>
      </c>
      <c r="H824" s="3">
        <v>3.6930000000000001</v>
      </c>
      <c r="I824" s="13">
        <f t="shared" si="13"/>
        <v>3.1600458365164248</v>
      </c>
    </row>
    <row r="825" spans="2:9">
      <c r="C825" s="46">
        <v>2.004</v>
      </c>
      <c r="D825" s="3">
        <v>83.98</v>
      </c>
      <c r="E825" s="3">
        <v>83</v>
      </c>
      <c r="F825" s="3">
        <v>26.33</v>
      </c>
      <c r="G825" s="3">
        <v>490.9</v>
      </c>
      <c r="H825" s="3">
        <v>3.6579999999999999</v>
      </c>
      <c r="I825" s="13">
        <f t="shared" si="13"/>
        <v>3.1522977592100268</v>
      </c>
    </row>
    <row r="826" spans="2:9">
      <c r="C826" s="46">
        <v>2.016</v>
      </c>
      <c r="D826" s="3">
        <v>74.59</v>
      </c>
      <c r="E826" s="3">
        <v>83.27</v>
      </c>
      <c r="F826" s="3">
        <v>26.16</v>
      </c>
      <c r="G826" s="3">
        <v>494.9</v>
      </c>
      <c r="H826" s="3">
        <v>3.6859999999999999</v>
      </c>
      <c r="I826" s="13">
        <f t="shared" si="13"/>
        <v>3.1831039755351682</v>
      </c>
    </row>
    <row r="827" spans="2:9">
      <c r="C827" s="46">
        <v>2.0190000000000001</v>
      </c>
      <c r="D827" s="3">
        <v>75.2</v>
      </c>
      <c r="E827" s="3">
        <v>83.41</v>
      </c>
      <c r="F827" s="3">
        <v>26</v>
      </c>
      <c r="G827" s="3">
        <v>490.8</v>
      </c>
      <c r="H827" s="3">
        <v>3.3519999999999999</v>
      </c>
      <c r="I827" s="13">
        <f t="shared" si="13"/>
        <v>3.208076923076923</v>
      </c>
    </row>
    <row r="828" spans="2:9">
      <c r="C828" s="46">
        <v>2.0009999999999999</v>
      </c>
      <c r="D828" s="3">
        <v>102.4</v>
      </c>
      <c r="E828" s="3">
        <v>82.46</v>
      </c>
      <c r="F828" s="3">
        <v>25.93</v>
      </c>
      <c r="G828" s="3">
        <v>495</v>
      </c>
      <c r="H828" s="3">
        <v>3.7909999999999999</v>
      </c>
      <c r="I828" s="13">
        <f t="shared" si="13"/>
        <v>3.180100269957578</v>
      </c>
    </row>
    <row r="829" spans="2:9">
      <c r="C829" s="46">
        <v>1.9370000000000001</v>
      </c>
      <c r="D829" s="3">
        <v>81.17</v>
      </c>
      <c r="E829" s="3">
        <v>83</v>
      </c>
      <c r="F829" s="3">
        <v>25.89</v>
      </c>
      <c r="G829" s="3">
        <v>495.4</v>
      </c>
      <c r="H829" s="3">
        <v>3.6030000000000002</v>
      </c>
      <c r="I829" s="13">
        <f t="shared" si="13"/>
        <v>3.205870992661259</v>
      </c>
    </row>
    <row r="830" spans="2:9">
      <c r="C830" s="46">
        <v>2.0019999999999998</v>
      </c>
      <c r="D830" s="3">
        <v>81.93</v>
      </c>
      <c r="E830" s="3">
        <v>83.14</v>
      </c>
      <c r="F830" s="3">
        <v>25.73</v>
      </c>
      <c r="G830" s="3">
        <v>495.3</v>
      </c>
      <c r="H830" s="3">
        <v>3.6629999999999998</v>
      </c>
      <c r="I830" s="13">
        <f t="shared" si="13"/>
        <v>3.2312475709288768</v>
      </c>
    </row>
    <row r="831" spans="2:9">
      <c r="C831" s="46">
        <v>2.0009999999999999</v>
      </c>
      <c r="D831" s="3">
        <v>93.17</v>
      </c>
      <c r="E831" s="3">
        <v>83.22</v>
      </c>
      <c r="F831" s="3">
        <v>26.29</v>
      </c>
      <c r="G831" s="3">
        <v>510.2</v>
      </c>
      <c r="H831" s="3">
        <v>3.7989999999999999</v>
      </c>
      <c r="I831" s="13">
        <f t="shared" si="13"/>
        <v>3.1654621529098517</v>
      </c>
    </row>
    <row r="832" spans="2:9">
      <c r="C832" s="46">
        <v>1.988</v>
      </c>
      <c r="D832" s="3">
        <v>81.81</v>
      </c>
      <c r="E832" s="3">
        <v>83.28</v>
      </c>
      <c r="F832" s="3">
        <v>25.91</v>
      </c>
      <c r="G832" s="3">
        <v>496.2</v>
      </c>
      <c r="H832" s="3">
        <v>3.69</v>
      </c>
      <c r="I832" s="13">
        <f t="shared" si="13"/>
        <v>3.2142030104206869</v>
      </c>
    </row>
    <row r="833" spans="2:9">
      <c r="C833" s="46">
        <v>1.972</v>
      </c>
      <c r="D833" s="3">
        <v>73.14</v>
      </c>
      <c r="E833" s="3">
        <v>82.46</v>
      </c>
      <c r="F833" s="3">
        <v>26.32</v>
      </c>
      <c r="G833" s="3">
        <v>500.3</v>
      </c>
      <c r="H833" s="3">
        <v>3.6619999999999999</v>
      </c>
      <c r="I833" s="13">
        <f t="shared" si="13"/>
        <v>3.1329787234042552</v>
      </c>
    </row>
    <row r="834" spans="2:9">
      <c r="C834" s="46">
        <v>2.0009999999999999</v>
      </c>
      <c r="D834" s="3">
        <v>83.51</v>
      </c>
      <c r="E834" s="3">
        <v>82.33</v>
      </c>
      <c r="F834" s="3">
        <v>26.56</v>
      </c>
      <c r="G834" s="3">
        <v>504.9</v>
      </c>
      <c r="H834" s="3">
        <v>3.46</v>
      </c>
      <c r="I834" s="13">
        <f t="shared" si="13"/>
        <v>3.0997740963855422</v>
      </c>
    </row>
    <row r="835" spans="2:9">
      <c r="C835" s="46">
        <v>1.992</v>
      </c>
      <c r="D835" s="3">
        <v>73.569999999999993</v>
      </c>
      <c r="E835" s="3">
        <v>82.6</v>
      </c>
      <c r="F835" s="3">
        <v>26.14</v>
      </c>
      <c r="G835" s="3">
        <v>505.6</v>
      </c>
      <c r="H835" s="3">
        <v>3.5089999999999999</v>
      </c>
      <c r="I835" s="13">
        <f t="shared" si="13"/>
        <v>3.1599081866870695</v>
      </c>
    </row>
    <row r="836" spans="2:9">
      <c r="C836" s="46">
        <v>1.996</v>
      </c>
      <c r="D836" s="3">
        <v>74.59</v>
      </c>
      <c r="E836" s="3">
        <v>83</v>
      </c>
      <c r="F836" s="3">
        <v>26</v>
      </c>
      <c r="G836" s="3">
        <v>518.20000000000005</v>
      </c>
      <c r="H836" s="3">
        <v>3.7519999999999998</v>
      </c>
      <c r="I836" s="13">
        <f t="shared" si="13"/>
        <v>3.1923076923076925</v>
      </c>
    </row>
    <row r="837" spans="2:9">
      <c r="C837" s="46">
        <v>2.0179999999999998</v>
      </c>
      <c r="D837" s="3">
        <v>139.9</v>
      </c>
      <c r="E837" s="3">
        <v>82.66</v>
      </c>
      <c r="F837" s="3">
        <v>25.74</v>
      </c>
      <c r="G837" s="3">
        <v>512.70000000000005</v>
      </c>
      <c r="H837" s="3">
        <v>3.4630000000000001</v>
      </c>
      <c r="I837" s="13">
        <f t="shared" si="13"/>
        <v>3.2113442113442114</v>
      </c>
    </row>
    <row r="838" spans="2:9">
      <c r="C838" s="46">
        <v>1.978</v>
      </c>
      <c r="D838" s="3">
        <v>133.19999999999999</v>
      </c>
      <c r="E838" s="3">
        <v>82.74</v>
      </c>
      <c r="F838" s="3">
        <v>25.98</v>
      </c>
      <c r="G838" s="3">
        <v>494.8</v>
      </c>
      <c r="H838" s="3">
        <v>3.528</v>
      </c>
      <c r="I838" s="13">
        <f t="shared" si="13"/>
        <v>3.1847575057736717</v>
      </c>
    </row>
    <row r="839" spans="2:9">
      <c r="C839" s="46">
        <v>1.968</v>
      </c>
      <c r="D839" s="3">
        <v>148.1</v>
      </c>
      <c r="E839" s="3">
        <v>83.01</v>
      </c>
      <c r="F839" s="3">
        <v>26.29</v>
      </c>
      <c r="G839" s="3">
        <v>497.3</v>
      </c>
      <c r="H839" s="3">
        <v>3.3519999999999999</v>
      </c>
      <c r="I839" s="13">
        <f t="shared" si="13"/>
        <v>3.1574743248383417</v>
      </c>
    </row>
    <row r="840" spans="2:9">
      <c r="C840" s="46">
        <v>1.9950000000000001</v>
      </c>
      <c r="D840" s="3">
        <v>135</v>
      </c>
      <c r="E840" s="3">
        <v>82.94</v>
      </c>
      <c r="F840" s="3">
        <v>26.56</v>
      </c>
      <c r="G840" s="3">
        <v>496.9</v>
      </c>
      <c r="H840" s="3">
        <v>3.4729999999999999</v>
      </c>
      <c r="I840" s="13">
        <f t="shared" si="13"/>
        <v>3.1227409638554215</v>
      </c>
    </row>
    <row r="841" spans="2:9">
      <c r="C841" s="46">
        <v>2.0289999999999999</v>
      </c>
      <c r="D841" s="3">
        <v>109.8</v>
      </c>
      <c r="E841" s="3">
        <v>92.2</v>
      </c>
      <c r="F841" s="3">
        <v>26.42</v>
      </c>
      <c r="G841" s="3">
        <v>493.2</v>
      </c>
      <c r="H841" s="3">
        <v>3.4950000000000001</v>
      </c>
      <c r="I841" s="13">
        <f t="shared" si="13"/>
        <v>3.4897804693414081</v>
      </c>
    </row>
    <row r="842" spans="2:9">
      <c r="B842" s="16">
        <v>43</v>
      </c>
      <c r="C842" s="47">
        <v>2.024</v>
      </c>
      <c r="D842" s="18">
        <v>145.6</v>
      </c>
      <c r="E842" s="16">
        <v>108.2</v>
      </c>
      <c r="F842" s="16">
        <v>36.479999999999997</v>
      </c>
      <c r="G842" s="16">
        <v>404</v>
      </c>
      <c r="H842" s="16">
        <v>3.5110000000000001</v>
      </c>
      <c r="I842" s="13">
        <f t="shared" si="13"/>
        <v>2.9660087719298249</v>
      </c>
    </row>
    <row r="843" spans="2:9">
      <c r="C843" s="46">
        <v>1.002</v>
      </c>
      <c r="D843" s="3">
        <v>180.8</v>
      </c>
      <c r="E843" s="3">
        <v>107.9</v>
      </c>
      <c r="F843" s="3">
        <v>36.26</v>
      </c>
      <c r="G843" s="3">
        <v>402.3</v>
      </c>
      <c r="H843" s="3">
        <v>3.5430000000000001</v>
      </c>
      <c r="I843" s="13">
        <f t="shared" si="13"/>
        <v>2.9757308328736904</v>
      </c>
    </row>
    <row r="844" spans="2:9">
      <c r="C844" s="46">
        <v>1.9710000000000001</v>
      </c>
      <c r="D844" s="3">
        <v>175.5</v>
      </c>
      <c r="E844" s="3">
        <v>107.4</v>
      </c>
      <c r="F844" s="3">
        <v>36.200000000000003</v>
      </c>
      <c r="G844" s="3">
        <v>399.9</v>
      </c>
      <c r="H844" s="3">
        <v>3.5139999999999998</v>
      </c>
      <c r="I844" s="13">
        <f t="shared" si="13"/>
        <v>2.9668508287292816</v>
      </c>
    </row>
    <row r="845" spans="2:9">
      <c r="C845" s="46">
        <v>1.9650000000000001</v>
      </c>
      <c r="D845" s="3">
        <v>148.80000000000001</v>
      </c>
      <c r="E845" s="3">
        <v>107.8</v>
      </c>
      <c r="F845" s="3">
        <v>36.15</v>
      </c>
      <c r="G845" s="3">
        <v>403.9</v>
      </c>
      <c r="H845" s="3">
        <v>3.492</v>
      </c>
      <c r="I845" s="13">
        <f t="shared" si="13"/>
        <v>2.9820193637621024</v>
      </c>
    </row>
    <row r="846" spans="2:9">
      <c r="C846" s="46">
        <v>1.99</v>
      </c>
      <c r="D846" s="3">
        <v>111.8</v>
      </c>
      <c r="E846" s="3">
        <v>108</v>
      </c>
      <c r="F846" s="3">
        <v>36.68</v>
      </c>
      <c r="G846" s="3">
        <v>400.4</v>
      </c>
      <c r="H846" s="3">
        <v>3.5390000000000001</v>
      </c>
      <c r="I846" s="13">
        <f t="shared" si="13"/>
        <v>2.9443838604143946</v>
      </c>
    </row>
    <row r="847" spans="2:9">
      <c r="C847" s="46">
        <v>1.996</v>
      </c>
      <c r="D847" s="3">
        <v>112.9</v>
      </c>
      <c r="E847" s="3">
        <v>108.2</v>
      </c>
      <c r="F847" s="3">
        <v>36.31</v>
      </c>
      <c r="G847" s="3">
        <v>399.3</v>
      </c>
      <c r="H847" s="3">
        <v>3.6549999999999998</v>
      </c>
      <c r="I847" s="13">
        <f t="shared" si="13"/>
        <v>2.9798953456348114</v>
      </c>
    </row>
    <row r="848" spans="2:9">
      <c r="C848" s="46">
        <v>2.0249999999999999</v>
      </c>
      <c r="D848" s="3">
        <v>115.8</v>
      </c>
      <c r="E848" s="3">
        <v>107.7</v>
      </c>
      <c r="F848" s="3">
        <v>36.44</v>
      </c>
      <c r="G848" s="3">
        <v>398</v>
      </c>
      <c r="H848" s="3">
        <v>3.4249999999999998</v>
      </c>
      <c r="I848" s="13">
        <f t="shared" si="13"/>
        <v>2.9555433589462132</v>
      </c>
    </row>
    <row r="849" spans="2:9">
      <c r="C849" s="46">
        <v>1.958</v>
      </c>
      <c r="D849" s="3">
        <v>143.69999999999999</v>
      </c>
      <c r="E849" s="3">
        <v>107.9</v>
      </c>
      <c r="F849" s="3">
        <v>36.130000000000003</v>
      </c>
      <c r="G849" s="3">
        <v>398.9</v>
      </c>
      <c r="H849" s="3">
        <v>3.4750000000000001</v>
      </c>
      <c r="I849" s="13">
        <f t="shared" si="13"/>
        <v>2.9864378632715196</v>
      </c>
    </row>
    <row r="850" spans="2:9">
      <c r="C850" s="46">
        <v>1.9670000000000001</v>
      </c>
      <c r="D850" s="3">
        <v>153.80000000000001</v>
      </c>
      <c r="E850" s="3">
        <v>107.7</v>
      </c>
      <c r="F850" s="3">
        <v>36.68</v>
      </c>
      <c r="G850" s="3">
        <v>403.9</v>
      </c>
      <c r="H850" s="3">
        <v>3.5390000000000001</v>
      </c>
      <c r="I850" s="13">
        <f t="shared" si="13"/>
        <v>2.9362050163576883</v>
      </c>
    </row>
    <row r="851" spans="2:9">
      <c r="C851" s="46">
        <v>1.9339999999999999</v>
      </c>
      <c r="D851" s="3">
        <v>140.5</v>
      </c>
      <c r="E851" s="3">
        <v>107.5</v>
      </c>
      <c r="F851" s="3">
        <v>36.74</v>
      </c>
      <c r="G851" s="3">
        <v>405.8</v>
      </c>
      <c r="H851" s="3">
        <v>3.5870000000000002</v>
      </c>
      <c r="I851" s="13">
        <f t="shared" si="13"/>
        <v>2.9259662493195426</v>
      </c>
    </row>
    <row r="852" spans="2:9">
      <c r="C852" s="46">
        <v>1.9870000000000001</v>
      </c>
      <c r="D852" s="3">
        <v>119.5</v>
      </c>
      <c r="E852" s="3">
        <v>107.7</v>
      </c>
      <c r="F852" s="3">
        <v>36.44</v>
      </c>
      <c r="G852" s="3">
        <v>413.3</v>
      </c>
      <c r="H852" s="3">
        <v>3.4420000000000002</v>
      </c>
      <c r="I852" s="13">
        <f t="shared" si="13"/>
        <v>2.9555433589462132</v>
      </c>
    </row>
    <row r="853" spans="2:9">
      <c r="C853" s="46">
        <v>2.0049999999999999</v>
      </c>
      <c r="D853" s="3">
        <v>169.9</v>
      </c>
      <c r="E853" s="3">
        <v>108.1</v>
      </c>
      <c r="F853" s="3">
        <v>36.549999999999997</v>
      </c>
      <c r="G853" s="3">
        <v>408.7</v>
      </c>
      <c r="H853" s="3">
        <v>3.2759999999999998</v>
      </c>
      <c r="I853" s="13">
        <f t="shared" si="13"/>
        <v>2.9575923392612862</v>
      </c>
    </row>
    <row r="854" spans="2:9">
      <c r="C854" s="46">
        <v>2.012</v>
      </c>
      <c r="D854" s="3">
        <v>150.6</v>
      </c>
      <c r="E854" s="3">
        <v>108.5</v>
      </c>
      <c r="F854" s="3">
        <v>36.47</v>
      </c>
      <c r="G854" s="3">
        <v>398.3</v>
      </c>
      <c r="H854" s="3">
        <v>3.6070000000000002</v>
      </c>
      <c r="I854" s="13">
        <f t="shared" ref="I854:I917" si="14">E854/F854</f>
        <v>2.9750479846449136</v>
      </c>
    </row>
    <row r="855" spans="2:9">
      <c r="C855" s="46">
        <v>2.016</v>
      </c>
      <c r="D855" s="3">
        <v>169.9</v>
      </c>
      <c r="E855" s="3">
        <v>108.1</v>
      </c>
      <c r="F855" s="3">
        <v>36.090000000000003</v>
      </c>
      <c r="G855" s="3">
        <v>396.2</v>
      </c>
      <c r="H855" s="3">
        <v>3.5110000000000001</v>
      </c>
      <c r="I855" s="13">
        <f t="shared" si="14"/>
        <v>2.9952895538930449</v>
      </c>
    </row>
    <row r="856" spans="2:9">
      <c r="C856" s="46">
        <v>2.024</v>
      </c>
      <c r="D856" s="3">
        <v>140.1</v>
      </c>
      <c r="E856" s="3">
        <v>107.4</v>
      </c>
      <c r="F856" s="3">
        <v>36.78</v>
      </c>
      <c r="G856" s="3">
        <v>395</v>
      </c>
      <c r="H856" s="3">
        <v>3.5369999999999999</v>
      </c>
      <c r="I856" s="13">
        <f t="shared" si="14"/>
        <v>2.9200652528548123</v>
      </c>
    </row>
    <row r="857" spans="2:9">
      <c r="C857" s="46">
        <v>2.012</v>
      </c>
      <c r="D857" s="3">
        <v>131.19999999999999</v>
      </c>
      <c r="E857" s="3">
        <v>107.8</v>
      </c>
      <c r="F857" s="3">
        <v>36.42</v>
      </c>
      <c r="G857" s="3">
        <v>394.6</v>
      </c>
      <c r="H857" s="3">
        <v>3.3730000000000002</v>
      </c>
      <c r="I857" s="13">
        <f t="shared" si="14"/>
        <v>2.9599121361889069</v>
      </c>
    </row>
    <row r="858" spans="2:9">
      <c r="C858" s="46">
        <v>1.984</v>
      </c>
      <c r="D858" s="3">
        <v>158.1</v>
      </c>
      <c r="E858" s="3">
        <v>107.9</v>
      </c>
      <c r="F858" s="3">
        <v>36.54</v>
      </c>
      <c r="G858" s="3">
        <v>393.5</v>
      </c>
      <c r="H858" s="3">
        <v>3.327</v>
      </c>
      <c r="I858" s="13">
        <f t="shared" si="14"/>
        <v>2.9529282977558844</v>
      </c>
    </row>
    <row r="859" spans="2:9">
      <c r="C859" s="46">
        <v>1.9630000000000001</v>
      </c>
      <c r="D859" s="3">
        <v>168.1</v>
      </c>
      <c r="E859" s="3">
        <v>107.8</v>
      </c>
      <c r="F859" s="3">
        <v>36.909999999999997</v>
      </c>
      <c r="G859" s="3">
        <v>394.1</v>
      </c>
      <c r="H859" s="3">
        <v>3.3620000000000001</v>
      </c>
      <c r="I859" s="13">
        <f t="shared" si="14"/>
        <v>2.9206177187753997</v>
      </c>
    </row>
    <row r="860" spans="2:9">
      <c r="C860" s="46">
        <v>2.0009999999999999</v>
      </c>
      <c r="D860" s="3">
        <v>158.1</v>
      </c>
      <c r="E860" s="3">
        <v>108.6</v>
      </c>
      <c r="F860" s="3">
        <v>36.75</v>
      </c>
      <c r="G860" s="3">
        <v>397.3</v>
      </c>
      <c r="H860" s="3">
        <v>3.395</v>
      </c>
      <c r="I860" s="13">
        <f t="shared" si="14"/>
        <v>2.9551020408163264</v>
      </c>
    </row>
    <row r="861" spans="2:9">
      <c r="C861" s="46">
        <v>2.004</v>
      </c>
      <c r="D861" s="3">
        <v>157.5</v>
      </c>
      <c r="E861" s="3">
        <v>107.5</v>
      </c>
      <c r="F861" s="3">
        <v>36.6</v>
      </c>
      <c r="G861" s="3">
        <v>396.3</v>
      </c>
      <c r="H861" s="3">
        <v>3.3879999999999999</v>
      </c>
      <c r="I861" s="13">
        <f t="shared" si="14"/>
        <v>2.9371584699453552</v>
      </c>
    </row>
    <row r="862" spans="2:9">
      <c r="B862" s="16">
        <v>44</v>
      </c>
      <c r="C862" s="47">
        <v>2.2349999999999999</v>
      </c>
      <c r="D862" s="18">
        <v>76.400000000000006</v>
      </c>
      <c r="E862" s="16">
        <v>82.59</v>
      </c>
      <c r="F862" s="16">
        <v>19.239999999999998</v>
      </c>
      <c r="G862" s="16">
        <v>493.3</v>
      </c>
      <c r="H862" s="16">
        <v>2.6829999999999998</v>
      </c>
      <c r="I862" s="13">
        <f t="shared" si="14"/>
        <v>4.2926195426195433</v>
      </c>
    </row>
    <row r="863" spans="2:9">
      <c r="C863" s="46">
        <v>2.2090000000000001</v>
      </c>
      <c r="D863" s="3">
        <v>72.45</v>
      </c>
      <c r="E863" s="3">
        <v>83.61</v>
      </c>
      <c r="F863" s="3">
        <v>19.38</v>
      </c>
      <c r="G863" s="3">
        <v>493.1</v>
      </c>
      <c r="H863" s="3">
        <v>2.5739999999999998</v>
      </c>
      <c r="I863" s="13">
        <f t="shared" si="14"/>
        <v>4.314241486068112</v>
      </c>
    </row>
    <row r="864" spans="2:9">
      <c r="C864" s="46">
        <v>2.238</v>
      </c>
      <c r="D864" s="3">
        <v>70.319999999999993</v>
      </c>
      <c r="E864" s="3">
        <v>83.59</v>
      </c>
      <c r="F864" s="3">
        <v>18.87</v>
      </c>
      <c r="G864" s="3">
        <v>494.8</v>
      </c>
      <c r="H864" s="3">
        <v>2.5470000000000002</v>
      </c>
      <c r="I864" s="13">
        <f t="shared" si="14"/>
        <v>4.4297827239003711</v>
      </c>
    </row>
    <row r="865" spans="3:9">
      <c r="C865" s="46">
        <v>2.3069999999999999</v>
      </c>
      <c r="D865" s="3">
        <v>65.97</v>
      </c>
      <c r="E865" s="3">
        <v>83.37</v>
      </c>
      <c r="F865" s="3">
        <v>19.12</v>
      </c>
      <c r="G865" s="3">
        <v>493.9</v>
      </c>
      <c r="H865" s="3">
        <v>2.4369999999999998</v>
      </c>
      <c r="I865" s="13">
        <f t="shared" si="14"/>
        <v>4.360355648535565</v>
      </c>
    </row>
    <row r="866" spans="3:9">
      <c r="C866" s="46">
        <v>2.306</v>
      </c>
      <c r="D866" s="3">
        <v>67.849999999999994</v>
      </c>
      <c r="E866" s="3">
        <v>83.1</v>
      </c>
      <c r="F866" s="3">
        <v>18.97</v>
      </c>
      <c r="G866" s="3">
        <v>493.6</v>
      </c>
      <c r="H866" s="3">
        <v>2.5710000000000002</v>
      </c>
      <c r="I866" s="13">
        <f t="shared" si="14"/>
        <v>4.3806009488666318</v>
      </c>
    </row>
    <row r="867" spans="3:9">
      <c r="C867" s="46">
        <v>2.3180000000000001</v>
      </c>
      <c r="D867" s="3">
        <v>76.91</v>
      </c>
      <c r="E867" s="3">
        <v>83.27</v>
      </c>
      <c r="F867" s="3">
        <v>19.18</v>
      </c>
      <c r="G867" s="3">
        <v>494.4</v>
      </c>
      <c r="H867" s="3">
        <v>2.7639999999999998</v>
      </c>
      <c r="I867" s="13">
        <f t="shared" si="14"/>
        <v>4.3415015641293015</v>
      </c>
    </row>
    <row r="868" spans="3:9">
      <c r="C868" s="46">
        <v>2.3450000000000002</v>
      </c>
      <c r="D868" s="3">
        <v>83.11</v>
      </c>
      <c r="E868" s="3">
        <v>83.45</v>
      </c>
      <c r="F868" s="3">
        <v>19</v>
      </c>
      <c r="G868" s="3">
        <v>492.7</v>
      </c>
      <c r="H868" s="3">
        <v>2.1709999999999998</v>
      </c>
      <c r="I868" s="13">
        <f t="shared" si="14"/>
        <v>4.3921052631578945</v>
      </c>
    </row>
    <row r="869" spans="3:9">
      <c r="C869" s="46">
        <v>2.3250000000000002</v>
      </c>
      <c r="D869" s="3">
        <v>80.73</v>
      </c>
      <c r="E869" s="3">
        <v>83.27</v>
      </c>
      <c r="F869" s="3">
        <v>19.03</v>
      </c>
      <c r="G869" s="3">
        <v>492.2</v>
      </c>
      <c r="H869" s="3">
        <v>2.0790000000000002</v>
      </c>
      <c r="I869" s="13">
        <f t="shared" si="14"/>
        <v>4.3757225433526008</v>
      </c>
    </row>
    <row r="870" spans="3:9">
      <c r="C870" s="46">
        <v>2.2770000000000001</v>
      </c>
      <c r="D870" s="3">
        <v>77.209999999999994</v>
      </c>
      <c r="E870" s="3">
        <v>82.76</v>
      </c>
      <c r="F870" s="3">
        <v>19</v>
      </c>
      <c r="G870" s="3">
        <v>492</v>
      </c>
      <c r="H870" s="3">
        <v>2.2789999999999999</v>
      </c>
      <c r="I870" s="13">
        <f t="shared" si="14"/>
        <v>4.3557894736842107</v>
      </c>
    </row>
    <row r="871" spans="3:9">
      <c r="C871" s="46">
        <v>2.2810000000000001</v>
      </c>
      <c r="D871" s="3">
        <v>73.959999999999994</v>
      </c>
      <c r="E871" s="3">
        <v>82.5</v>
      </c>
      <c r="F871" s="3">
        <v>19.059999999999999</v>
      </c>
      <c r="G871" s="3">
        <v>492.3</v>
      </c>
      <c r="H871" s="3">
        <v>2.383</v>
      </c>
      <c r="I871" s="13">
        <f t="shared" si="14"/>
        <v>4.3284365162644285</v>
      </c>
    </row>
    <row r="872" spans="3:9">
      <c r="C872" s="46">
        <v>2.27</v>
      </c>
      <c r="D872" s="3">
        <v>74.819999999999993</v>
      </c>
      <c r="E872" s="3">
        <v>83.36</v>
      </c>
      <c r="F872" s="3">
        <v>18.739999999999998</v>
      </c>
      <c r="G872" s="3">
        <v>494.5</v>
      </c>
      <c r="H872" s="3">
        <v>2.613</v>
      </c>
      <c r="I872" s="13">
        <f t="shared" si="14"/>
        <v>4.448239060832444</v>
      </c>
    </row>
    <row r="873" spans="3:9">
      <c r="C873" s="46">
        <v>2.2589999999999999</v>
      </c>
      <c r="D873" s="3">
        <v>70.239999999999995</v>
      </c>
      <c r="E873" s="3">
        <v>83.02</v>
      </c>
      <c r="F873" s="3">
        <v>19.03</v>
      </c>
      <c r="G873" s="3">
        <v>492.9</v>
      </c>
      <c r="H873" s="3">
        <v>2.3559999999999999</v>
      </c>
      <c r="I873" s="13">
        <f t="shared" si="14"/>
        <v>4.3625853914871255</v>
      </c>
    </row>
    <row r="874" spans="3:9">
      <c r="C874" s="46">
        <v>2.2090000000000001</v>
      </c>
      <c r="D874" s="3">
        <v>80.61</v>
      </c>
      <c r="E874" s="3">
        <v>83.1</v>
      </c>
      <c r="F874" s="3">
        <v>19.18</v>
      </c>
      <c r="G874" s="3">
        <v>492.1</v>
      </c>
      <c r="H874" s="3">
        <v>2.5569999999999999</v>
      </c>
      <c r="I874" s="13">
        <f t="shared" si="14"/>
        <v>4.332638164754953</v>
      </c>
    </row>
    <row r="875" spans="3:9">
      <c r="C875" s="46">
        <v>2.1640000000000001</v>
      </c>
      <c r="D875" s="3">
        <v>74.319999999999993</v>
      </c>
      <c r="E875" s="3">
        <v>83.53</v>
      </c>
      <c r="F875" s="3">
        <v>18.71</v>
      </c>
      <c r="G875" s="3">
        <v>491.7</v>
      </c>
      <c r="H875" s="3">
        <v>2.4350000000000001</v>
      </c>
      <c r="I875" s="13">
        <f t="shared" si="14"/>
        <v>4.464457509353287</v>
      </c>
    </row>
    <row r="876" spans="3:9">
      <c r="C876" s="46">
        <v>2.238</v>
      </c>
      <c r="D876" s="3">
        <v>72.55</v>
      </c>
      <c r="E876" s="3">
        <v>83.62</v>
      </c>
      <c r="F876" s="3">
        <v>19.54</v>
      </c>
      <c r="G876" s="3">
        <v>490.3</v>
      </c>
      <c r="H876" s="3">
        <v>2.617</v>
      </c>
      <c r="I876" s="13">
        <f t="shared" si="14"/>
        <v>4.2794268167860805</v>
      </c>
    </row>
    <row r="877" spans="3:9">
      <c r="C877" s="46">
        <v>2.2330000000000001</v>
      </c>
      <c r="D877" s="3">
        <v>75.59</v>
      </c>
      <c r="E877" s="3">
        <v>83.19</v>
      </c>
      <c r="F877" s="3">
        <v>19.25</v>
      </c>
      <c r="G877" s="3">
        <v>496</v>
      </c>
      <c r="H877" s="3">
        <v>2.4929999999999999</v>
      </c>
      <c r="I877" s="13">
        <f t="shared" si="14"/>
        <v>4.3215584415584418</v>
      </c>
    </row>
    <row r="878" spans="3:9">
      <c r="C878" s="46">
        <v>2.306</v>
      </c>
      <c r="D878" s="3">
        <v>70.319999999999993</v>
      </c>
      <c r="E878" s="3">
        <v>82.76</v>
      </c>
      <c r="F878" s="3">
        <v>18.850000000000001</v>
      </c>
      <c r="G878" s="3">
        <v>493.9</v>
      </c>
      <c r="H878" s="3">
        <v>2.2509999999999999</v>
      </c>
      <c r="I878" s="13">
        <f t="shared" si="14"/>
        <v>4.3904509283819628</v>
      </c>
    </row>
    <row r="879" spans="3:9">
      <c r="C879" s="46">
        <v>2.323</v>
      </c>
      <c r="D879" s="3">
        <v>67.91</v>
      </c>
      <c r="E879" s="3">
        <v>83.12</v>
      </c>
      <c r="F879" s="3">
        <v>19.11</v>
      </c>
      <c r="G879" s="3">
        <v>493.3</v>
      </c>
      <c r="H879" s="3">
        <v>2.17</v>
      </c>
      <c r="I879" s="13">
        <f t="shared" si="14"/>
        <v>4.3495552066980645</v>
      </c>
    </row>
    <row r="880" spans="3:9">
      <c r="C880" s="46">
        <v>2.234</v>
      </c>
      <c r="D880" s="3">
        <v>65.97</v>
      </c>
      <c r="E880" s="3">
        <v>83.28</v>
      </c>
      <c r="F880" s="3">
        <v>19.41</v>
      </c>
      <c r="G880" s="3">
        <v>494.9</v>
      </c>
      <c r="H880" s="3">
        <v>2.0790000000000002</v>
      </c>
      <c r="I880" s="13">
        <f t="shared" si="14"/>
        <v>4.2905718701700151</v>
      </c>
    </row>
    <row r="881" spans="2:9">
      <c r="C881" s="46">
        <v>2.3420000000000001</v>
      </c>
      <c r="D881" s="3">
        <v>68.78</v>
      </c>
      <c r="E881" s="3">
        <v>83.7</v>
      </c>
      <c r="F881" s="3">
        <v>18.73</v>
      </c>
      <c r="G881" s="3">
        <v>495.2</v>
      </c>
      <c r="H881" s="3">
        <v>2.2789999999999999</v>
      </c>
      <c r="I881" s="13">
        <f t="shared" si="14"/>
        <v>4.4687666844634277</v>
      </c>
    </row>
    <row r="882" spans="2:9">
      <c r="B882" s="16">
        <v>45</v>
      </c>
      <c r="C882" s="47">
        <v>1.9179999999999999</v>
      </c>
      <c r="D882" s="18">
        <v>106.2</v>
      </c>
      <c r="E882" s="16">
        <v>77.099999999999994</v>
      </c>
      <c r="F882" s="16">
        <v>19.61</v>
      </c>
      <c r="G882" s="16">
        <v>491</v>
      </c>
      <c r="H882" s="16">
        <v>2.0339999999999998</v>
      </c>
      <c r="I882" s="13">
        <f t="shared" si="14"/>
        <v>3.9316675165731767</v>
      </c>
    </row>
    <row r="883" spans="2:9">
      <c r="C883" s="46">
        <v>1.927</v>
      </c>
      <c r="D883" s="3">
        <v>118.2</v>
      </c>
      <c r="E883" s="3">
        <v>77.05</v>
      </c>
      <c r="F883" s="3">
        <v>19.03</v>
      </c>
      <c r="G883" s="3">
        <v>496.5</v>
      </c>
      <c r="H883" s="3">
        <v>1.776</v>
      </c>
      <c r="I883" s="13">
        <f t="shared" si="14"/>
        <v>4.0488702049395684</v>
      </c>
    </row>
    <row r="884" spans="2:9">
      <c r="C884" s="46">
        <v>1.9339999999999999</v>
      </c>
      <c r="D884" s="3">
        <v>128.1</v>
      </c>
      <c r="E884" s="3">
        <v>77.44</v>
      </c>
      <c r="F884" s="3">
        <v>19.63</v>
      </c>
      <c r="G884" s="3">
        <v>496.7</v>
      </c>
      <c r="H884" s="3">
        <v>1.696</v>
      </c>
      <c r="I884" s="13">
        <f t="shared" si="14"/>
        <v>3.9449821701477332</v>
      </c>
    </row>
    <row r="885" spans="2:9">
      <c r="C885" s="46">
        <v>1.94</v>
      </c>
      <c r="D885" s="3">
        <v>104.8</v>
      </c>
      <c r="E885" s="3">
        <v>77.459999999999994</v>
      </c>
      <c r="F885" s="3">
        <v>19.61</v>
      </c>
      <c r="G885" s="3">
        <v>501.8</v>
      </c>
      <c r="H885" s="3">
        <v>1.8280000000000001</v>
      </c>
      <c r="I885" s="13">
        <f t="shared" si="14"/>
        <v>3.9500254971953082</v>
      </c>
    </row>
    <row r="886" spans="2:9">
      <c r="C886" s="46">
        <v>1.86</v>
      </c>
      <c r="D886" s="3">
        <v>94.2</v>
      </c>
      <c r="E886" s="3">
        <v>77.489999999999995</v>
      </c>
      <c r="F886" s="3">
        <v>19.22</v>
      </c>
      <c r="G886" s="3">
        <v>505.1</v>
      </c>
      <c r="H886" s="3">
        <v>2.14</v>
      </c>
      <c r="I886" s="13">
        <f t="shared" si="14"/>
        <v>4.0317377731529653</v>
      </c>
    </row>
    <row r="887" spans="2:9">
      <c r="C887" s="46">
        <v>1.8520000000000001</v>
      </c>
      <c r="D887" s="3">
        <v>95.8</v>
      </c>
      <c r="E887" s="3">
        <v>77.58</v>
      </c>
      <c r="F887" s="3">
        <v>19.03</v>
      </c>
      <c r="G887" s="3">
        <v>497.2</v>
      </c>
      <c r="H887" s="3">
        <v>2.0019999999999998</v>
      </c>
      <c r="I887" s="13">
        <f t="shared" si="14"/>
        <v>4.0767209668943769</v>
      </c>
    </row>
    <row r="888" spans="2:9">
      <c r="C888" s="46">
        <v>1.847</v>
      </c>
      <c r="D888" s="3">
        <v>106.2</v>
      </c>
      <c r="E888" s="3">
        <v>77.42</v>
      </c>
      <c r="F888" s="3">
        <v>19.22</v>
      </c>
      <c r="G888" s="3">
        <v>496.9</v>
      </c>
      <c r="H888" s="3">
        <v>1.9650000000000001</v>
      </c>
      <c r="I888" s="13">
        <f t="shared" si="14"/>
        <v>4.0280957336108223</v>
      </c>
    </row>
    <row r="889" spans="2:9">
      <c r="C889" s="46">
        <v>1.8360000000000001</v>
      </c>
      <c r="D889" s="3">
        <v>128.19999999999999</v>
      </c>
      <c r="E889" s="3">
        <v>77.319999999999993</v>
      </c>
      <c r="F889" s="3">
        <v>19.420000000000002</v>
      </c>
      <c r="G889" s="3">
        <v>495.1</v>
      </c>
      <c r="H889" s="3">
        <v>1.9770000000000001</v>
      </c>
      <c r="I889" s="13">
        <f t="shared" si="14"/>
        <v>3.981462409886714</v>
      </c>
    </row>
    <row r="890" spans="2:9">
      <c r="C890" s="46">
        <v>1.8859999999999999</v>
      </c>
      <c r="D890" s="3">
        <v>93.1</v>
      </c>
      <c r="E890" s="3">
        <v>77.650000000000006</v>
      </c>
      <c r="F890" s="3">
        <v>19.04</v>
      </c>
      <c r="G890" s="3">
        <v>493.3</v>
      </c>
      <c r="H890" s="3">
        <v>1.956</v>
      </c>
      <c r="I890" s="13">
        <f t="shared" si="14"/>
        <v>4.0782563025210088</v>
      </c>
    </row>
    <row r="891" spans="2:9">
      <c r="C891" s="46">
        <v>1.931</v>
      </c>
      <c r="D891" s="3">
        <v>94.7</v>
      </c>
      <c r="E891" s="3">
        <v>77.42</v>
      </c>
      <c r="F891" s="3">
        <v>19.23</v>
      </c>
      <c r="G891" s="3">
        <v>488.4</v>
      </c>
      <c r="H891" s="3">
        <v>2.198</v>
      </c>
      <c r="I891" s="13">
        <f t="shared" si="14"/>
        <v>4.026001040041602</v>
      </c>
    </row>
    <row r="892" spans="2:9">
      <c r="C892" s="46">
        <v>1.946</v>
      </c>
      <c r="D892" s="3">
        <v>93.8</v>
      </c>
      <c r="E892" s="3">
        <v>77.16</v>
      </c>
      <c r="F892" s="3">
        <v>19.43</v>
      </c>
      <c r="G892" s="3">
        <v>491.4</v>
      </c>
      <c r="H892" s="3">
        <v>2.089</v>
      </c>
      <c r="I892" s="13">
        <f t="shared" si="14"/>
        <v>3.9711785898095728</v>
      </c>
    </row>
    <row r="893" spans="2:9">
      <c r="C893" s="46">
        <v>1.996</v>
      </c>
      <c r="D893" s="3">
        <v>120.4</v>
      </c>
      <c r="E893" s="3">
        <v>77.45</v>
      </c>
      <c r="F893" s="3">
        <v>19.18</v>
      </c>
      <c r="G893" s="3">
        <v>490</v>
      </c>
      <c r="H893" s="3">
        <v>1.776</v>
      </c>
      <c r="I893" s="13">
        <f t="shared" si="14"/>
        <v>4.0380604796663189</v>
      </c>
    </row>
    <row r="894" spans="2:9">
      <c r="C894" s="46">
        <v>1.9670000000000001</v>
      </c>
      <c r="D894" s="3">
        <v>137.80000000000001</v>
      </c>
      <c r="E894" s="3">
        <v>78.010000000000005</v>
      </c>
      <c r="F894" s="3">
        <v>19.61</v>
      </c>
      <c r="G894" s="3">
        <v>490.9</v>
      </c>
      <c r="H894" s="3">
        <v>1.7130000000000001</v>
      </c>
      <c r="I894" s="13">
        <f t="shared" si="14"/>
        <v>3.9780724120346767</v>
      </c>
    </row>
    <row r="895" spans="2:9">
      <c r="C895" s="46">
        <v>2.0019999999999998</v>
      </c>
      <c r="D895" s="3">
        <v>120.4</v>
      </c>
      <c r="E895" s="3">
        <v>77.989999999999995</v>
      </c>
      <c r="F895" s="3">
        <v>19.809999999999999</v>
      </c>
      <c r="G895" s="3">
        <v>485.1</v>
      </c>
      <c r="H895" s="3">
        <v>1.7450000000000001</v>
      </c>
      <c r="I895" s="13">
        <f t="shared" si="14"/>
        <v>3.9369005552751135</v>
      </c>
    </row>
    <row r="896" spans="2:9">
      <c r="C896" s="46">
        <v>2.0209999999999999</v>
      </c>
      <c r="D896" s="3">
        <v>101.3</v>
      </c>
      <c r="E896" s="3">
        <v>77.430000000000007</v>
      </c>
      <c r="F896" s="3">
        <v>19.62</v>
      </c>
      <c r="G896" s="3">
        <v>485.9</v>
      </c>
      <c r="H896" s="3">
        <v>1.6779999999999999</v>
      </c>
      <c r="I896" s="13">
        <f t="shared" si="14"/>
        <v>3.9464831804281348</v>
      </c>
    </row>
    <row r="897" spans="2:9">
      <c r="C897" s="46">
        <v>2.0350000000000001</v>
      </c>
      <c r="D897" s="3">
        <v>90.6</v>
      </c>
      <c r="E897" s="3">
        <v>77.75</v>
      </c>
      <c r="F897" s="3">
        <v>19.61</v>
      </c>
      <c r="G897" s="3">
        <v>486.8</v>
      </c>
      <c r="H897" s="3">
        <v>1.7549999999999999</v>
      </c>
      <c r="I897" s="13">
        <f t="shared" si="14"/>
        <v>3.9648138704742482</v>
      </c>
    </row>
    <row r="898" spans="2:9">
      <c r="C898" s="46">
        <v>2.06</v>
      </c>
      <c r="D898" s="3">
        <v>137.19999999999999</v>
      </c>
      <c r="E898" s="3">
        <v>78</v>
      </c>
      <c r="F898" s="3">
        <v>19.03</v>
      </c>
      <c r="G898" s="3">
        <v>489.2</v>
      </c>
      <c r="H898" s="3">
        <v>1.794</v>
      </c>
      <c r="I898" s="13">
        <f t="shared" si="14"/>
        <v>4.0987913820283763</v>
      </c>
    </row>
    <row r="899" spans="2:9">
      <c r="C899" s="46">
        <v>2.0089999999999999</v>
      </c>
      <c r="D899" s="3">
        <v>149.6</v>
      </c>
      <c r="E899" s="3">
        <v>77.52</v>
      </c>
      <c r="F899" s="3">
        <v>19.22</v>
      </c>
      <c r="G899" s="3">
        <v>493.4</v>
      </c>
      <c r="H899" s="3">
        <v>1.8360000000000001</v>
      </c>
      <c r="I899" s="13">
        <f t="shared" si="14"/>
        <v>4.0332986472424555</v>
      </c>
    </row>
    <row r="900" spans="2:9">
      <c r="C900" s="46">
        <v>1.964</v>
      </c>
      <c r="D900" s="3">
        <v>118.2</v>
      </c>
      <c r="E900" s="3">
        <v>77.38</v>
      </c>
      <c r="F900" s="3">
        <v>19.23</v>
      </c>
      <c r="G900" s="3">
        <v>497.8</v>
      </c>
      <c r="H900" s="3">
        <v>1.899</v>
      </c>
      <c r="I900" s="13">
        <f t="shared" si="14"/>
        <v>4.023920956838273</v>
      </c>
    </row>
    <row r="901" spans="2:9">
      <c r="C901" s="46">
        <v>1.87</v>
      </c>
      <c r="D901" s="3">
        <v>111.6</v>
      </c>
      <c r="E901" s="3">
        <v>77.2</v>
      </c>
      <c r="F901" s="3">
        <v>19.239999999999998</v>
      </c>
      <c r="G901" s="3">
        <v>497.1</v>
      </c>
      <c r="H901" s="3">
        <v>1.857</v>
      </c>
      <c r="I901" s="13">
        <f t="shared" si="14"/>
        <v>4.012474012474013</v>
      </c>
    </row>
    <row r="902" spans="2:9">
      <c r="B902" s="16">
        <v>46</v>
      </c>
      <c r="C902" s="47">
        <v>1.611</v>
      </c>
      <c r="D902" s="18">
        <v>165</v>
      </c>
      <c r="E902" s="16">
        <v>111.8</v>
      </c>
      <c r="F902" s="16">
        <v>30.77</v>
      </c>
      <c r="G902" s="16">
        <v>392.7</v>
      </c>
      <c r="H902" s="16">
        <v>3.839</v>
      </c>
      <c r="I902" s="13">
        <f t="shared" si="14"/>
        <v>3.6334091647708808</v>
      </c>
    </row>
    <row r="903" spans="2:9">
      <c r="C903" s="46">
        <v>1.643</v>
      </c>
      <c r="D903" s="3">
        <v>156.6</v>
      </c>
      <c r="E903" s="3">
        <v>111.4</v>
      </c>
      <c r="F903" s="3">
        <v>29.96</v>
      </c>
      <c r="G903" s="3">
        <v>392.2</v>
      </c>
      <c r="H903" s="3">
        <v>3.9140000000000001</v>
      </c>
      <c r="I903" s="13">
        <f t="shared" si="14"/>
        <v>3.718291054739653</v>
      </c>
    </row>
    <row r="904" spans="2:9">
      <c r="C904" s="46">
        <v>1.66</v>
      </c>
      <c r="D904" s="3">
        <v>157.5</v>
      </c>
      <c r="E904" s="3">
        <v>111.6</v>
      </c>
      <c r="F904" s="3">
        <v>30.24</v>
      </c>
      <c r="G904" s="3">
        <v>395.5</v>
      </c>
      <c r="H904" s="3">
        <v>3.8439999999999999</v>
      </c>
      <c r="I904" s="13">
        <f t="shared" si="14"/>
        <v>3.6904761904761907</v>
      </c>
    </row>
    <row r="905" spans="2:9">
      <c r="C905" s="46">
        <v>1.6559999999999999</v>
      </c>
      <c r="D905" s="3">
        <v>159.69999999999999</v>
      </c>
      <c r="E905" s="3">
        <v>111.2</v>
      </c>
      <c r="F905" s="3">
        <v>30.23</v>
      </c>
      <c r="G905" s="3">
        <v>394.5</v>
      </c>
      <c r="H905" s="3">
        <v>3.806</v>
      </c>
      <c r="I905" s="13">
        <f t="shared" si="14"/>
        <v>3.6784651008931526</v>
      </c>
    </row>
    <row r="906" spans="2:9">
      <c r="C906" s="46">
        <v>1.643</v>
      </c>
      <c r="D906" s="3">
        <v>148.9</v>
      </c>
      <c r="E906" s="3">
        <v>111.7</v>
      </c>
      <c r="F906" s="3">
        <v>30.05</v>
      </c>
      <c r="G906" s="3">
        <v>396.9</v>
      </c>
      <c r="H906" s="3">
        <v>3.7919999999999998</v>
      </c>
      <c r="I906" s="13">
        <f t="shared" si="14"/>
        <v>3.7171381031613975</v>
      </c>
    </row>
    <row r="907" spans="2:9">
      <c r="C907" s="46">
        <v>1.579</v>
      </c>
      <c r="D907" s="3">
        <v>169.9</v>
      </c>
      <c r="E907" s="3">
        <v>111</v>
      </c>
      <c r="F907" s="3">
        <v>29.7</v>
      </c>
      <c r="G907" s="3">
        <v>395.1</v>
      </c>
      <c r="H907" s="3">
        <v>3.7559999999999998</v>
      </c>
      <c r="I907" s="13">
        <f t="shared" si="14"/>
        <v>3.7373737373737375</v>
      </c>
    </row>
    <row r="908" spans="2:9">
      <c r="C908" s="46">
        <v>1.5469999999999999</v>
      </c>
      <c r="D908" s="3">
        <v>149.1</v>
      </c>
      <c r="E908" s="3">
        <v>111.4</v>
      </c>
      <c r="F908" s="3">
        <v>30.14</v>
      </c>
      <c r="G908" s="3">
        <v>395.4</v>
      </c>
      <c r="H908" s="3">
        <v>3.74</v>
      </c>
      <c r="I908" s="13">
        <f t="shared" si="14"/>
        <v>3.6960849369608493</v>
      </c>
    </row>
    <row r="909" spans="2:9">
      <c r="C909" s="46">
        <v>1.593</v>
      </c>
      <c r="D909" s="3">
        <v>151.4</v>
      </c>
      <c r="E909" s="3">
        <v>111.2</v>
      </c>
      <c r="F909" s="3">
        <v>30.6</v>
      </c>
      <c r="G909" s="3">
        <v>389.8</v>
      </c>
      <c r="H909" s="3">
        <v>3.6859999999999999</v>
      </c>
      <c r="I909" s="13">
        <f t="shared" si="14"/>
        <v>3.6339869281045751</v>
      </c>
    </row>
    <row r="910" spans="2:9">
      <c r="C910" s="46">
        <v>1.536</v>
      </c>
      <c r="D910" s="3">
        <v>134.5</v>
      </c>
      <c r="E910" s="3">
        <v>111.3</v>
      </c>
      <c r="F910" s="3">
        <v>30.62</v>
      </c>
      <c r="G910" s="3">
        <v>399.3</v>
      </c>
      <c r="H910" s="3">
        <v>3.657</v>
      </c>
      <c r="I910" s="13">
        <f t="shared" si="14"/>
        <v>3.6348791639451337</v>
      </c>
    </row>
    <row r="911" spans="2:9">
      <c r="C911" s="46">
        <v>1.5840000000000001</v>
      </c>
      <c r="D911" s="3">
        <v>153.9</v>
      </c>
      <c r="E911" s="3">
        <v>111.7</v>
      </c>
      <c r="F911" s="3">
        <v>30.28</v>
      </c>
      <c r="G911" s="3">
        <v>405.1</v>
      </c>
      <c r="H911" s="3">
        <v>3.8370000000000002</v>
      </c>
      <c r="I911" s="13">
        <f t="shared" si="14"/>
        <v>3.6889035667107</v>
      </c>
    </row>
    <row r="912" spans="2:9">
      <c r="C912" s="46">
        <v>1.621</v>
      </c>
      <c r="D912" s="3">
        <v>130.5</v>
      </c>
      <c r="E912" s="3">
        <v>111</v>
      </c>
      <c r="F912" s="3">
        <v>30.34</v>
      </c>
      <c r="G912" s="3">
        <v>400.7</v>
      </c>
      <c r="H912" s="3">
        <v>3.5680000000000001</v>
      </c>
      <c r="I912" s="13">
        <f t="shared" si="14"/>
        <v>3.6585365853658538</v>
      </c>
    </row>
    <row r="913" spans="2:9">
      <c r="C913" s="46">
        <v>1.579</v>
      </c>
      <c r="D913" s="3">
        <v>162.30000000000001</v>
      </c>
      <c r="E913" s="3">
        <v>111.5</v>
      </c>
      <c r="F913" s="3">
        <v>29.88</v>
      </c>
      <c r="G913" s="3">
        <v>397.5</v>
      </c>
      <c r="H913" s="3">
        <v>3.7</v>
      </c>
      <c r="I913" s="13">
        <f t="shared" si="14"/>
        <v>3.7315930388219547</v>
      </c>
    </row>
    <row r="914" spans="2:9">
      <c r="C914" s="46">
        <v>1.502</v>
      </c>
      <c r="D914" s="3">
        <v>159.80000000000001</v>
      </c>
      <c r="E914" s="3">
        <v>111.2</v>
      </c>
      <c r="F914" s="3">
        <v>29.72</v>
      </c>
      <c r="G914" s="3">
        <v>394.4</v>
      </c>
      <c r="H914" s="3">
        <v>3.778</v>
      </c>
      <c r="I914" s="13">
        <f t="shared" si="14"/>
        <v>3.7415881561238225</v>
      </c>
    </row>
    <row r="915" spans="2:9">
      <c r="C915" s="46">
        <v>1.5029999999999999</v>
      </c>
      <c r="D915" s="3">
        <v>149.1</v>
      </c>
      <c r="E915" s="3">
        <v>111.3</v>
      </c>
      <c r="F915" s="3">
        <v>29.99</v>
      </c>
      <c r="G915" s="3">
        <v>394.9</v>
      </c>
      <c r="H915" s="3">
        <v>3.714</v>
      </c>
      <c r="I915" s="13">
        <f t="shared" si="14"/>
        <v>3.711237079026342</v>
      </c>
    </row>
    <row r="916" spans="2:9">
      <c r="C916" s="46">
        <v>1.429</v>
      </c>
      <c r="D916" s="3">
        <v>151.4</v>
      </c>
      <c r="E916" s="3">
        <v>110.8</v>
      </c>
      <c r="F916" s="3">
        <v>30.18</v>
      </c>
      <c r="G916" s="3">
        <v>393.5</v>
      </c>
      <c r="H916" s="3">
        <v>3.58</v>
      </c>
      <c r="I916" s="13">
        <f t="shared" si="14"/>
        <v>3.6713055003313451</v>
      </c>
    </row>
    <row r="917" spans="2:9">
      <c r="C917" s="46">
        <v>1.3620000000000001</v>
      </c>
      <c r="D917" s="3">
        <v>166.6</v>
      </c>
      <c r="E917" s="3">
        <v>111.5</v>
      </c>
      <c r="F917" s="3">
        <v>30.52</v>
      </c>
      <c r="G917" s="3">
        <v>399.1</v>
      </c>
      <c r="H917" s="3">
        <v>3.613</v>
      </c>
      <c r="I917" s="13">
        <f t="shared" si="14"/>
        <v>3.6533420707732636</v>
      </c>
    </row>
    <row r="918" spans="2:9">
      <c r="C918" s="46">
        <v>1.4219999999999999</v>
      </c>
      <c r="D918" s="3">
        <v>148.5</v>
      </c>
      <c r="E918" s="3">
        <v>111.3</v>
      </c>
      <c r="F918" s="3">
        <v>30.02</v>
      </c>
      <c r="G918" s="3">
        <v>399</v>
      </c>
      <c r="H918" s="3">
        <v>3.589</v>
      </c>
      <c r="I918" s="13">
        <f t="shared" ref="I918:I981" si="15">E918/F918</f>
        <v>3.7075283144570288</v>
      </c>
    </row>
    <row r="919" spans="2:9">
      <c r="C919" s="46">
        <v>1.476</v>
      </c>
      <c r="D919" s="3">
        <v>123.2</v>
      </c>
      <c r="E919" s="3">
        <v>110.5</v>
      </c>
      <c r="F919" s="3">
        <v>29.77</v>
      </c>
      <c r="G919" s="3">
        <v>394.3</v>
      </c>
      <c r="H919" s="3">
        <v>3.694</v>
      </c>
      <c r="I919" s="13">
        <f t="shared" si="15"/>
        <v>3.7117903930131004</v>
      </c>
    </row>
    <row r="920" spans="2:9">
      <c r="C920" s="46">
        <v>1.522</v>
      </c>
      <c r="D920" s="3">
        <v>134.19999999999999</v>
      </c>
      <c r="E920" s="3">
        <v>110.8</v>
      </c>
      <c r="F920" s="3">
        <v>29.75</v>
      </c>
      <c r="G920" s="3">
        <v>394.6</v>
      </c>
      <c r="H920" s="3">
        <v>3.72</v>
      </c>
      <c r="I920" s="13">
        <f t="shared" si="15"/>
        <v>3.7243697478991598</v>
      </c>
    </row>
    <row r="921" spans="2:9">
      <c r="C921" s="46">
        <v>1.6060000000000001</v>
      </c>
      <c r="D921" s="3">
        <v>122</v>
      </c>
      <c r="E921" s="3">
        <v>111.2</v>
      </c>
      <c r="F921" s="3">
        <v>30.23</v>
      </c>
      <c r="G921" s="3">
        <v>399.2</v>
      </c>
      <c r="H921" s="3">
        <v>3.875</v>
      </c>
      <c r="I921" s="13">
        <f t="shared" si="15"/>
        <v>3.6784651008931526</v>
      </c>
    </row>
    <row r="922" spans="2:9">
      <c r="B922" s="16">
        <v>47</v>
      </c>
      <c r="C922" s="47">
        <v>2.0760000000000001</v>
      </c>
      <c r="D922" s="18">
        <v>159.80000000000001</v>
      </c>
      <c r="E922" s="16">
        <v>92.22</v>
      </c>
      <c r="F922" s="16">
        <v>19.86</v>
      </c>
      <c r="G922" s="16">
        <v>467.3</v>
      </c>
      <c r="H922" s="16">
        <v>2.4300000000000002</v>
      </c>
      <c r="I922" s="13">
        <f t="shared" si="15"/>
        <v>4.643504531722054</v>
      </c>
    </row>
    <row r="923" spans="2:9">
      <c r="C923" s="46">
        <v>2.2080000000000002</v>
      </c>
      <c r="D923" s="3">
        <v>144.19999999999999</v>
      </c>
      <c r="E923" s="3">
        <v>93</v>
      </c>
      <c r="F923" s="3">
        <v>19.88</v>
      </c>
      <c r="G923" s="3">
        <v>468.5</v>
      </c>
      <c r="H923" s="3">
        <v>2.1019999999999999</v>
      </c>
      <c r="I923" s="13">
        <f t="shared" si="15"/>
        <v>4.6780684104627772</v>
      </c>
    </row>
    <row r="924" spans="2:9">
      <c r="C924" s="46">
        <v>2.2109999999999999</v>
      </c>
      <c r="D924" s="3">
        <v>128.80000000000001</v>
      </c>
      <c r="E924" s="3">
        <v>92.3</v>
      </c>
      <c r="F924" s="3">
        <v>19.510000000000002</v>
      </c>
      <c r="G924" s="3">
        <v>469.1</v>
      </c>
      <c r="H924" s="3">
        <v>2.62</v>
      </c>
      <c r="I924" s="13">
        <f t="shared" si="15"/>
        <v>4.7309072270630441</v>
      </c>
    </row>
    <row r="925" spans="2:9">
      <c r="C925" s="46">
        <v>2.19</v>
      </c>
      <c r="D925" s="3">
        <v>128.5</v>
      </c>
      <c r="E925" s="3">
        <v>92.8</v>
      </c>
      <c r="F925" s="3">
        <v>19.39</v>
      </c>
      <c r="G925" s="3">
        <v>469.7</v>
      </c>
      <c r="H925" s="3">
        <v>2.4180000000000001</v>
      </c>
      <c r="I925" s="13">
        <f t="shared" si="15"/>
        <v>4.7859721505930892</v>
      </c>
    </row>
    <row r="926" spans="2:9">
      <c r="C926" s="46">
        <v>2.1800000000000002</v>
      </c>
      <c r="D926" s="3">
        <v>152.80000000000001</v>
      </c>
      <c r="E926" s="3">
        <v>93.12</v>
      </c>
      <c r="F926" s="3">
        <v>19.260000000000002</v>
      </c>
      <c r="G926" s="3">
        <v>465.7</v>
      </c>
      <c r="H926" s="3">
        <v>2.1309999999999998</v>
      </c>
      <c r="I926" s="13">
        <f t="shared" si="15"/>
        <v>4.8348909657320869</v>
      </c>
    </row>
    <row r="927" spans="2:9">
      <c r="C927" s="46">
        <v>2.1520000000000001</v>
      </c>
      <c r="D927" s="3">
        <v>130.80000000000001</v>
      </c>
      <c r="E927" s="3">
        <v>92.75</v>
      </c>
      <c r="F927" s="3">
        <v>19.03</v>
      </c>
      <c r="G927" s="3">
        <v>463.6</v>
      </c>
      <c r="H927" s="3">
        <v>2.7080000000000002</v>
      </c>
      <c r="I927" s="13">
        <f t="shared" si="15"/>
        <v>4.8738833420914345</v>
      </c>
    </row>
    <row r="928" spans="2:9">
      <c r="C928" s="46">
        <v>2.0409999999999999</v>
      </c>
      <c r="D928" s="3">
        <v>103.7</v>
      </c>
      <c r="E928" s="3">
        <v>92.62</v>
      </c>
      <c r="F928" s="3">
        <v>19.38</v>
      </c>
      <c r="G928" s="3">
        <v>461.2</v>
      </c>
      <c r="H928" s="3">
        <v>2.823</v>
      </c>
      <c r="I928" s="13">
        <f t="shared" si="15"/>
        <v>4.7791537667698663</v>
      </c>
    </row>
    <row r="929" spans="2:9">
      <c r="C929" s="46">
        <v>2.0910000000000002</v>
      </c>
      <c r="D929" s="3">
        <v>95.43</v>
      </c>
      <c r="E929" s="3">
        <v>92.53</v>
      </c>
      <c r="F929" s="3">
        <v>19.27</v>
      </c>
      <c r="G929" s="3">
        <v>464.5</v>
      </c>
      <c r="H929" s="3">
        <v>2.9510000000000001</v>
      </c>
      <c r="I929" s="13">
        <f t="shared" si="15"/>
        <v>4.80176440062273</v>
      </c>
    </row>
    <row r="930" spans="2:9">
      <c r="C930" s="46">
        <v>2.1779999999999999</v>
      </c>
      <c r="D930" s="3">
        <v>145.80000000000001</v>
      </c>
      <c r="E930" s="3">
        <v>92.65</v>
      </c>
      <c r="F930" s="3">
        <v>19.43</v>
      </c>
      <c r="G930" s="3">
        <v>467.8</v>
      </c>
      <c r="H930" s="3">
        <v>3.02</v>
      </c>
      <c r="I930" s="13">
        <f t="shared" si="15"/>
        <v>4.7683993823983535</v>
      </c>
    </row>
    <row r="931" spans="2:9">
      <c r="C931" s="46">
        <v>2.1539999999999999</v>
      </c>
      <c r="D931" s="3">
        <v>136.19999999999999</v>
      </c>
      <c r="E931" s="3">
        <v>92.61</v>
      </c>
      <c r="F931" s="3">
        <v>19.59</v>
      </c>
      <c r="G931" s="3">
        <v>468.8</v>
      </c>
      <c r="H931" s="3">
        <v>2.335</v>
      </c>
      <c r="I931" s="13">
        <f t="shared" si="15"/>
        <v>4.7274119448698313</v>
      </c>
    </row>
    <row r="932" spans="2:9">
      <c r="C932" s="46">
        <v>2.19</v>
      </c>
      <c r="D932" s="3">
        <v>117.4</v>
      </c>
      <c r="E932" s="3">
        <v>92.76</v>
      </c>
      <c r="F932" s="3">
        <v>19.75</v>
      </c>
      <c r="G932" s="3">
        <v>468.5</v>
      </c>
      <c r="H932" s="3">
        <v>2.0459999999999998</v>
      </c>
      <c r="I932" s="13">
        <f t="shared" si="15"/>
        <v>4.696708860759494</v>
      </c>
    </row>
    <row r="933" spans="2:9">
      <c r="C933" s="46">
        <v>2.1920000000000002</v>
      </c>
      <c r="D933" s="3">
        <v>128.5</v>
      </c>
      <c r="E933" s="3">
        <v>92.92</v>
      </c>
      <c r="F933" s="3">
        <v>19.18</v>
      </c>
      <c r="G933" s="3">
        <v>462.5</v>
      </c>
      <c r="H933" s="3">
        <v>2.843</v>
      </c>
      <c r="I933" s="13">
        <f t="shared" si="15"/>
        <v>4.8446298227320126</v>
      </c>
    </row>
    <row r="934" spans="2:9">
      <c r="C934" s="46">
        <v>2.1629999999999998</v>
      </c>
      <c r="D934" s="3">
        <v>134.80000000000001</v>
      </c>
      <c r="E934" s="3">
        <v>92.67</v>
      </c>
      <c r="F934" s="3">
        <v>19.399999999999999</v>
      </c>
      <c r="G934" s="3">
        <v>459.8</v>
      </c>
      <c r="H934" s="3">
        <v>2.617</v>
      </c>
      <c r="I934" s="13">
        <f t="shared" si="15"/>
        <v>4.776804123711341</v>
      </c>
    </row>
    <row r="935" spans="2:9">
      <c r="C935" s="46">
        <v>2.1819999999999999</v>
      </c>
      <c r="D935" s="3">
        <v>128.80000000000001</v>
      </c>
      <c r="E935" s="3">
        <v>92.42</v>
      </c>
      <c r="F935" s="3">
        <v>19.43</v>
      </c>
      <c r="G935" s="3">
        <v>456.3</v>
      </c>
      <c r="H935" s="3">
        <v>3.133</v>
      </c>
      <c r="I935" s="13">
        <f t="shared" si="15"/>
        <v>4.7565620174987133</v>
      </c>
    </row>
    <row r="936" spans="2:9">
      <c r="C936" s="46">
        <v>2.15</v>
      </c>
      <c r="D936" s="3">
        <v>102.9</v>
      </c>
      <c r="E936" s="3">
        <v>92.88</v>
      </c>
      <c r="F936" s="3">
        <v>19.34</v>
      </c>
      <c r="G936" s="3">
        <v>466.6</v>
      </c>
      <c r="H936" s="3">
        <v>3.0419999999999998</v>
      </c>
      <c r="I936" s="13">
        <f t="shared" si="15"/>
        <v>4.8024819027921408</v>
      </c>
    </row>
    <row r="937" spans="2:9">
      <c r="C937" s="46">
        <v>2.1619999999999999</v>
      </c>
      <c r="D937" s="3">
        <v>101.9</v>
      </c>
      <c r="E937" s="3">
        <v>92.9</v>
      </c>
      <c r="F937" s="3">
        <v>19.7</v>
      </c>
      <c r="G937" s="3">
        <v>463.3</v>
      </c>
      <c r="H937" s="3">
        <v>2.7810000000000001</v>
      </c>
      <c r="I937" s="13">
        <f t="shared" si="15"/>
        <v>4.7157360406091371</v>
      </c>
    </row>
    <row r="938" spans="2:9">
      <c r="C938" s="46">
        <v>2.1280000000000001</v>
      </c>
      <c r="D938" s="3">
        <v>110.7</v>
      </c>
      <c r="E938" s="3">
        <v>92.93</v>
      </c>
      <c r="F938" s="3">
        <v>19.86</v>
      </c>
      <c r="G938" s="3">
        <v>463.8</v>
      </c>
      <c r="H938" s="3">
        <v>2.8140000000000001</v>
      </c>
      <c r="I938" s="13">
        <f t="shared" si="15"/>
        <v>4.6792547834843914</v>
      </c>
    </row>
    <row r="939" spans="2:9">
      <c r="C939" s="46">
        <v>2.198</v>
      </c>
      <c r="D939" s="3">
        <v>118.9</v>
      </c>
      <c r="E939" s="3">
        <v>93</v>
      </c>
      <c r="F939" s="3">
        <v>19.8</v>
      </c>
      <c r="G939" s="3">
        <v>459.8</v>
      </c>
      <c r="H939" s="3">
        <v>2.0859999999999999</v>
      </c>
      <c r="I939" s="13">
        <f t="shared" si="15"/>
        <v>4.6969696969696972</v>
      </c>
    </row>
    <row r="940" spans="2:9">
      <c r="C940" s="46">
        <v>2.1989999999999998</v>
      </c>
      <c r="D940" s="3">
        <v>130.80000000000001</v>
      </c>
      <c r="E940" s="3">
        <v>93.16</v>
      </c>
      <c r="F940" s="3">
        <v>19.75</v>
      </c>
      <c r="G940" s="3">
        <v>467.9</v>
      </c>
      <c r="H940" s="3">
        <v>2.1819999999999999</v>
      </c>
      <c r="I940" s="13">
        <f t="shared" si="15"/>
        <v>4.7169620253164553</v>
      </c>
    </row>
    <row r="941" spans="2:9">
      <c r="C941" s="46">
        <v>2.2109999999999999</v>
      </c>
      <c r="D941" s="3">
        <v>128.5</v>
      </c>
      <c r="E941" s="3">
        <v>93.08</v>
      </c>
      <c r="F941" s="3">
        <v>19.48</v>
      </c>
      <c r="G941" s="3">
        <v>463.4</v>
      </c>
      <c r="H941" s="3">
        <v>1.917</v>
      </c>
      <c r="I941" s="13">
        <f t="shared" si="15"/>
        <v>4.7782340862422998</v>
      </c>
    </row>
    <row r="942" spans="2:9">
      <c r="B942" s="16">
        <v>48</v>
      </c>
      <c r="C942" s="47">
        <v>2.323</v>
      </c>
      <c r="D942" s="18">
        <v>75.59</v>
      </c>
      <c r="E942" s="16">
        <v>83</v>
      </c>
      <c r="F942" s="16">
        <v>19.829999999999998</v>
      </c>
      <c r="G942" s="57">
        <v>468.9</v>
      </c>
      <c r="H942" s="16">
        <v>1.887</v>
      </c>
      <c r="I942" s="13">
        <f t="shared" si="15"/>
        <v>4.1855774079677257</v>
      </c>
    </row>
    <row r="943" spans="2:9">
      <c r="C943" s="46">
        <v>2.25</v>
      </c>
      <c r="D943" s="3">
        <v>79.7</v>
      </c>
      <c r="E943" s="3">
        <v>82.56</v>
      </c>
      <c r="F943" s="3">
        <v>20</v>
      </c>
      <c r="G943" s="3">
        <v>474.4</v>
      </c>
      <c r="H943" s="3">
        <v>2.1520000000000001</v>
      </c>
      <c r="I943" s="13">
        <f t="shared" si="15"/>
        <v>4.1280000000000001</v>
      </c>
    </row>
    <row r="944" spans="2:9">
      <c r="C944" s="46">
        <v>2.198</v>
      </c>
      <c r="D944" s="3">
        <v>99.04</v>
      </c>
      <c r="E944" s="3">
        <v>83.2</v>
      </c>
      <c r="F944" s="3">
        <v>20.13</v>
      </c>
      <c r="G944" s="3">
        <v>477.6</v>
      </c>
      <c r="H944" s="3">
        <v>1.857</v>
      </c>
      <c r="I944" s="13">
        <f t="shared" si="15"/>
        <v>4.1331346249379042</v>
      </c>
    </row>
    <row r="945" spans="3:9">
      <c r="C945" s="46">
        <v>2.1360000000000001</v>
      </c>
      <c r="D945" s="3">
        <v>87.05</v>
      </c>
      <c r="E945" s="3">
        <v>82.92</v>
      </c>
      <c r="F945" s="3">
        <v>19.440000000000001</v>
      </c>
      <c r="G945" s="3">
        <v>480.3</v>
      </c>
      <c r="H945" s="3">
        <v>2.097</v>
      </c>
      <c r="I945" s="13">
        <f t="shared" si="15"/>
        <v>4.2654320987654319</v>
      </c>
    </row>
    <row r="946" spans="3:9">
      <c r="C946" s="46">
        <v>1.1419999999999999</v>
      </c>
      <c r="D946" s="3">
        <v>105.6</v>
      </c>
      <c r="E946" s="3">
        <v>82.7</v>
      </c>
      <c r="F946" s="3">
        <v>19.86</v>
      </c>
      <c r="G946" s="3">
        <v>484.9</v>
      </c>
      <c r="H946" s="3">
        <v>1.968</v>
      </c>
      <c r="I946" s="13">
        <f t="shared" si="15"/>
        <v>4.1641490433031221</v>
      </c>
    </row>
    <row r="947" spans="3:9">
      <c r="C947" s="46">
        <v>2.1379999999999999</v>
      </c>
      <c r="D947" s="3">
        <v>96.96</v>
      </c>
      <c r="E947" s="3">
        <v>83.12</v>
      </c>
      <c r="F947" s="3">
        <v>19.68</v>
      </c>
      <c r="G947" s="3">
        <v>468</v>
      </c>
      <c r="H947" s="3">
        <v>2.3340000000000001</v>
      </c>
      <c r="I947" s="13">
        <f t="shared" si="15"/>
        <v>4.2235772357723578</v>
      </c>
    </row>
    <row r="948" spans="3:9">
      <c r="C948" s="46">
        <v>2.1800000000000002</v>
      </c>
      <c r="D948" s="3">
        <v>93.17</v>
      </c>
      <c r="E948" s="3">
        <v>83.25</v>
      </c>
      <c r="F948" s="3">
        <v>20.100000000000001</v>
      </c>
      <c r="G948" s="3">
        <v>468.3</v>
      </c>
      <c r="H948" s="3">
        <v>2.0590000000000002</v>
      </c>
      <c r="I948" s="13">
        <f t="shared" si="15"/>
        <v>4.1417910447761193</v>
      </c>
    </row>
    <row r="949" spans="3:9">
      <c r="C949" s="46">
        <v>2.1970000000000001</v>
      </c>
      <c r="D949" s="3">
        <v>94.07</v>
      </c>
      <c r="E949" s="3">
        <v>83.37</v>
      </c>
      <c r="F949" s="3">
        <v>19.399999999999999</v>
      </c>
      <c r="G949" s="3">
        <v>466.2</v>
      </c>
      <c r="H949" s="3">
        <v>2.6960000000000002</v>
      </c>
      <c r="I949" s="13">
        <f t="shared" si="15"/>
        <v>4.2974226804123719</v>
      </c>
    </row>
    <row r="950" spans="3:9">
      <c r="C950" s="46">
        <v>2.2839999999999998</v>
      </c>
      <c r="D950" s="3">
        <v>108.6</v>
      </c>
      <c r="E950" s="3">
        <v>83.24</v>
      </c>
      <c r="F950" s="3">
        <v>19.48</v>
      </c>
      <c r="G950" s="3">
        <v>470.6</v>
      </c>
      <c r="H950" s="3">
        <v>2.097</v>
      </c>
      <c r="I950" s="13">
        <f t="shared" si="15"/>
        <v>4.2731006160164267</v>
      </c>
    </row>
    <row r="951" spans="3:9">
      <c r="C951" s="46">
        <v>2.2970000000000002</v>
      </c>
      <c r="D951" s="3">
        <v>147.80000000000001</v>
      </c>
      <c r="E951" s="3">
        <v>83.51</v>
      </c>
      <c r="F951" s="3">
        <v>19.809999999999999</v>
      </c>
      <c r="G951" s="3">
        <v>466.2</v>
      </c>
      <c r="H951" s="3">
        <v>2.6339999999999999</v>
      </c>
      <c r="I951" s="13">
        <f t="shared" si="15"/>
        <v>4.2155477031802127</v>
      </c>
    </row>
    <row r="952" spans="3:9">
      <c r="C952" s="46">
        <v>2.323</v>
      </c>
      <c r="D952" s="3">
        <v>110.6</v>
      </c>
      <c r="E952" s="3">
        <v>83.52</v>
      </c>
      <c r="F952" s="3">
        <v>19.670000000000002</v>
      </c>
      <c r="G952" s="3">
        <v>468.7</v>
      </c>
      <c r="H952" s="3">
        <v>2.298</v>
      </c>
      <c r="I952" s="13">
        <f t="shared" si="15"/>
        <v>4.2460599898322311</v>
      </c>
    </row>
    <row r="953" spans="3:9">
      <c r="C953" s="46">
        <v>2.3180000000000001</v>
      </c>
      <c r="D953" s="3">
        <v>86.24</v>
      </c>
      <c r="E953" s="3">
        <v>83.65</v>
      </c>
      <c r="F953" s="3">
        <v>19.260000000000002</v>
      </c>
      <c r="G953" s="3">
        <v>467.4</v>
      </c>
      <c r="H953" s="3">
        <v>2.2400000000000002</v>
      </c>
      <c r="I953" s="13">
        <f t="shared" si="15"/>
        <v>4.3431983385254416</v>
      </c>
    </row>
    <row r="954" spans="3:9">
      <c r="C954" s="46">
        <v>2.3319999999999999</v>
      </c>
      <c r="D954" s="3">
        <v>96.16</v>
      </c>
      <c r="E954" s="3">
        <v>83.72</v>
      </c>
      <c r="F954" s="3">
        <v>19.13</v>
      </c>
      <c r="G954" s="3">
        <v>468.7</v>
      </c>
      <c r="H954" s="3">
        <v>2.1930000000000001</v>
      </c>
      <c r="I954" s="13">
        <f t="shared" si="15"/>
        <v>4.3763721902770518</v>
      </c>
    </row>
    <row r="955" spans="3:9">
      <c r="C955" s="46">
        <v>2.33</v>
      </c>
      <c r="D955" s="3">
        <v>82.73</v>
      </c>
      <c r="E955" s="3">
        <v>83.87</v>
      </c>
      <c r="F955" s="3">
        <v>19.47</v>
      </c>
      <c r="G955" s="3">
        <v>466.8</v>
      </c>
      <c r="H955" s="3">
        <v>2.2149999999999999</v>
      </c>
      <c r="I955" s="13">
        <f t="shared" si="15"/>
        <v>4.3076527991782232</v>
      </c>
    </row>
    <row r="956" spans="3:9">
      <c r="C956" s="46">
        <v>2.3380000000000001</v>
      </c>
      <c r="D956" s="3">
        <v>89.72</v>
      </c>
      <c r="E956" s="3">
        <v>83.64</v>
      </c>
      <c r="F956" s="3">
        <v>19.829999999999998</v>
      </c>
      <c r="G956" s="3">
        <v>468.5</v>
      </c>
      <c r="H956" s="3">
        <v>2.3279999999999998</v>
      </c>
      <c r="I956" s="13">
        <f t="shared" si="15"/>
        <v>4.2178517397882</v>
      </c>
    </row>
    <row r="957" spans="3:9">
      <c r="C957" s="46">
        <v>2.3090000000000002</v>
      </c>
      <c r="D957" s="3">
        <v>107.2</v>
      </c>
      <c r="E957" s="3">
        <v>83.37</v>
      </c>
      <c r="F957" s="3">
        <v>19.420000000000002</v>
      </c>
      <c r="G957" s="3">
        <v>468.3</v>
      </c>
      <c r="H957" s="3">
        <v>2.1619999999999999</v>
      </c>
      <c r="I957" s="13">
        <f t="shared" si="15"/>
        <v>4.2929969104016479</v>
      </c>
    </row>
    <row r="958" spans="3:9">
      <c r="C958" s="46">
        <v>2.3199999999999998</v>
      </c>
      <c r="D958" s="3">
        <v>99.47</v>
      </c>
      <c r="E958" s="3">
        <v>83.35</v>
      </c>
      <c r="F958" s="3">
        <v>19.28</v>
      </c>
      <c r="G958" s="3">
        <v>468.4</v>
      </c>
      <c r="H958" s="3">
        <v>2.0680000000000001</v>
      </c>
      <c r="I958" s="13">
        <f t="shared" si="15"/>
        <v>4.3231327800829868</v>
      </c>
    </row>
    <row r="959" spans="3:9">
      <c r="C959" s="46">
        <v>2.3540000000000001</v>
      </c>
      <c r="D959" s="3">
        <v>87.05</v>
      </c>
      <c r="E959" s="3">
        <v>83.34</v>
      </c>
      <c r="F959" s="3">
        <v>19.27</v>
      </c>
      <c r="G959" s="3">
        <v>470.9</v>
      </c>
      <c r="H959" s="3">
        <v>2.6579999999999999</v>
      </c>
      <c r="I959" s="13">
        <f t="shared" si="15"/>
        <v>4.3248572911261034</v>
      </c>
    </row>
    <row r="960" spans="3:9">
      <c r="C960" s="46">
        <v>2.2999999999999998</v>
      </c>
      <c r="D960" s="3">
        <v>90.75</v>
      </c>
      <c r="E960" s="3">
        <v>83.89</v>
      </c>
      <c r="F960" s="3">
        <v>19.670000000000002</v>
      </c>
      <c r="G960" s="3">
        <v>479.2</v>
      </c>
      <c r="H960" s="3">
        <v>2.3340000000000001</v>
      </c>
      <c r="I960" s="13">
        <f t="shared" si="15"/>
        <v>4.2648703609557694</v>
      </c>
    </row>
    <row r="961" spans="2:9">
      <c r="C961" s="46">
        <v>2.2970000000000002</v>
      </c>
      <c r="D961" s="3">
        <v>108.6</v>
      </c>
      <c r="E961" s="3">
        <v>84</v>
      </c>
      <c r="F961" s="3">
        <v>19.96</v>
      </c>
      <c r="G961" s="3">
        <v>485.2</v>
      </c>
      <c r="H961" s="3">
        <v>2.0030000000000001</v>
      </c>
      <c r="I961" s="13">
        <f t="shared" si="15"/>
        <v>4.2084168336673349</v>
      </c>
    </row>
    <row r="962" spans="2:9">
      <c r="B962" s="16">
        <v>49</v>
      </c>
      <c r="C962" s="47">
        <v>2.2530000000000001</v>
      </c>
      <c r="D962" s="18">
        <v>96.22</v>
      </c>
      <c r="E962" s="16">
        <v>97.95</v>
      </c>
      <c r="F962" s="16">
        <v>18.329999999999998</v>
      </c>
      <c r="G962" s="16">
        <v>398.6</v>
      </c>
      <c r="H962" s="16">
        <v>3.6429999999999998</v>
      </c>
      <c r="I962" s="13">
        <f t="shared" si="15"/>
        <v>5.3436988543371529</v>
      </c>
    </row>
    <row r="963" spans="2:9">
      <c r="C963" s="46">
        <v>2.36</v>
      </c>
      <c r="D963" s="3">
        <v>90.76</v>
      </c>
      <c r="E963" s="3">
        <v>97.18</v>
      </c>
      <c r="F963" s="3">
        <v>18.899999999999999</v>
      </c>
      <c r="G963" s="3">
        <v>402.5</v>
      </c>
      <c r="H963" s="3">
        <v>3.7229999999999999</v>
      </c>
      <c r="I963" s="13">
        <f t="shared" si="15"/>
        <v>5.1417989417989425</v>
      </c>
    </row>
    <row r="964" spans="2:9">
      <c r="C964" s="46">
        <v>2.379</v>
      </c>
      <c r="D964" s="3">
        <v>85.87</v>
      </c>
      <c r="E964" s="3">
        <v>97.26</v>
      </c>
      <c r="F964" s="3">
        <v>18.37</v>
      </c>
      <c r="G964" s="3">
        <v>402.9</v>
      </c>
      <c r="H964" s="3">
        <v>3.0750000000000002</v>
      </c>
      <c r="I964" s="13">
        <f t="shared" si="15"/>
        <v>5.2945019052803488</v>
      </c>
    </row>
    <row r="965" spans="2:9">
      <c r="C965" s="46">
        <v>2.375</v>
      </c>
      <c r="D965" s="3">
        <v>88.72</v>
      </c>
      <c r="E965" s="3">
        <v>97.4</v>
      </c>
      <c r="F965" s="3">
        <v>18.84</v>
      </c>
      <c r="G965" s="3">
        <v>404.8</v>
      </c>
      <c r="H965" s="3">
        <v>3.1850000000000001</v>
      </c>
      <c r="I965" s="13">
        <f t="shared" si="15"/>
        <v>5.1698513800424628</v>
      </c>
    </row>
    <row r="966" spans="2:9">
      <c r="C966" s="46">
        <v>2.3959999999999999</v>
      </c>
      <c r="D966" s="3">
        <v>95.47</v>
      </c>
      <c r="E966" s="3">
        <v>97.89</v>
      </c>
      <c r="F966" s="3">
        <v>18.7</v>
      </c>
      <c r="G966" s="3">
        <v>399.2</v>
      </c>
      <c r="H966" s="3">
        <v>2.258</v>
      </c>
      <c r="I966" s="13">
        <f t="shared" si="15"/>
        <v>5.2347593582887706</v>
      </c>
    </row>
    <row r="967" spans="2:9">
      <c r="C967" s="46">
        <v>2.431</v>
      </c>
      <c r="D967" s="3">
        <v>93.87</v>
      </c>
      <c r="E967" s="3">
        <v>97.97</v>
      </c>
      <c r="F967" s="3">
        <v>18.260000000000002</v>
      </c>
      <c r="G967" s="3">
        <v>398.1</v>
      </c>
      <c r="H967" s="3">
        <v>2.7360000000000002</v>
      </c>
      <c r="I967" s="13">
        <f t="shared" si="15"/>
        <v>5.3652792990142384</v>
      </c>
    </row>
    <row r="968" spans="2:9">
      <c r="C968" s="46">
        <v>2.4390000000000001</v>
      </c>
      <c r="D968" s="3">
        <v>101.7</v>
      </c>
      <c r="E968" s="3">
        <v>98.05</v>
      </c>
      <c r="F968" s="3">
        <v>18.260000000000002</v>
      </c>
      <c r="G968" s="3">
        <v>396.5</v>
      </c>
      <c r="H968" s="3">
        <v>2.8450000000000002</v>
      </c>
      <c r="I968" s="13">
        <f t="shared" si="15"/>
        <v>5.3696604600219056</v>
      </c>
    </row>
    <row r="969" spans="2:9">
      <c r="C969" s="46">
        <v>2.4359999999999999</v>
      </c>
      <c r="D969" s="3">
        <v>138.1</v>
      </c>
      <c r="E969" s="3">
        <v>97.72</v>
      </c>
      <c r="F969" s="3">
        <v>18.79</v>
      </c>
      <c r="G969" s="3">
        <v>395.4</v>
      </c>
      <c r="H969" s="3">
        <v>2.9870000000000001</v>
      </c>
      <c r="I969" s="13">
        <f t="shared" si="15"/>
        <v>5.200638637573177</v>
      </c>
    </row>
    <row r="970" spans="2:9">
      <c r="C970" s="46">
        <v>2.4249999999999998</v>
      </c>
      <c r="D970" s="3">
        <v>135</v>
      </c>
      <c r="E970" s="3">
        <v>98.28</v>
      </c>
      <c r="F970" s="3">
        <v>18.559999999999999</v>
      </c>
      <c r="G970" s="3">
        <v>395.8</v>
      </c>
      <c r="H970" s="3">
        <v>3.55</v>
      </c>
      <c r="I970" s="13">
        <f t="shared" si="15"/>
        <v>5.2952586206896557</v>
      </c>
    </row>
    <row r="971" spans="2:9">
      <c r="C971" s="46">
        <v>2.3969999999999998</v>
      </c>
      <c r="D971" s="3">
        <v>96.45</v>
      </c>
      <c r="E971" s="3">
        <v>97.98</v>
      </c>
      <c r="F971" s="3">
        <v>18.7</v>
      </c>
      <c r="G971" s="3">
        <v>398.4</v>
      </c>
      <c r="H971" s="3">
        <v>3.95</v>
      </c>
      <c r="I971" s="13">
        <f t="shared" si="15"/>
        <v>5.2395721925133696</v>
      </c>
    </row>
    <row r="972" spans="2:9">
      <c r="C972" s="46">
        <v>2.4359999999999999</v>
      </c>
      <c r="D972" s="3">
        <v>85.78</v>
      </c>
      <c r="E972" s="3">
        <v>97.92</v>
      </c>
      <c r="F972" s="3">
        <v>18.5</v>
      </c>
      <c r="G972" s="3">
        <v>403.5</v>
      </c>
      <c r="H972" s="3">
        <v>2.6459999999999999</v>
      </c>
      <c r="I972" s="13">
        <f t="shared" si="15"/>
        <v>5.2929729729729731</v>
      </c>
    </row>
    <row r="973" spans="2:9">
      <c r="C973" s="46">
        <v>2.4049999999999998</v>
      </c>
      <c r="D973" s="3">
        <v>86</v>
      </c>
      <c r="E973" s="3">
        <v>97.38</v>
      </c>
      <c r="F973" s="3">
        <v>18.48</v>
      </c>
      <c r="G973" s="3">
        <v>401.8</v>
      </c>
      <c r="H973" s="3">
        <v>3.1850000000000001</v>
      </c>
      <c r="I973" s="13">
        <f t="shared" si="15"/>
        <v>5.2694805194805188</v>
      </c>
    </row>
    <row r="974" spans="2:9">
      <c r="C974" s="46">
        <v>2.395</v>
      </c>
      <c r="D974" s="3">
        <v>91.85</v>
      </c>
      <c r="E974" s="3">
        <v>97.48</v>
      </c>
      <c r="F974" s="3">
        <v>18.559999999999999</v>
      </c>
      <c r="G974" s="3">
        <v>408</v>
      </c>
      <c r="H974" s="3">
        <v>3.0750000000000002</v>
      </c>
      <c r="I974" s="13">
        <f t="shared" si="15"/>
        <v>5.2521551724137936</v>
      </c>
    </row>
    <row r="975" spans="2:9">
      <c r="C975" s="46">
        <v>2.3159999999999998</v>
      </c>
      <c r="D975" s="3">
        <v>100.1</v>
      </c>
      <c r="E975" s="3">
        <v>97.56</v>
      </c>
      <c r="F975" s="3">
        <v>18.43</v>
      </c>
      <c r="G975" s="3">
        <v>400.5</v>
      </c>
      <c r="H975" s="3">
        <v>3.2730000000000001</v>
      </c>
      <c r="I975" s="13">
        <f t="shared" si="15"/>
        <v>5.2935431361909933</v>
      </c>
    </row>
    <row r="976" spans="2:9">
      <c r="C976" s="46">
        <v>2.3090000000000002</v>
      </c>
      <c r="D976" s="3">
        <v>90.76</v>
      </c>
      <c r="E976" s="3">
        <v>97.8</v>
      </c>
      <c r="F976" s="3">
        <v>18.190000000000001</v>
      </c>
      <c r="G976" s="3">
        <v>398.4</v>
      </c>
      <c r="H976" s="3">
        <v>3.097</v>
      </c>
      <c r="I976" s="13">
        <f t="shared" si="15"/>
        <v>5.3765805387575583</v>
      </c>
    </row>
    <row r="977" spans="2:9">
      <c r="C977" s="46">
        <v>2.2829999999999999</v>
      </c>
      <c r="D977" s="3">
        <v>92.71</v>
      </c>
      <c r="E977" s="3">
        <v>97.75</v>
      </c>
      <c r="F977" s="3">
        <v>18.77</v>
      </c>
      <c r="G977" s="3">
        <v>394.4</v>
      </c>
      <c r="H977" s="3">
        <v>2.5449999999999999</v>
      </c>
      <c r="I977" s="13">
        <f t="shared" si="15"/>
        <v>5.2077783697389455</v>
      </c>
    </row>
    <row r="978" spans="2:9">
      <c r="C978" s="46">
        <v>2.355</v>
      </c>
      <c r="D978" s="3">
        <v>91.22</v>
      </c>
      <c r="E978" s="3">
        <v>97.91</v>
      </c>
      <c r="F978" s="3">
        <v>18.62</v>
      </c>
      <c r="G978" s="3">
        <v>396.8</v>
      </c>
      <c r="H978" s="3">
        <v>2.6</v>
      </c>
      <c r="I978" s="13">
        <f t="shared" si="15"/>
        <v>5.258324382384532</v>
      </c>
    </row>
    <row r="979" spans="2:9">
      <c r="C979" s="46">
        <v>2.399</v>
      </c>
      <c r="D979" s="3">
        <v>120</v>
      </c>
      <c r="E979" s="3">
        <v>97.89</v>
      </c>
      <c r="F979" s="3">
        <v>18.54</v>
      </c>
      <c r="G979" s="3">
        <v>398</v>
      </c>
      <c r="H979" s="3">
        <v>2.9630000000000001</v>
      </c>
      <c r="I979" s="13">
        <f t="shared" si="15"/>
        <v>5.2799352750809065</v>
      </c>
    </row>
    <row r="980" spans="2:9">
      <c r="C980" s="46">
        <v>2.4159999999999999</v>
      </c>
      <c r="D980" s="3">
        <v>107.8</v>
      </c>
      <c r="E980" s="3">
        <v>97.42</v>
      </c>
      <c r="F980" s="3">
        <v>18.329999999999998</v>
      </c>
      <c r="G980" s="3">
        <v>403.5</v>
      </c>
      <c r="H980" s="3">
        <v>3.02</v>
      </c>
      <c r="I980" s="13">
        <f t="shared" si="15"/>
        <v>5.3147845062738686</v>
      </c>
    </row>
    <row r="981" spans="2:9">
      <c r="C981" s="46">
        <v>2.4359999999999999</v>
      </c>
      <c r="D981" s="3">
        <v>88.62</v>
      </c>
      <c r="E981" s="3">
        <v>97.65</v>
      </c>
      <c r="F981" s="3">
        <v>18.420000000000002</v>
      </c>
      <c r="G981" s="3">
        <v>397.3</v>
      </c>
      <c r="H981" s="3">
        <v>2.9089999999999998</v>
      </c>
      <c r="I981" s="13">
        <f t="shared" si="15"/>
        <v>5.3013029315960907</v>
      </c>
    </row>
    <row r="982" spans="2:9">
      <c r="B982" s="16">
        <v>50</v>
      </c>
      <c r="C982" s="47">
        <v>2.1579999999999999</v>
      </c>
      <c r="D982" s="18">
        <v>128.4</v>
      </c>
      <c r="E982" s="16">
        <v>98.48</v>
      </c>
      <c r="F982" s="16">
        <v>24.64</v>
      </c>
      <c r="G982" s="16">
        <v>463.7</v>
      </c>
      <c r="H982" s="16">
        <v>3.5720000000000001</v>
      </c>
      <c r="I982" s="13">
        <f t="shared" ref="I982:I1045" si="16">E982/F982</f>
        <v>3.9967532467532467</v>
      </c>
    </row>
    <row r="983" spans="2:9">
      <c r="C983" s="46">
        <v>2.1549999999999998</v>
      </c>
      <c r="D983" s="3">
        <v>142.19999999999999</v>
      </c>
      <c r="E983" s="3">
        <v>98.63</v>
      </c>
      <c r="F983" s="3">
        <v>25.54</v>
      </c>
      <c r="G983" s="3">
        <v>465.2</v>
      </c>
      <c r="H983" s="3">
        <v>3.3279999999999998</v>
      </c>
      <c r="I983" s="13">
        <f t="shared" si="16"/>
        <v>3.8617854346123726</v>
      </c>
    </row>
    <row r="984" spans="2:9">
      <c r="C984" s="46">
        <v>2.11</v>
      </c>
      <c r="D984" s="3">
        <v>119.7</v>
      </c>
      <c r="E984" s="3">
        <v>98.69</v>
      </c>
      <c r="F984" s="3">
        <v>24.32</v>
      </c>
      <c r="G984" s="3">
        <v>472.5</v>
      </c>
      <c r="H984" s="3">
        <v>3.323</v>
      </c>
      <c r="I984" s="13">
        <f t="shared" si="16"/>
        <v>4.0579769736842106</v>
      </c>
    </row>
    <row r="985" spans="2:9">
      <c r="C985" s="46">
        <v>2.0830000000000002</v>
      </c>
      <c r="D985" s="3">
        <v>139.1</v>
      </c>
      <c r="E985" s="3">
        <v>98.77</v>
      </c>
      <c r="F985" s="3">
        <v>24.27</v>
      </c>
      <c r="G985" s="3">
        <v>461</v>
      </c>
      <c r="H985" s="3">
        <v>3.59</v>
      </c>
      <c r="I985" s="13">
        <f t="shared" si="16"/>
        <v>4.0696332921302014</v>
      </c>
    </row>
    <row r="986" spans="2:9">
      <c r="C986" s="46">
        <v>2.04</v>
      </c>
      <c r="D986" s="3">
        <v>169.2</v>
      </c>
      <c r="E986" s="3">
        <v>98.29</v>
      </c>
      <c r="F986" s="3">
        <v>24.62</v>
      </c>
      <c r="G986" s="3">
        <v>459.4</v>
      </c>
      <c r="H986" s="3">
        <v>3.383</v>
      </c>
      <c r="I986" s="13">
        <f t="shared" si="16"/>
        <v>3.9922826969943137</v>
      </c>
    </row>
    <row r="987" spans="2:9">
      <c r="C987" s="46">
        <v>2.0089999999999999</v>
      </c>
      <c r="D987" s="3">
        <v>139.30000000000001</v>
      </c>
      <c r="E987" s="3">
        <v>98.83</v>
      </c>
      <c r="F987" s="3">
        <v>24.42</v>
      </c>
      <c r="G987" s="3">
        <v>462</v>
      </c>
      <c r="H987" s="3">
        <v>3.3090000000000002</v>
      </c>
      <c r="I987" s="13">
        <f t="shared" si="16"/>
        <v>4.0470925470925465</v>
      </c>
    </row>
    <row r="988" spans="2:9">
      <c r="C988" s="46">
        <v>1.877</v>
      </c>
      <c r="D988" s="3">
        <v>144.4</v>
      </c>
      <c r="E988" s="3">
        <v>98.48</v>
      </c>
      <c r="F988" s="3">
        <v>24</v>
      </c>
      <c r="G988" s="3">
        <v>467.4</v>
      </c>
      <c r="H988" s="3">
        <v>3.7919999999999998</v>
      </c>
      <c r="I988" s="13">
        <f t="shared" si="16"/>
        <v>4.1033333333333335</v>
      </c>
    </row>
    <row r="989" spans="2:9">
      <c r="C989" s="46">
        <v>1.9770000000000001</v>
      </c>
      <c r="D989" s="3">
        <v>158.6</v>
      </c>
      <c r="E989" s="3">
        <v>98.89</v>
      </c>
      <c r="F989" s="3">
        <v>24.23</v>
      </c>
      <c r="G989" s="3">
        <v>469.2</v>
      </c>
      <c r="H989" s="3">
        <v>3.883</v>
      </c>
      <c r="I989" s="13">
        <f t="shared" si="16"/>
        <v>4.0813041683862981</v>
      </c>
    </row>
    <row r="990" spans="2:9">
      <c r="C990" s="46">
        <v>2.0619999999999998</v>
      </c>
      <c r="D990" s="3">
        <v>178.6</v>
      </c>
      <c r="E990" s="3">
        <v>98.34</v>
      </c>
      <c r="F990" s="3">
        <v>24.67</v>
      </c>
      <c r="G990" s="3">
        <v>462.7</v>
      </c>
      <c r="H990" s="3">
        <v>3.87</v>
      </c>
      <c r="I990" s="13">
        <f t="shared" si="16"/>
        <v>3.9862180786380219</v>
      </c>
    </row>
    <row r="991" spans="2:9">
      <c r="C991" s="46">
        <v>2.137</v>
      </c>
      <c r="D991" s="3">
        <v>149.4</v>
      </c>
      <c r="E991" s="3">
        <v>98.96</v>
      </c>
      <c r="F991" s="3">
        <v>24.08</v>
      </c>
      <c r="G991" s="3">
        <v>459.4</v>
      </c>
      <c r="H991" s="3">
        <v>3.948</v>
      </c>
      <c r="I991" s="13">
        <f t="shared" si="16"/>
        <v>4.1096345514950166</v>
      </c>
    </row>
    <row r="992" spans="2:9">
      <c r="C992" s="46">
        <v>2.1549999999999998</v>
      </c>
      <c r="D992" s="3">
        <v>162.19999999999999</v>
      </c>
      <c r="E992" s="3">
        <v>98.68</v>
      </c>
      <c r="F992" s="3">
        <v>24.35</v>
      </c>
      <c r="G992" s="3">
        <v>462.4</v>
      </c>
      <c r="H992" s="3">
        <v>3.3279999999999998</v>
      </c>
      <c r="I992" s="13">
        <f t="shared" si="16"/>
        <v>4.0525667351129364</v>
      </c>
    </row>
    <row r="993" spans="2:9">
      <c r="C993" s="46">
        <v>2.1579999999999999</v>
      </c>
      <c r="D993" s="3">
        <v>128.4</v>
      </c>
      <c r="E993" s="3">
        <v>98.82</v>
      </c>
      <c r="F993" s="3">
        <v>24.5</v>
      </c>
      <c r="G993" s="3">
        <v>460.2</v>
      </c>
      <c r="H993" s="3">
        <v>3.9969999999999999</v>
      </c>
      <c r="I993" s="13">
        <f t="shared" si="16"/>
        <v>4.033469387755102</v>
      </c>
    </row>
    <row r="994" spans="2:9">
      <c r="C994" s="46">
        <v>2.1110000000000002</v>
      </c>
      <c r="D994" s="3">
        <v>163.30000000000001</v>
      </c>
      <c r="E994" s="3">
        <v>98.55</v>
      </c>
      <c r="F994" s="3">
        <v>24.45</v>
      </c>
      <c r="G994" s="3">
        <v>465.2</v>
      </c>
      <c r="H994" s="3">
        <v>3.7789999999999999</v>
      </c>
      <c r="I994" s="13">
        <f t="shared" si="16"/>
        <v>4.0306748466257671</v>
      </c>
    </row>
    <row r="995" spans="2:9">
      <c r="C995" s="46">
        <v>2.1240000000000001</v>
      </c>
      <c r="D995" s="3">
        <v>138.9</v>
      </c>
      <c r="E995" s="3">
        <v>98.2</v>
      </c>
      <c r="F995" s="3">
        <v>24.41</v>
      </c>
      <c r="G995" s="3">
        <v>463.3</v>
      </c>
      <c r="H995" s="3">
        <v>3.7919999999999998</v>
      </c>
      <c r="I995" s="13">
        <f t="shared" si="16"/>
        <v>4.0229414174518645</v>
      </c>
    </row>
    <row r="996" spans="2:9">
      <c r="C996" s="46">
        <v>2.0979999999999999</v>
      </c>
      <c r="D996" s="3">
        <v>159.5</v>
      </c>
      <c r="E996" s="3">
        <v>98.34</v>
      </c>
      <c r="F996" s="3">
        <v>24.5</v>
      </c>
      <c r="G996" s="3">
        <v>462.4</v>
      </c>
      <c r="H996" s="3">
        <v>3.5720000000000001</v>
      </c>
      <c r="I996" s="13">
        <f t="shared" si="16"/>
        <v>4.0138775510204079</v>
      </c>
    </row>
    <row r="997" spans="2:9">
      <c r="C997" s="46">
        <v>2.08</v>
      </c>
      <c r="D997" s="3">
        <v>139.1</v>
      </c>
      <c r="E997" s="3">
        <v>98.67</v>
      </c>
      <c r="F997" s="3">
        <v>24.38</v>
      </c>
      <c r="G997" s="3">
        <v>460.4</v>
      </c>
      <c r="H997" s="3">
        <v>3.7919999999999998</v>
      </c>
      <c r="I997" s="13">
        <f t="shared" si="16"/>
        <v>4.0471698113207548</v>
      </c>
    </row>
    <row r="998" spans="2:9">
      <c r="C998" s="46">
        <v>2.0609999999999999</v>
      </c>
      <c r="D998" s="3">
        <v>140.19999999999999</v>
      </c>
      <c r="E998" s="3">
        <v>98.07</v>
      </c>
      <c r="F998" s="3">
        <v>24.54</v>
      </c>
      <c r="G998" s="3">
        <v>465</v>
      </c>
      <c r="H998" s="3">
        <v>3.7029999999999998</v>
      </c>
      <c r="I998" s="13">
        <f t="shared" si="16"/>
        <v>3.9963325183374083</v>
      </c>
    </row>
    <row r="999" spans="2:9">
      <c r="C999" s="46">
        <v>2.0299999999999998</v>
      </c>
      <c r="D999" s="3">
        <v>134.1</v>
      </c>
      <c r="E999" s="3">
        <v>98.76</v>
      </c>
      <c r="F999" s="3">
        <v>24.35</v>
      </c>
      <c r="G999" s="3">
        <v>460</v>
      </c>
      <c r="H999" s="3">
        <v>3.948</v>
      </c>
      <c r="I999" s="13">
        <f t="shared" si="16"/>
        <v>4.0558521560574947</v>
      </c>
    </row>
    <row r="1000" spans="2:9">
      <c r="C1000" s="46">
        <v>1.996</v>
      </c>
      <c r="D1000" s="3">
        <v>139.30000000000001</v>
      </c>
      <c r="E1000" s="3">
        <v>98.69</v>
      </c>
      <c r="F1000" s="3">
        <v>24.24</v>
      </c>
      <c r="G1000" s="3">
        <v>460.2</v>
      </c>
      <c r="H1000" s="3">
        <v>3.82</v>
      </c>
      <c r="I1000" s="13">
        <f t="shared" si="16"/>
        <v>4.0713696369636967</v>
      </c>
    </row>
    <row r="1001" spans="2:9">
      <c r="C1001" s="46">
        <v>2.08</v>
      </c>
      <c r="D1001" s="3">
        <v>126.8</v>
      </c>
      <c r="E1001" s="3">
        <v>98.55</v>
      </c>
      <c r="F1001" s="3">
        <v>24.32</v>
      </c>
      <c r="G1001" s="3">
        <v>465.2</v>
      </c>
      <c r="H1001" s="3">
        <v>3.79</v>
      </c>
      <c r="I1001" s="13">
        <f t="shared" si="16"/>
        <v>4.0522203947368416</v>
      </c>
    </row>
    <row r="1002" spans="2:9">
      <c r="B1002" s="16">
        <v>51</v>
      </c>
      <c r="C1002" s="47">
        <v>1.67</v>
      </c>
      <c r="D1002" s="18">
        <v>106.4</v>
      </c>
      <c r="E1002" s="16">
        <v>88.28</v>
      </c>
      <c r="F1002" s="16">
        <v>31.17</v>
      </c>
      <c r="G1002" s="16">
        <v>496.6</v>
      </c>
      <c r="H1002" s="16">
        <v>1.994</v>
      </c>
      <c r="I1002" s="13">
        <f t="shared" si="16"/>
        <v>2.8322104587744623</v>
      </c>
    </row>
    <row r="1003" spans="2:9">
      <c r="C1003" s="46">
        <v>1.6719999999999999</v>
      </c>
      <c r="D1003" s="3">
        <v>118.6</v>
      </c>
      <c r="E1003" s="3">
        <v>88.44</v>
      </c>
      <c r="F1003" s="3">
        <v>31.45</v>
      </c>
      <c r="G1003" s="3">
        <v>495.7</v>
      </c>
      <c r="H1003" s="3">
        <v>1.867</v>
      </c>
      <c r="I1003" s="13">
        <f t="shared" si="16"/>
        <v>2.8120826709062001</v>
      </c>
    </row>
    <row r="1004" spans="2:9">
      <c r="C1004" s="46">
        <v>1.6639999999999999</v>
      </c>
      <c r="D1004" s="3">
        <v>129.30000000000001</v>
      </c>
      <c r="E1004" s="3">
        <v>88.71</v>
      </c>
      <c r="F1004" s="3">
        <v>31.18</v>
      </c>
      <c r="G1004" s="3">
        <v>496</v>
      </c>
      <c r="H1004" s="3">
        <v>1.782</v>
      </c>
      <c r="I1004" s="13">
        <f t="shared" si="16"/>
        <v>2.8450930083386785</v>
      </c>
    </row>
    <row r="1005" spans="2:9">
      <c r="C1005" s="46">
        <v>1.653</v>
      </c>
      <c r="D1005" s="3">
        <v>127.9</v>
      </c>
      <c r="E1005" s="3">
        <v>88.86</v>
      </c>
      <c r="F1005" s="3">
        <v>31.04</v>
      </c>
      <c r="G1005" s="3">
        <v>500.4</v>
      </c>
      <c r="H1005" s="3">
        <v>1.7649999999999999</v>
      </c>
      <c r="I1005" s="13">
        <f t="shared" si="16"/>
        <v>2.8627577319587632</v>
      </c>
    </row>
    <row r="1006" spans="2:9">
      <c r="C1006" s="46">
        <v>1.633</v>
      </c>
      <c r="D1006" s="3">
        <v>105.2</v>
      </c>
      <c r="E1006" s="3">
        <v>88.95</v>
      </c>
      <c r="F1006" s="3">
        <v>31.58</v>
      </c>
      <c r="G1006" s="3">
        <v>501.2</v>
      </c>
      <c r="H1006" s="3">
        <v>2.0880000000000001</v>
      </c>
      <c r="I1006" s="13">
        <f t="shared" si="16"/>
        <v>2.8166561114629514</v>
      </c>
    </row>
    <row r="1007" spans="2:9">
      <c r="C1007" s="46">
        <v>1.6719999999999999</v>
      </c>
      <c r="D1007" s="3">
        <v>98</v>
      </c>
      <c r="E1007" s="3">
        <v>88.43</v>
      </c>
      <c r="F1007" s="3">
        <v>31.34</v>
      </c>
      <c r="G1007" s="3">
        <v>499.3</v>
      </c>
      <c r="H1007" s="3">
        <v>1.911</v>
      </c>
      <c r="I1007" s="13">
        <f t="shared" si="16"/>
        <v>2.8216336949585199</v>
      </c>
    </row>
    <row r="1008" spans="2:9">
      <c r="C1008" s="46">
        <v>1.67</v>
      </c>
      <c r="D1008" s="3">
        <v>109.5</v>
      </c>
      <c r="E1008" s="3">
        <v>88.41</v>
      </c>
      <c r="F1008" s="3">
        <v>31.47</v>
      </c>
      <c r="G1008" s="3">
        <v>496.5</v>
      </c>
      <c r="H1008" s="3">
        <v>1.8029999999999999</v>
      </c>
      <c r="I1008" s="13">
        <f t="shared" si="16"/>
        <v>2.8093422306959011</v>
      </c>
    </row>
    <row r="1009" spans="2:9">
      <c r="C1009" s="46">
        <v>1.6850000000000001</v>
      </c>
      <c r="D1009" s="3">
        <v>106.7</v>
      </c>
      <c r="E1009" s="3">
        <v>88.66</v>
      </c>
      <c r="F1009" s="3">
        <v>31.06</v>
      </c>
      <c r="G1009" s="3">
        <v>496.5</v>
      </c>
      <c r="H1009" s="3">
        <v>2.032</v>
      </c>
      <c r="I1009" s="13">
        <f t="shared" si="16"/>
        <v>2.8544752092723762</v>
      </c>
    </row>
    <row r="1010" spans="2:9">
      <c r="C1010" s="46">
        <v>1.68</v>
      </c>
      <c r="D1010" s="3">
        <v>81.7</v>
      </c>
      <c r="E1010" s="3">
        <v>88.61</v>
      </c>
      <c r="F1010" s="3">
        <v>31.35</v>
      </c>
      <c r="G1010" s="3">
        <v>492.8</v>
      </c>
      <c r="H1010" s="3">
        <v>2.2240000000000002</v>
      </c>
      <c r="I1010" s="13">
        <f t="shared" si="16"/>
        <v>2.8264752791068579</v>
      </c>
    </row>
    <row r="1011" spans="2:9">
      <c r="C1011" s="46">
        <v>1.6890000000000001</v>
      </c>
      <c r="D1011" s="3">
        <v>79.2</v>
      </c>
      <c r="E1011" s="3">
        <v>88.4</v>
      </c>
      <c r="F1011" s="3">
        <v>31.22</v>
      </c>
      <c r="G1011" s="3">
        <v>493.3</v>
      </c>
      <c r="H1011" s="3">
        <v>2.29</v>
      </c>
      <c r="I1011" s="13">
        <f t="shared" si="16"/>
        <v>2.8315182575272266</v>
      </c>
    </row>
    <row r="1012" spans="2:9">
      <c r="C1012" s="46">
        <v>1.6679999999999999</v>
      </c>
      <c r="D1012" s="3">
        <v>69.7</v>
      </c>
      <c r="E1012" s="3">
        <v>88.27</v>
      </c>
      <c r="F1012" s="3">
        <v>34.07</v>
      </c>
      <c r="G1012" s="3">
        <v>492.6</v>
      </c>
      <c r="H1012" s="3">
        <v>2.1859999999999999</v>
      </c>
      <c r="I1012" s="13">
        <f t="shared" si="16"/>
        <v>2.5908423833284413</v>
      </c>
    </row>
    <row r="1013" spans="2:9">
      <c r="C1013" s="46">
        <v>1.6639999999999999</v>
      </c>
      <c r="D1013" s="3">
        <v>82.6</v>
      </c>
      <c r="E1013" s="3">
        <v>88.42</v>
      </c>
      <c r="F1013" s="3">
        <v>31.28</v>
      </c>
      <c r="G1013" s="3">
        <v>495.7</v>
      </c>
      <c r="H1013" s="3">
        <v>2.0150000000000001</v>
      </c>
      <c r="I1013" s="13">
        <f t="shared" si="16"/>
        <v>2.8267263427109972</v>
      </c>
    </row>
    <row r="1014" spans="2:9">
      <c r="C1014" s="46">
        <v>1.667</v>
      </c>
      <c r="D1014" s="3">
        <v>105.9</v>
      </c>
      <c r="E1014" s="3">
        <v>88.84</v>
      </c>
      <c r="F1014" s="3">
        <v>31.68</v>
      </c>
      <c r="G1014" s="3">
        <v>497.4</v>
      </c>
      <c r="H1014" s="3">
        <v>1.698</v>
      </c>
      <c r="I1014" s="13">
        <f t="shared" si="16"/>
        <v>2.8042929292929295</v>
      </c>
    </row>
    <row r="1015" spans="2:9">
      <c r="C1015" s="46">
        <v>1.669</v>
      </c>
      <c r="D1015" s="3">
        <v>107.8</v>
      </c>
      <c r="E1015" s="3">
        <v>88.57</v>
      </c>
      <c r="F1015" s="3">
        <v>31.43</v>
      </c>
      <c r="G1015" s="3">
        <v>501.6</v>
      </c>
      <c r="H1015" s="3">
        <v>1.782</v>
      </c>
      <c r="I1015" s="13">
        <f t="shared" si="16"/>
        <v>2.8180082723512565</v>
      </c>
    </row>
    <row r="1016" spans="2:9">
      <c r="C1016" s="46">
        <v>1.6479999999999999</v>
      </c>
      <c r="D1016" s="3">
        <v>111.3</v>
      </c>
      <c r="E1016" s="3">
        <v>88.44</v>
      </c>
      <c r="F1016" s="3">
        <v>31.05</v>
      </c>
      <c r="G1016" s="3">
        <v>498</v>
      </c>
      <c r="H1016" s="3">
        <v>2.0150000000000001</v>
      </c>
      <c r="I1016" s="13">
        <f t="shared" si="16"/>
        <v>2.8483091787439614</v>
      </c>
    </row>
    <row r="1017" spans="2:9">
      <c r="C1017" s="46">
        <v>1.6519999999999999</v>
      </c>
      <c r="D1017" s="3">
        <v>105.2</v>
      </c>
      <c r="E1017" s="3">
        <v>88.46</v>
      </c>
      <c r="F1017" s="3">
        <v>31.3</v>
      </c>
      <c r="G1017" s="3">
        <v>495.5</v>
      </c>
      <c r="H1017" s="3">
        <v>1.867</v>
      </c>
      <c r="I1017" s="13">
        <f t="shared" si="16"/>
        <v>2.8261980830670925</v>
      </c>
    </row>
    <row r="1018" spans="2:9">
      <c r="C1018" s="46">
        <v>1.6419999999999999</v>
      </c>
      <c r="D1018" s="3">
        <v>95.9</v>
      </c>
      <c r="E1018" s="3">
        <v>88.84</v>
      </c>
      <c r="F1018" s="3">
        <v>31.4</v>
      </c>
      <c r="G1018" s="3">
        <v>496.6</v>
      </c>
      <c r="H1018" s="3">
        <v>1.5640000000000001</v>
      </c>
      <c r="I1018" s="13">
        <f t="shared" si="16"/>
        <v>2.8292993630573249</v>
      </c>
    </row>
    <row r="1019" spans="2:9">
      <c r="C1019" s="46">
        <v>1.66</v>
      </c>
      <c r="D1019" s="3">
        <v>125.7</v>
      </c>
      <c r="E1019" s="3">
        <v>88.69</v>
      </c>
      <c r="F1019" s="3">
        <v>31.04</v>
      </c>
      <c r="G1019" s="3">
        <v>495.8</v>
      </c>
      <c r="H1019" s="3">
        <v>1.6619999999999999</v>
      </c>
      <c r="I1019" s="13">
        <f t="shared" si="16"/>
        <v>2.8572809278350517</v>
      </c>
    </row>
    <row r="1020" spans="2:9">
      <c r="C1020" s="46">
        <v>1.663</v>
      </c>
      <c r="D1020" s="3">
        <v>130.19999999999999</v>
      </c>
      <c r="E1020" s="3">
        <v>88.55</v>
      </c>
      <c r="F1020" s="3">
        <v>31.31</v>
      </c>
      <c r="G1020" s="3">
        <v>497.2</v>
      </c>
      <c r="H1020" s="3">
        <v>1.5509999999999999</v>
      </c>
      <c r="I1020" s="13">
        <f t="shared" si="16"/>
        <v>2.8281699137655703</v>
      </c>
    </row>
    <row r="1021" spans="2:9">
      <c r="C1021" s="46">
        <v>1.647</v>
      </c>
      <c r="D1021" s="3">
        <v>129.30000000000001</v>
      </c>
      <c r="E1021" s="3">
        <v>88.29</v>
      </c>
      <c r="F1021" s="3">
        <v>31.17</v>
      </c>
      <c r="G1021" s="3">
        <v>504.1</v>
      </c>
      <c r="H1021" s="3">
        <v>1.8680000000000001</v>
      </c>
      <c r="I1021" s="13">
        <f t="shared" si="16"/>
        <v>2.8325312800769971</v>
      </c>
    </row>
    <row r="1022" spans="2:9">
      <c r="B1022" s="16">
        <v>52</v>
      </c>
      <c r="C1022" s="47">
        <v>2.4580000000000002</v>
      </c>
      <c r="D1022" s="18">
        <v>138</v>
      </c>
      <c r="E1022" s="16">
        <v>86.44</v>
      </c>
      <c r="F1022" s="16">
        <v>22.34</v>
      </c>
      <c r="G1022" s="16">
        <v>440</v>
      </c>
      <c r="H1022" s="16">
        <v>4.8529999999999998</v>
      </c>
      <c r="I1022" s="13">
        <f t="shared" si="16"/>
        <v>3.8692927484333035</v>
      </c>
    </row>
    <row r="1023" spans="2:9">
      <c r="C1023" s="46">
        <v>2.4590000000000001</v>
      </c>
      <c r="D1023" s="3">
        <v>137.69999999999999</v>
      </c>
      <c r="E1023" s="3">
        <v>86.31</v>
      </c>
      <c r="F1023" s="3">
        <v>22.1</v>
      </c>
      <c r="G1023" s="3">
        <v>437.4</v>
      </c>
      <c r="H1023" s="3">
        <v>4.76</v>
      </c>
      <c r="I1023" s="13">
        <f t="shared" si="16"/>
        <v>3.9054298642533936</v>
      </c>
    </row>
    <row r="1024" spans="2:9">
      <c r="C1024" s="46">
        <v>2.4340000000000002</v>
      </c>
      <c r="D1024" s="3">
        <v>135.69999999999999</v>
      </c>
      <c r="E1024" s="3">
        <v>86.32</v>
      </c>
      <c r="F1024" s="3">
        <v>22.37</v>
      </c>
      <c r="G1024" s="3">
        <v>439.4</v>
      </c>
      <c r="H1024" s="3">
        <v>4.681</v>
      </c>
      <c r="I1024" s="13">
        <f t="shared" si="16"/>
        <v>3.8587393831023689</v>
      </c>
    </row>
    <row r="1025" spans="3:9">
      <c r="C1025" s="46">
        <v>2.407</v>
      </c>
      <c r="D1025" s="3">
        <v>98.4</v>
      </c>
      <c r="E1025" s="3">
        <v>86.59</v>
      </c>
      <c r="F1025" s="3">
        <v>22.12</v>
      </c>
      <c r="G1025" s="3">
        <v>440.8</v>
      </c>
      <c r="H1025" s="3">
        <v>4.5830000000000002</v>
      </c>
      <c r="I1025" s="13">
        <f t="shared" si="16"/>
        <v>3.9145569620253164</v>
      </c>
    </row>
    <row r="1026" spans="3:9">
      <c r="C1026" s="46">
        <v>2.4089999999999998</v>
      </c>
      <c r="D1026" s="3">
        <v>111.8</v>
      </c>
      <c r="E1026" s="3">
        <v>86.59</v>
      </c>
      <c r="F1026" s="3">
        <v>22.1</v>
      </c>
      <c r="G1026" s="3">
        <v>441.7</v>
      </c>
      <c r="H1026" s="3">
        <v>4.6619999999999999</v>
      </c>
      <c r="I1026" s="13">
        <f t="shared" si="16"/>
        <v>3.9180995475113121</v>
      </c>
    </row>
    <row r="1027" spans="3:9">
      <c r="C1027" s="46">
        <v>2.4580000000000002</v>
      </c>
      <c r="D1027" s="3">
        <v>110</v>
      </c>
      <c r="E1027" s="3">
        <v>86.34</v>
      </c>
      <c r="F1027" s="3">
        <v>22.12</v>
      </c>
      <c r="G1027" s="3">
        <v>443.5</v>
      </c>
      <c r="H1027" s="3">
        <v>4.508</v>
      </c>
      <c r="I1027" s="13">
        <f t="shared" si="16"/>
        <v>3.9032549728752262</v>
      </c>
    </row>
    <row r="1028" spans="3:9">
      <c r="C1028" s="46">
        <v>2.4430000000000001</v>
      </c>
      <c r="D1028" s="3">
        <v>102.8</v>
      </c>
      <c r="E1028" s="3">
        <v>86.21</v>
      </c>
      <c r="F1028" s="3">
        <v>22.24</v>
      </c>
      <c r="G1028" s="3">
        <v>436.8</v>
      </c>
      <c r="H1028" s="3">
        <v>4.6970000000000001</v>
      </c>
      <c r="I1028" s="13">
        <f t="shared" si="16"/>
        <v>3.8763489208633093</v>
      </c>
    </row>
    <row r="1029" spans="3:9">
      <c r="C1029" s="46">
        <v>2.42</v>
      </c>
      <c r="D1029" s="3">
        <v>128.30000000000001</v>
      </c>
      <c r="E1029" s="3">
        <v>86.32</v>
      </c>
      <c r="F1029" s="3">
        <v>22.49</v>
      </c>
      <c r="G1029" s="3">
        <v>439.7</v>
      </c>
      <c r="H1029" s="3">
        <v>4.7469999999999999</v>
      </c>
      <c r="I1029" s="13">
        <f t="shared" si="16"/>
        <v>3.8381502890173409</v>
      </c>
    </row>
    <row r="1030" spans="3:9">
      <c r="C1030" s="46">
        <v>2.3479999999999999</v>
      </c>
      <c r="D1030" s="3">
        <v>126.1</v>
      </c>
      <c r="E1030" s="3">
        <v>86.33</v>
      </c>
      <c r="F1030" s="3">
        <v>22.01</v>
      </c>
      <c r="G1030" s="3">
        <v>438.5</v>
      </c>
      <c r="H1030" s="3">
        <v>4.7249999999999996</v>
      </c>
      <c r="I1030" s="13">
        <f t="shared" si="16"/>
        <v>3.922308041799182</v>
      </c>
    </row>
    <row r="1031" spans="3:9">
      <c r="C1031" s="46">
        <v>2.2490000000000001</v>
      </c>
      <c r="D1031" s="3">
        <v>110</v>
      </c>
      <c r="E1031" s="3">
        <v>86.45</v>
      </c>
      <c r="F1031" s="3">
        <v>22.12</v>
      </c>
      <c r="G1031" s="3">
        <v>436.1</v>
      </c>
      <c r="H1031" s="3">
        <v>4.9450000000000003</v>
      </c>
      <c r="I1031" s="13">
        <f t="shared" si="16"/>
        <v>3.9082278481012658</v>
      </c>
    </row>
    <row r="1032" spans="3:9">
      <c r="C1032" s="46">
        <v>2.3849999999999998</v>
      </c>
      <c r="D1032" s="3">
        <v>131.4</v>
      </c>
      <c r="E1032" s="3">
        <v>86.75</v>
      </c>
      <c r="F1032" s="3">
        <v>22.12</v>
      </c>
      <c r="G1032" s="3">
        <v>448.5</v>
      </c>
      <c r="H1032" s="3">
        <v>4.6440000000000001</v>
      </c>
      <c r="I1032" s="13">
        <f t="shared" si="16"/>
        <v>3.921790235081374</v>
      </c>
    </row>
    <row r="1033" spans="3:9">
      <c r="C1033" s="46">
        <v>2.42</v>
      </c>
      <c r="D1033" s="3">
        <v>127.8</v>
      </c>
      <c r="E1033" s="3">
        <v>86.6</v>
      </c>
      <c r="F1033" s="3">
        <v>22.22</v>
      </c>
      <c r="G1033" s="3">
        <v>434.4</v>
      </c>
      <c r="H1033" s="3">
        <v>4.5730000000000004</v>
      </c>
      <c r="I1033" s="13">
        <f t="shared" si="16"/>
        <v>3.8973897389738972</v>
      </c>
    </row>
    <row r="1034" spans="3:9">
      <c r="C1034" s="46">
        <v>2.3839999999999999</v>
      </c>
      <c r="D1034" s="3">
        <v>125.9</v>
      </c>
      <c r="E1034" s="3">
        <v>86.47</v>
      </c>
      <c r="F1034" s="3">
        <v>22.2</v>
      </c>
      <c r="G1034" s="3">
        <v>435.5</v>
      </c>
      <c r="H1034" s="3">
        <v>4.5389999999999997</v>
      </c>
      <c r="I1034" s="13">
        <f t="shared" si="16"/>
        <v>3.8950450450450451</v>
      </c>
    </row>
    <row r="1035" spans="3:9">
      <c r="C1035" s="46">
        <v>2.3759999999999999</v>
      </c>
      <c r="D1035" s="3">
        <v>132</v>
      </c>
      <c r="E1035" s="3">
        <v>86.36</v>
      </c>
      <c r="F1035" s="3">
        <v>22.37</v>
      </c>
      <c r="G1035" s="3">
        <v>435.9</v>
      </c>
      <c r="H1035" s="3">
        <v>4.8499999999999996</v>
      </c>
      <c r="I1035" s="13">
        <f t="shared" si="16"/>
        <v>3.8605274921770225</v>
      </c>
    </row>
    <row r="1036" spans="3:9">
      <c r="C1036" s="46">
        <v>2.4249999999999998</v>
      </c>
      <c r="D1036" s="3">
        <v>123.5</v>
      </c>
      <c r="E1036" s="3">
        <v>86.24</v>
      </c>
      <c r="F1036" s="3">
        <v>22.18</v>
      </c>
      <c r="G1036" s="3">
        <v>439</v>
      </c>
      <c r="H1036" s="3">
        <v>4.9109999999999996</v>
      </c>
      <c r="I1036" s="13">
        <f t="shared" si="16"/>
        <v>3.8881875563570785</v>
      </c>
    </row>
    <row r="1037" spans="3:9">
      <c r="C1037" s="46">
        <v>2.4359999999999999</v>
      </c>
      <c r="D1037" s="3">
        <v>149.30000000000001</v>
      </c>
      <c r="E1037" s="3">
        <v>86.49</v>
      </c>
      <c r="F1037" s="3">
        <v>22.38</v>
      </c>
      <c r="G1037" s="3">
        <v>438.2</v>
      </c>
      <c r="H1037" s="3">
        <v>4.2830000000000004</v>
      </c>
      <c r="I1037" s="13">
        <f t="shared" si="16"/>
        <v>3.8646112600536191</v>
      </c>
    </row>
    <row r="1038" spans="3:9">
      <c r="C1038" s="46">
        <v>2.4430000000000001</v>
      </c>
      <c r="D1038" s="3">
        <v>148.80000000000001</v>
      </c>
      <c r="E1038" s="3">
        <v>86.62</v>
      </c>
      <c r="F1038" s="3">
        <v>22.26</v>
      </c>
      <c r="G1038" s="3">
        <v>437.4</v>
      </c>
      <c r="H1038" s="3">
        <v>4.5209999999999999</v>
      </c>
      <c r="I1038" s="13">
        <f t="shared" si="16"/>
        <v>3.8912848158131177</v>
      </c>
    </row>
    <row r="1039" spans="3:9">
      <c r="C1039" s="46">
        <v>2.4409999999999998</v>
      </c>
      <c r="D1039" s="3">
        <v>98.4</v>
      </c>
      <c r="E1039" s="3">
        <v>86.33</v>
      </c>
      <c r="F1039" s="3">
        <v>22.06</v>
      </c>
      <c r="G1039" s="3">
        <v>440.2</v>
      </c>
      <c r="H1039" s="3">
        <v>4.984</v>
      </c>
      <c r="I1039" s="13">
        <f t="shared" si="16"/>
        <v>3.9134179510426113</v>
      </c>
    </row>
    <row r="1040" spans="3:9">
      <c r="C1040" s="46">
        <v>2.4540000000000002</v>
      </c>
      <c r="D1040" s="3">
        <v>105.7</v>
      </c>
      <c r="E1040" s="3">
        <v>86.58</v>
      </c>
      <c r="F1040" s="3">
        <v>22.3</v>
      </c>
      <c r="G1040" s="3">
        <v>435.9</v>
      </c>
      <c r="H1040" s="3">
        <v>4.8550000000000004</v>
      </c>
      <c r="I1040" s="13">
        <f t="shared" si="16"/>
        <v>3.8825112107623316</v>
      </c>
    </row>
    <row r="1041" spans="2:9">
      <c r="C1041" s="46">
        <v>2.444</v>
      </c>
      <c r="D1041" s="3">
        <v>99.6</v>
      </c>
      <c r="E1041" s="3">
        <v>86.45</v>
      </c>
      <c r="F1041" s="3">
        <v>22.4</v>
      </c>
      <c r="G1041" s="3">
        <v>437</v>
      </c>
      <c r="H1041" s="3">
        <v>4.67</v>
      </c>
      <c r="I1041" s="13">
        <f t="shared" si="16"/>
        <v>3.8593750000000004</v>
      </c>
    </row>
    <row r="1042" spans="2:9">
      <c r="B1042" s="16">
        <v>53</v>
      </c>
      <c r="C1042" s="47">
        <v>2.0190000000000001</v>
      </c>
      <c r="D1042" s="16">
        <v>152.30000000000001</v>
      </c>
      <c r="E1042" s="16">
        <v>99.32</v>
      </c>
      <c r="F1042" s="16">
        <v>33.68</v>
      </c>
      <c r="G1042" s="16">
        <v>470.3</v>
      </c>
      <c r="H1042" s="16">
        <v>1.577</v>
      </c>
      <c r="I1042" s="13">
        <f t="shared" si="16"/>
        <v>2.9489311163895486</v>
      </c>
    </row>
    <row r="1043" spans="2:9">
      <c r="C1043" s="46">
        <v>2.0680000000000001</v>
      </c>
      <c r="D1043" s="3">
        <v>168.6</v>
      </c>
      <c r="E1043" s="3">
        <v>100.3</v>
      </c>
      <c r="F1043" s="3">
        <v>34.36</v>
      </c>
      <c r="G1043" s="3">
        <v>471.1</v>
      </c>
      <c r="H1043" s="3">
        <v>1.681</v>
      </c>
      <c r="I1043" s="13">
        <f t="shared" si="16"/>
        <v>2.9190919674039582</v>
      </c>
    </row>
    <row r="1044" spans="2:9">
      <c r="C1044" s="46">
        <v>1.992</v>
      </c>
      <c r="D1044" s="3">
        <v>174.2</v>
      </c>
      <c r="E1044" s="3">
        <v>100.5</v>
      </c>
      <c r="F1044" s="3">
        <v>33.75</v>
      </c>
      <c r="G1044" s="3">
        <v>474.4</v>
      </c>
      <c r="H1044" s="3">
        <v>1.623</v>
      </c>
      <c r="I1044" s="13">
        <f t="shared" si="16"/>
        <v>2.9777777777777779</v>
      </c>
    </row>
    <row r="1045" spans="2:9">
      <c r="C1045" s="46">
        <v>2.1030000000000002</v>
      </c>
      <c r="D1045" s="3">
        <v>134.1</v>
      </c>
      <c r="E1045" s="3">
        <v>100.6</v>
      </c>
      <c r="F1045" s="3">
        <v>33.44</v>
      </c>
      <c r="G1045" s="3">
        <v>473.8</v>
      </c>
      <c r="H1045" s="3">
        <v>1.419</v>
      </c>
      <c r="I1045" s="13">
        <f t="shared" si="16"/>
        <v>3.008373205741627</v>
      </c>
    </row>
    <row r="1046" spans="2:9">
      <c r="C1046" s="46">
        <v>2.169</v>
      </c>
      <c r="D1046" s="3">
        <v>138.19999999999999</v>
      </c>
      <c r="E1046" s="3">
        <v>100.3</v>
      </c>
      <c r="F1046" s="3">
        <v>34.369999999999997</v>
      </c>
      <c r="G1046" s="3">
        <v>478.3</v>
      </c>
      <c r="H1046" s="3">
        <v>1.321</v>
      </c>
      <c r="I1046" s="13">
        <f t="shared" ref="I1046:I1109" si="17">E1046/F1046</f>
        <v>2.9182426534768693</v>
      </c>
    </row>
    <row r="1047" spans="2:9">
      <c r="C1047" s="46">
        <v>2.1669999999999998</v>
      </c>
      <c r="D1047" s="3">
        <v>152.1</v>
      </c>
      <c r="E1047" s="3">
        <v>100</v>
      </c>
      <c r="F1047" s="3">
        <v>33.729999999999997</v>
      </c>
      <c r="G1047" s="3">
        <v>475.5</v>
      </c>
      <c r="H1047" s="3">
        <v>1.3620000000000001</v>
      </c>
      <c r="I1047" s="13">
        <f t="shared" si="17"/>
        <v>2.9647198339756895</v>
      </c>
    </row>
    <row r="1048" spans="2:9">
      <c r="C1048" s="46">
        <v>2.1480000000000001</v>
      </c>
      <c r="D1048" s="3">
        <v>163.6</v>
      </c>
      <c r="E1048" s="3">
        <v>100.2</v>
      </c>
      <c r="F1048" s="3">
        <v>36.67</v>
      </c>
      <c r="G1048" s="3">
        <v>475.9</v>
      </c>
      <c r="H1048" s="3">
        <v>1.403</v>
      </c>
      <c r="I1048" s="13">
        <f t="shared" si="17"/>
        <v>2.7324788655576766</v>
      </c>
    </row>
    <row r="1049" spans="2:9">
      <c r="C1049" s="46">
        <v>2.1110000000000002</v>
      </c>
      <c r="D1049" s="3">
        <v>150.6</v>
      </c>
      <c r="E1049" s="3">
        <v>99.89</v>
      </c>
      <c r="F1049" s="3">
        <v>34.35</v>
      </c>
      <c r="G1049" s="3">
        <v>470.2</v>
      </c>
      <c r="H1049" s="3">
        <v>1.5189999999999999</v>
      </c>
      <c r="I1049" s="13">
        <f t="shared" si="17"/>
        <v>2.9080058224163028</v>
      </c>
    </row>
    <row r="1050" spans="2:9">
      <c r="C1050" s="46">
        <v>1.982</v>
      </c>
      <c r="D1050" s="3">
        <v>149.5</v>
      </c>
      <c r="E1050" s="3">
        <v>100.2</v>
      </c>
      <c r="F1050" s="3">
        <v>34.01</v>
      </c>
      <c r="G1050" s="3">
        <v>471.3</v>
      </c>
      <c r="H1050" s="3">
        <v>1.5</v>
      </c>
      <c r="I1050" s="13">
        <f t="shared" si="17"/>
        <v>2.9461922963834168</v>
      </c>
    </row>
    <row r="1051" spans="2:9">
      <c r="C1051" s="46">
        <v>1.9490000000000001</v>
      </c>
      <c r="D1051" s="3">
        <v>146.4</v>
      </c>
      <c r="E1051" s="3">
        <v>100.1</v>
      </c>
      <c r="F1051" s="3">
        <v>34</v>
      </c>
      <c r="G1051" s="3">
        <v>469.8</v>
      </c>
      <c r="H1051" s="3">
        <v>1.577</v>
      </c>
      <c r="I1051" s="13">
        <f t="shared" si="17"/>
        <v>2.9441176470588233</v>
      </c>
    </row>
    <row r="1052" spans="2:9">
      <c r="C1052" s="46">
        <v>2.2000000000000002</v>
      </c>
      <c r="D1052" s="3">
        <v>141.9</v>
      </c>
      <c r="E1052" s="3">
        <v>100.3</v>
      </c>
      <c r="F1052" s="3">
        <v>33.67</v>
      </c>
      <c r="G1052" s="3">
        <v>472.9</v>
      </c>
      <c r="H1052" s="3">
        <v>1.4350000000000001</v>
      </c>
      <c r="I1052" s="13">
        <f t="shared" si="17"/>
        <v>2.9789129789129785</v>
      </c>
    </row>
    <row r="1053" spans="2:9">
      <c r="C1053" s="46">
        <v>2.097</v>
      </c>
      <c r="D1053" s="3">
        <v>148</v>
      </c>
      <c r="E1053" s="3">
        <v>100.4</v>
      </c>
      <c r="F1053" s="3">
        <v>33.74</v>
      </c>
      <c r="G1053" s="3">
        <v>471</v>
      </c>
      <c r="H1053" s="3">
        <v>1.3340000000000001</v>
      </c>
      <c r="I1053" s="13">
        <f t="shared" si="17"/>
        <v>2.9756965026674571</v>
      </c>
    </row>
    <row r="1054" spans="2:9">
      <c r="C1054" s="46">
        <v>2.0190000000000001</v>
      </c>
      <c r="D1054" s="3">
        <v>138.19999999999999</v>
      </c>
      <c r="E1054" s="3">
        <v>100.5</v>
      </c>
      <c r="F1054" s="3">
        <v>34.15</v>
      </c>
      <c r="G1054" s="3">
        <v>471.3</v>
      </c>
      <c r="H1054" s="3">
        <v>1.321</v>
      </c>
      <c r="I1054" s="13">
        <f t="shared" si="17"/>
        <v>2.9428989751098098</v>
      </c>
    </row>
    <row r="1055" spans="2:9">
      <c r="C1055" s="46">
        <v>2.169</v>
      </c>
      <c r="D1055" s="3">
        <v>168.2</v>
      </c>
      <c r="E1055" s="3">
        <v>100.1</v>
      </c>
      <c r="F1055" s="3">
        <v>34</v>
      </c>
      <c r="G1055" s="3">
        <v>471.5</v>
      </c>
      <c r="H1055" s="3">
        <v>1.419</v>
      </c>
      <c r="I1055" s="13">
        <f t="shared" si="17"/>
        <v>2.9441176470588233</v>
      </c>
    </row>
    <row r="1056" spans="2:9">
      <c r="C1056" s="46">
        <v>2.157</v>
      </c>
      <c r="D1056" s="3">
        <v>171.2</v>
      </c>
      <c r="E1056" s="3">
        <v>100.6</v>
      </c>
      <c r="F1056" s="3">
        <v>33.380000000000003</v>
      </c>
      <c r="G1056" s="3">
        <v>471.1</v>
      </c>
      <c r="H1056" s="3">
        <v>1.623</v>
      </c>
      <c r="I1056" s="13">
        <f t="shared" si="17"/>
        <v>3.0137807070101852</v>
      </c>
    </row>
    <row r="1057" spans="2:9">
      <c r="C1057" s="46">
        <v>2.097</v>
      </c>
      <c r="D1057" s="3">
        <v>141.9</v>
      </c>
      <c r="E1057" s="3">
        <v>100.2</v>
      </c>
      <c r="F1057" s="3">
        <v>33.57</v>
      </c>
      <c r="G1057" s="3">
        <v>473.1</v>
      </c>
      <c r="H1057" s="3">
        <v>1.4950000000000001</v>
      </c>
      <c r="I1057" s="13">
        <f t="shared" si="17"/>
        <v>2.9848078641644324</v>
      </c>
    </row>
    <row r="1058" spans="2:9">
      <c r="C1058" s="46">
        <v>2.04</v>
      </c>
      <c r="D1058" s="3">
        <v>146.6</v>
      </c>
      <c r="E1058" s="3">
        <v>100.4</v>
      </c>
      <c r="F1058" s="3">
        <v>33.74</v>
      </c>
      <c r="G1058" s="3">
        <v>476.1</v>
      </c>
      <c r="H1058" s="3">
        <v>1.337</v>
      </c>
      <c r="I1058" s="13">
        <f t="shared" si="17"/>
        <v>2.9756965026674571</v>
      </c>
    </row>
    <row r="1059" spans="2:9">
      <c r="C1059" s="46">
        <v>2.1110000000000002</v>
      </c>
      <c r="D1059" s="3">
        <v>156.1</v>
      </c>
      <c r="E1059" s="3">
        <v>99.43</v>
      </c>
      <c r="F1059" s="3">
        <v>34.340000000000003</v>
      </c>
      <c r="G1059" s="3">
        <v>477.3</v>
      </c>
      <c r="H1059" s="3">
        <v>1.365</v>
      </c>
      <c r="I1059" s="13">
        <f t="shared" si="17"/>
        <v>2.8954571927781014</v>
      </c>
    </row>
    <row r="1060" spans="2:9">
      <c r="C1060" s="46">
        <v>2.0579999999999998</v>
      </c>
      <c r="D1060" s="3">
        <v>148</v>
      </c>
      <c r="E1060" s="3">
        <v>100.2</v>
      </c>
      <c r="F1060" s="3">
        <v>34.14</v>
      </c>
      <c r="G1060" s="3">
        <v>472.2</v>
      </c>
      <c r="H1060" s="3">
        <v>1.4790000000000001</v>
      </c>
      <c r="I1060" s="13">
        <f t="shared" si="17"/>
        <v>2.9349736379613356</v>
      </c>
    </row>
    <row r="1061" spans="2:9">
      <c r="C1061" s="46">
        <v>2.1480000000000001</v>
      </c>
      <c r="D1061" s="3">
        <v>168.6</v>
      </c>
      <c r="E1061" s="3">
        <v>100.6</v>
      </c>
      <c r="F1061" s="3">
        <v>33.94</v>
      </c>
      <c r="G1061" s="3">
        <v>471.7</v>
      </c>
      <c r="H1061" s="3">
        <v>1.4390000000000001</v>
      </c>
      <c r="I1061" s="13">
        <f t="shared" si="17"/>
        <v>2.9640542133176195</v>
      </c>
    </row>
    <row r="1062" spans="2:9">
      <c r="B1062" s="16">
        <v>54</v>
      </c>
      <c r="C1062" s="47">
        <v>1.44</v>
      </c>
      <c r="D1062" s="16">
        <v>77.2</v>
      </c>
      <c r="E1062" s="16">
        <v>106.2</v>
      </c>
      <c r="F1062" s="16">
        <v>30.22</v>
      </c>
      <c r="G1062" s="16">
        <v>457.7</v>
      </c>
      <c r="H1062" s="16">
        <v>3.0760000000000001</v>
      </c>
      <c r="I1062" s="13">
        <f t="shared" si="17"/>
        <v>3.5142289874255463</v>
      </c>
    </row>
    <row r="1063" spans="2:9">
      <c r="C1063" s="46">
        <v>1.53</v>
      </c>
      <c r="D1063" s="3">
        <v>74.599999999999994</v>
      </c>
      <c r="E1063" s="3">
        <v>105.7</v>
      </c>
      <c r="F1063" s="3">
        <v>29.87</v>
      </c>
      <c r="G1063" s="3">
        <v>457.6</v>
      </c>
      <c r="H1063" s="3">
        <v>3.1970000000000001</v>
      </c>
      <c r="I1063" s="13">
        <f t="shared" si="17"/>
        <v>3.5386675594241712</v>
      </c>
    </row>
    <row r="1064" spans="2:9">
      <c r="C1064" s="46">
        <v>1.5009999999999999</v>
      </c>
      <c r="D1064" s="3">
        <v>74</v>
      </c>
      <c r="E1064" s="3">
        <v>106.7</v>
      </c>
      <c r="F1064" s="3">
        <v>29.7</v>
      </c>
      <c r="G1064" s="3">
        <v>457.9</v>
      </c>
      <c r="H1064" s="3">
        <v>3.34</v>
      </c>
      <c r="I1064" s="13">
        <f t="shared" si="17"/>
        <v>3.5925925925925926</v>
      </c>
    </row>
    <row r="1065" spans="2:9">
      <c r="C1065" s="46">
        <v>1.4690000000000001</v>
      </c>
      <c r="D1065" s="3">
        <v>74.16</v>
      </c>
      <c r="E1065" s="3">
        <v>106.2</v>
      </c>
      <c r="F1065" s="3">
        <v>30.13</v>
      </c>
      <c r="G1065" s="3">
        <v>457.1</v>
      </c>
      <c r="H1065" s="3">
        <v>3.0379999999999998</v>
      </c>
      <c r="I1065" s="13">
        <f t="shared" si="17"/>
        <v>3.5247261865250583</v>
      </c>
    </row>
    <row r="1066" spans="2:9">
      <c r="C1066" s="46">
        <v>1.494</v>
      </c>
      <c r="D1066" s="3">
        <v>73.23</v>
      </c>
      <c r="E1066" s="3">
        <v>106.4</v>
      </c>
      <c r="F1066" s="3">
        <v>29.79</v>
      </c>
      <c r="G1066" s="3">
        <v>456.9</v>
      </c>
      <c r="H1066" s="3">
        <v>3.2749999999999999</v>
      </c>
      <c r="I1066" s="13">
        <f t="shared" si="17"/>
        <v>3.5716683450822426</v>
      </c>
    </row>
    <row r="1067" spans="2:9">
      <c r="C1067" s="46">
        <v>1.49</v>
      </c>
      <c r="D1067" s="3">
        <v>77.56</v>
      </c>
      <c r="E1067" s="3">
        <v>105.9</v>
      </c>
      <c r="F1067" s="3">
        <v>29.62</v>
      </c>
      <c r="G1067" s="3">
        <v>457.5</v>
      </c>
      <c r="H1067" s="3">
        <v>2.895</v>
      </c>
      <c r="I1067" s="13">
        <f t="shared" si="17"/>
        <v>3.5752869682646859</v>
      </c>
    </row>
    <row r="1068" spans="2:9">
      <c r="C1068" s="46">
        <v>1.4810000000000001</v>
      </c>
      <c r="D1068" s="3">
        <v>77.88</v>
      </c>
      <c r="E1068" s="3">
        <v>106.3</v>
      </c>
      <c r="F1068" s="3">
        <v>29.53</v>
      </c>
      <c r="G1068" s="3">
        <v>459.6</v>
      </c>
      <c r="H1068" s="3">
        <v>2.879</v>
      </c>
      <c r="I1068" s="13">
        <f t="shared" si="17"/>
        <v>3.5997290890619706</v>
      </c>
    </row>
    <row r="1069" spans="2:9">
      <c r="C1069" s="46">
        <v>1.52</v>
      </c>
      <c r="D1069" s="3">
        <v>74.22</v>
      </c>
      <c r="E1069" s="3">
        <v>106.4</v>
      </c>
      <c r="F1069" s="3">
        <v>29.87</v>
      </c>
      <c r="G1069" s="3">
        <v>460.4</v>
      </c>
      <c r="H1069" s="3">
        <v>2.851</v>
      </c>
      <c r="I1069" s="13">
        <f t="shared" si="17"/>
        <v>3.5621024439236693</v>
      </c>
    </row>
    <row r="1070" spans="2:9">
      <c r="C1070" s="46">
        <v>1.53</v>
      </c>
      <c r="D1070" s="3">
        <v>87.92</v>
      </c>
      <c r="E1070" s="3">
        <v>106.7</v>
      </c>
      <c r="F1070" s="3">
        <v>29.96</v>
      </c>
      <c r="G1070" s="3">
        <v>459.4</v>
      </c>
      <c r="H1070" s="3">
        <v>2.867</v>
      </c>
      <c r="I1070" s="13">
        <f t="shared" si="17"/>
        <v>3.5614152202937248</v>
      </c>
    </row>
    <row r="1071" spans="2:9">
      <c r="C1071" s="46">
        <v>1.5609999999999999</v>
      </c>
      <c r="D1071" s="3">
        <v>85.35</v>
      </c>
      <c r="E1071" s="3">
        <v>105.9</v>
      </c>
      <c r="F1071" s="3">
        <v>30.04</v>
      </c>
      <c r="G1071" s="3">
        <v>458.5</v>
      </c>
      <c r="H1071" s="3">
        <v>2.919</v>
      </c>
      <c r="I1071" s="13">
        <f t="shared" si="17"/>
        <v>3.5252996005326236</v>
      </c>
    </row>
    <row r="1072" spans="2:9">
      <c r="C1072" s="46">
        <v>1.546</v>
      </c>
      <c r="D1072" s="3">
        <v>73.739999999999995</v>
      </c>
      <c r="E1072" s="3">
        <v>106.1</v>
      </c>
      <c r="F1072" s="3">
        <v>29.61</v>
      </c>
      <c r="G1072" s="3">
        <v>460</v>
      </c>
      <c r="H1072" s="3">
        <v>2.984</v>
      </c>
      <c r="I1072" s="13">
        <f t="shared" si="17"/>
        <v>3.5832489023978384</v>
      </c>
    </row>
    <row r="1073" spans="2:9">
      <c r="C1073" s="46">
        <v>1.5109999999999999</v>
      </c>
      <c r="D1073" s="3">
        <v>71.39</v>
      </c>
      <c r="E1073" s="3">
        <v>106.2</v>
      </c>
      <c r="F1073" s="3">
        <v>29.79</v>
      </c>
      <c r="G1073" s="3">
        <v>458.2</v>
      </c>
      <c r="H1073" s="3">
        <v>3.093</v>
      </c>
      <c r="I1073" s="13">
        <f t="shared" si="17"/>
        <v>3.5649546827794563</v>
      </c>
    </row>
    <row r="1074" spans="2:9">
      <c r="C1074" s="46">
        <v>1.4730000000000001</v>
      </c>
      <c r="D1074" s="3">
        <v>78.08</v>
      </c>
      <c r="E1074" s="3">
        <v>106.4</v>
      </c>
      <c r="F1074" s="3">
        <v>30.04</v>
      </c>
      <c r="G1074" s="3">
        <v>461.2</v>
      </c>
      <c r="H1074" s="3">
        <v>3.327</v>
      </c>
      <c r="I1074" s="13">
        <f t="shared" si="17"/>
        <v>3.5419440745672439</v>
      </c>
    </row>
    <row r="1075" spans="2:9">
      <c r="C1075" s="46">
        <v>1.4810000000000001</v>
      </c>
      <c r="D1075" s="3">
        <v>72.09</v>
      </c>
      <c r="E1075" s="3">
        <v>106.7</v>
      </c>
      <c r="F1075" s="3">
        <v>30.06</v>
      </c>
      <c r="G1075" s="3">
        <v>460.9</v>
      </c>
      <c r="H1075" s="3">
        <v>2.984</v>
      </c>
      <c r="I1075" s="13">
        <f t="shared" si="17"/>
        <v>3.5495675316034601</v>
      </c>
    </row>
    <row r="1076" spans="2:9">
      <c r="C1076" s="46">
        <v>1.4850000000000001</v>
      </c>
      <c r="D1076" s="3">
        <v>68.239999999999995</v>
      </c>
      <c r="E1076" s="3">
        <v>106.4</v>
      </c>
      <c r="F1076" s="3">
        <v>29.98</v>
      </c>
      <c r="G1076" s="3">
        <v>461.4</v>
      </c>
      <c r="H1076" s="3">
        <v>3.1389999999999998</v>
      </c>
      <c r="I1076" s="13">
        <f t="shared" si="17"/>
        <v>3.5490326884589729</v>
      </c>
    </row>
    <row r="1077" spans="2:9">
      <c r="C1077" s="46">
        <v>1.4890000000000001</v>
      </c>
      <c r="D1077" s="3">
        <v>74.16</v>
      </c>
      <c r="E1077" s="3">
        <v>106.2</v>
      </c>
      <c r="F1077" s="3">
        <v>29.27</v>
      </c>
      <c r="G1077" s="3">
        <v>456.7</v>
      </c>
      <c r="H1077" s="3">
        <v>3.0859999999999999</v>
      </c>
      <c r="I1077" s="13">
        <f t="shared" si="17"/>
        <v>3.628288349846259</v>
      </c>
    </row>
    <row r="1078" spans="2:9">
      <c r="C1078" s="46">
        <v>1.444</v>
      </c>
      <c r="D1078" s="3">
        <v>86</v>
      </c>
      <c r="E1078" s="3">
        <v>106.7</v>
      </c>
      <c r="F1078" s="3">
        <v>29.62</v>
      </c>
      <c r="G1078" s="3">
        <v>457.4</v>
      </c>
      <c r="H1078" s="3">
        <v>3.06</v>
      </c>
      <c r="I1078" s="13">
        <f t="shared" si="17"/>
        <v>3.602295746117488</v>
      </c>
    </row>
    <row r="1079" spans="2:9">
      <c r="C1079" s="46">
        <v>1.393</v>
      </c>
      <c r="D1079" s="3">
        <v>73.739999999999995</v>
      </c>
      <c r="E1079" s="3">
        <v>106.4</v>
      </c>
      <c r="F1079" s="3">
        <v>29.53</v>
      </c>
      <c r="G1079" s="3">
        <v>457.7</v>
      </c>
      <c r="H1079" s="3">
        <v>3.0760000000000001</v>
      </c>
      <c r="I1079" s="13">
        <f t="shared" si="17"/>
        <v>3.6031154757873352</v>
      </c>
    </row>
    <row r="1080" spans="2:9">
      <c r="C1080" s="46">
        <v>1.3879999999999999</v>
      </c>
      <c r="D1080" s="3">
        <v>69.61</v>
      </c>
      <c r="E1080" s="3">
        <v>106.6</v>
      </c>
      <c r="F1080" s="3">
        <v>29.79</v>
      </c>
      <c r="G1080" s="3">
        <v>460.3</v>
      </c>
      <c r="H1080" s="3">
        <v>3.1970000000000001</v>
      </c>
      <c r="I1080" s="13">
        <f t="shared" si="17"/>
        <v>3.5783820073850285</v>
      </c>
    </row>
    <row r="1081" spans="2:9">
      <c r="C1081" s="46">
        <v>1.4450000000000001</v>
      </c>
      <c r="D1081" s="3">
        <v>77.2</v>
      </c>
      <c r="E1081" s="3">
        <v>106.8</v>
      </c>
      <c r="F1081" s="3">
        <v>29.87</v>
      </c>
      <c r="G1081" s="3">
        <v>459.6</v>
      </c>
      <c r="H1081" s="3">
        <v>3.34</v>
      </c>
      <c r="I1081" s="13">
        <f t="shared" si="17"/>
        <v>3.5754938064948107</v>
      </c>
    </row>
    <row r="1082" spans="2:9">
      <c r="B1082" s="16">
        <v>55</v>
      </c>
      <c r="C1082" s="47">
        <v>2.1</v>
      </c>
      <c r="D1082" s="16">
        <v>102.9</v>
      </c>
      <c r="E1082" s="16">
        <v>91.79</v>
      </c>
      <c r="F1082" s="16">
        <v>31.4</v>
      </c>
      <c r="G1082" s="16">
        <v>485.4</v>
      </c>
      <c r="H1082" s="16">
        <v>3.7469999999999999</v>
      </c>
      <c r="I1082" s="13">
        <f t="shared" si="17"/>
        <v>2.9232484076433125</v>
      </c>
    </row>
    <row r="1083" spans="2:9">
      <c r="C1083" s="46">
        <v>2.0950000000000002</v>
      </c>
      <c r="D1083" s="3">
        <v>131.9</v>
      </c>
      <c r="E1083" s="3">
        <v>91.81</v>
      </c>
      <c r="F1083" s="3">
        <v>31.33</v>
      </c>
      <c r="G1083" s="3">
        <v>491.1</v>
      </c>
      <c r="H1083" s="3">
        <v>3.7810000000000001</v>
      </c>
      <c r="I1083" s="13">
        <f t="shared" si="17"/>
        <v>2.9304181295882543</v>
      </c>
    </row>
    <row r="1084" spans="2:9">
      <c r="C1084" s="46">
        <v>2.0859999999999999</v>
      </c>
      <c r="D1084" s="3">
        <v>129.1</v>
      </c>
      <c r="E1084" s="3">
        <v>91.92</v>
      </c>
      <c r="F1084" s="3">
        <v>31.52</v>
      </c>
      <c r="G1084" s="3">
        <v>491.8</v>
      </c>
      <c r="H1084" s="3">
        <v>3.8250000000000002</v>
      </c>
      <c r="I1084" s="13">
        <f t="shared" si="17"/>
        <v>2.9162436548223352</v>
      </c>
    </row>
    <row r="1085" spans="2:9">
      <c r="C1085" s="46">
        <v>2.0619999999999998</v>
      </c>
      <c r="D1085" s="3">
        <v>101.7</v>
      </c>
      <c r="E1085" s="3">
        <v>92.05</v>
      </c>
      <c r="F1085" s="3">
        <v>30.95</v>
      </c>
      <c r="G1085" s="3">
        <v>493.1</v>
      </c>
      <c r="H1085" s="3">
        <v>3.8559999999999999</v>
      </c>
      <c r="I1085" s="13">
        <f t="shared" si="17"/>
        <v>2.974151857835218</v>
      </c>
    </row>
    <row r="1086" spans="2:9">
      <c r="C1086" s="46">
        <v>2.0369999999999999</v>
      </c>
      <c r="D1086" s="3">
        <v>106.5</v>
      </c>
      <c r="E1086" s="3">
        <v>92.02</v>
      </c>
      <c r="F1086" s="3">
        <v>30.76</v>
      </c>
      <c r="G1086" s="3">
        <v>491.9</v>
      </c>
      <c r="H1086" s="3">
        <v>3.899</v>
      </c>
      <c r="I1086" s="13">
        <f t="shared" si="17"/>
        <v>2.9915474642392716</v>
      </c>
    </row>
    <row r="1087" spans="2:9">
      <c r="C1087" s="46">
        <v>2.0750000000000002</v>
      </c>
      <c r="D1087" s="3">
        <v>102</v>
      </c>
      <c r="E1087" s="3">
        <v>92</v>
      </c>
      <c r="F1087" s="3">
        <v>30.33</v>
      </c>
      <c r="G1087" s="3">
        <v>486.6</v>
      </c>
      <c r="H1087" s="3">
        <v>3.8570000000000002</v>
      </c>
      <c r="I1087" s="13">
        <f t="shared" si="17"/>
        <v>3.0333003626772173</v>
      </c>
    </row>
    <row r="1088" spans="2:9">
      <c r="C1088" s="46">
        <v>2.0859999999999999</v>
      </c>
      <c r="D1088" s="3">
        <v>106.2</v>
      </c>
      <c r="E1088" s="3">
        <v>92.11</v>
      </c>
      <c r="F1088" s="3">
        <v>30.58</v>
      </c>
      <c r="G1088" s="3">
        <v>483.5</v>
      </c>
      <c r="H1088" s="3">
        <v>3.61</v>
      </c>
      <c r="I1088" s="13">
        <f t="shared" si="17"/>
        <v>3.012099411379987</v>
      </c>
    </row>
    <row r="1089" spans="2:9">
      <c r="C1089" s="46">
        <v>2.0419999999999998</v>
      </c>
      <c r="D1089" s="3">
        <v>101.9</v>
      </c>
      <c r="E1089" s="3">
        <v>92.62</v>
      </c>
      <c r="F1089" s="3">
        <v>30.77</v>
      </c>
      <c r="G1089" s="3">
        <v>483.8</v>
      </c>
      <c r="H1089" s="3">
        <v>3.3279999999999998</v>
      </c>
      <c r="I1089" s="13">
        <f t="shared" si="17"/>
        <v>3.0100747481312968</v>
      </c>
    </row>
    <row r="1090" spans="2:9">
      <c r="C1090" s="46">
        <v>2.101</v>
      </c>
      <c r="D1090" s="3">
        <v>144.30000000000001</v>
      </c>
      <c r="E1090" s="3">
        <v>92.82</v>
      </c>
      <c r="F1090" s="3">
        <v>30.39</v>
      </c>
      <c r="G1090" s="3">
        <v>482.5</v>
      </c>
      <c r="H1090" s="3">
        <v>3.3410000000000002</v>
      </c>
      <c r="I1090" s="13">
        <f t="shared" si="17"/>
        <v>3.0542941757156958</v>
      </c>
    </row>
    <row r="1091" spans="2:9">
      <c r="C1091" s="46">
        <v>2.1080000000000001</v>
      </c>
      <c r="D1091" s="3">
        <v>129.1</v>
      </c>
      <c r="E1091" s="3">
        <v>92.95</v>
      </c>
      <c r="F1091" s="3">
        <v>30.38</v>
      </c>
      <c r="G1091" s="3">
        <v>481.9</v>
      </c>
      <c r="H1091" s="3">
        <v>3.613</v>
      </c>
      <c r="I1091" s="13">
        <f t="shared" si="17"/>
        <v>3.0595786701777485</v>
      </c>
    </row>
    <row r="1092" spans="2:9">
      <c r="C1092" s="46">
        <v>2.1030000000000002</v>
      </c>
      <c r="D1092" s="3">
        <v>131.9</v>
      </c>
      <c r="E1092" s="3">
        <v>92.73</v>
      </c>
      <c r="F1092" s="3">
        <v>30.39</v>
      </c>
      <c r="G1092" s="3">
        <v>482.5</v>
      </c>
      <c r="H1092" s="3">
        <v>3.8250000000000002</v>
      </c>
      <c r="I1092" s="13">
        <f t="shared" si="17"/>
        <v>3.0513326752221128</v>
      </c>
    </row>
    <row r="1093" spans="2:9">
      <c r="C1093" s="46">
        <v>2.089</v>
      </c>
      <c r="D1093" s="3">
        <v>112.3</v>
      </c>
      <c r="E1093" s="3">
        <v>92.68</v>
      </c>
      <c r="F1093" s="3">
        <v>30.21</v>
      </c>
      <c r="G1093" s="3">
        <v>484.8</v>
      </c>
      <c r="H1093" s="3">
        <v>3.8559999999999999</v>
      </c>
      <c r="I1093" s="13">
        <f t="shared" si="17"/>
        <v>3.0678583250579279</v>
      </c>
    </row>
    <row r="1094" spans="2:9">
      <c r="C1094" s="46">
        <v>2.105</v>
      </c>
      <c r="D1094" s="3">
        <v>152.5</v>
      </c>
      <c r="E1094" s="3">
        <v>92.45</v>
      </c>
      <c r="F1094" s="3">
        <v>30.96</v>
      </c>
      <c r="G1094" s="3">
        <v>488.7</v>
      </c>
      <c r="H1094" s="3">
        <v>3.8109999999999999</v>
      </c>
      <c r="I1094" s="13">
        <f t="shared" si="17"/>
        <v>2.9861111111111112</v>
      </c>
    </row>
    <row r="1095" spans="2:9">
      <c r="C1095" s="46">
        <v>2.1120000000000001</v>
      </c>
      <c r="D1095" s="3">
        <v>144.30000000000001</v>
      </c>
      <c r="E1095" s="3">
        <v>92.68</v>
      </c>
      <c r="F1095" s="3">
        <v>30.76</v>
      </c>
      <c r="G1095" s="3">
        <v>491.1</v>
      </c>
      <c r="H1095" s="3">
        <v>3.8460000000000001</v>
      </c>
      <c r="I1095" s="13">
        <f t="shared" si="17"/>
        <v>3.0130039011703511</v>
      </c>
    </row>
    <row r="1096" spans="2:9">
      <c r="C1096" s="46">
        <v>2.1</v>
      </c>
      <c r="D1096" s="3">
        <v>163.5</v>
      </c>
      <c r="E1096" s="3">
        <v>92.95</v>
      </c>
      <c r="F1096" s="3">
        <v>30.58</v>
      </c>
      <c r="G1096" s="3">
        <v>493.1</v>
      </c>
      <c r="H1096" s="3">
        <v>3.4870000000000001</v>
      </c>
      <c r="I1096" s="13">
        <f t="shared" si="17"/>
        <v>3.0395683453237412</v>
      </c>
    </row>
    <row r="1097" spans="2:9">
      <c r="C1097" s="46">
        <v>2.0760000000000001</v>
      </c>
      <c r="D1097" s="3">
        <v>82</v>
      </c>
      <c r="E1097" s="3">
        <v>92.55</v>
      </c>
      <c r="F1097" s="3">
        <v>30.76</v>
      </c>
      <c r="G1097" s="3">
        <v>488.1</v>
      </c>
      <c r="H1097" s="3">
        <v>3.4870000000000001</v>
      </c>
      <c r="I1097" s="13">
        <f t="shared" si="17"/>
        <v>3.0087776332899869</v>
      </c>
    </row>
    <row r="1098" spans="2:9">
      <c r="C1098" s="46">
        <v>2.0710000000000002</v>
      </c>
      <c r="D1098" s="3">
        <v>96.5</v>
      </c>
      <c r="E1098" s="3">
        <v>92.36</v>
      </c>
      <c r="F1098" s="3">
        <v>30.57</v>
      </c>
      <c r="G1098" s="3">
        <v>489.6</v>
      </c>
      <c r="H1098" s="3">
        <v>3.3279999999999998</v>
      </c>
      <c r="I1098" s="13">
        <f t="shared" si="17"/>
        <v>3.0212626758259731</v>
      </c>
    </row>
    <row r="1099" spans="2:9">
      <c r="C1099" s="46">
        <v>2.101</v>
      </c>
      <c r="D1099" s="3">
        <v>97.1</v>
      </c>
      <c r="E1099" s="3">
        <v>92.38</v>
      </c>
      <c r="F1099" s="3">
        <v>30.38</v>
      </c>
      <c r="G1099" s="3">
        <v>487.6</v>
      </c>
      <c r="H1099" s="3">
        <v>3.319</v>
      </c>
      <c r="I1099" s="13">
        <f t="shared" si="17"/>
        <v>3.0408163265306123</v>
      </c>
    </row>
    <row r="1100" spans="2:9">
      <c r="C1100" s="46">
        <v>2.1080000000000001</v>
      </c>
      <c r="D1100" s="3">
        <v>100.7</v>
      </c>
      <c r="E1100" s="3">
        <v>92.46</v>
      </c>
      <c r="F1100" s="3">
        <v>30.78</v>
      </c>
      <c r="G1100" s="3">
        <v>482.7</v>
      </c>
      <c r="H1100" s="3">
        <v>3.7490000000000001</v>
      </c>
      <c r="I1100" s="13">
        <f t="shared" si="17"/>
        <v>3.0038986354775825</v>
      </c>
    </row>
    <row r="1101" spans="2:9">
      <c r="C1101" s="46">
        <v>2.1120000000000001</v>
      </c>
      <c r="D1101" s="3">
        <v>101.9</v>
      </c>
      <c r="E1101" s="3">
        <v>92.49</v>
      </c>
      <c r="F1101" s="3">
        <v>30.59</v>
      </c>
      <c r="G1101" s="3">
        <v>483.4</v>
      </c>
      <c r="H1101" s="3">
        <v>3.8340000000000001</v>
      </c>
      <c r="I1101" s="13">
        <f t="shared" si="17"/>
        <v>3.0235371036286365</v>
      </c>
    </row>
    <row r="1102" spans="2:9">
      <c r="B1102" s="16">
        <v>56</v>
      </c>
      <c r="C1102" s="47">
        <v>1.8620000000000001</v>
      </c>
      <c r="D1102" s="16">
        <v>107.3</v>
      </c>
      <c r="E1102" s="16">
        <v>96.74</v>
      </c>
      <c r="F1102" s="16">
        <v>19.66</v>
      </c>
      <c r="G1102" s="16">
        <v>513.20000000000005</v>
      </c>
      <c r="H1102" s="16">
        <v>3.3149999999999999</v>
      </c>
      <c r="I1102" s="13">
        <f t="shared" si="17"/>
        <v>4.9206510681586977</v>
      </c>
    </row>
    <row r="1103" spans="2:9">
      <c r="C1103" s="46">
        <v>1.875</v>
      </c>
      <c r="D1103" s="3">
        <v>107.6</v>
      </c>
      <c r="E1103" s="3">
        <v>97.03</v>
      </c>
      <c r="F1103" s="3">
        <v>20.12</v>
      </c>
      <c r="G1103" s="3">
        <v>510.8</v>
      </c>
      <c r="H1103" s="3">
        <v>3.5640000000000001</v>
      </c>
      <c r="I1103" s="13">
        <f t="shared" si="17"/>
        <v>4.8225646123260439</v>
      </c>
    </row>
    <row r="1104" spans="2:9">
      <c r="C1104" s="46">
        <v>1.887</v>
      </c>
      <c r="D1104" s="3">
        <v>109.2</v>
      </c>
      <c r="E1104" s="3">
        <v>96.75</v>
      </c>
      <c r="F1104" s="3">
        <v>19.809999999999999</v>
      </c>
      <c r="G1104" s="3">
        <v>508</v>
      </c>
      <c r="H1104" s="3">
        <v>3.548</v>
      </c>
      <c r="I1104" s="13">
        <f t="shared" si="17"/>
        <v>4.8838970217062094</v>
      </c>
    </row>
    <row r="1105" spans="3:9">
      <c r="C1105" s="46">
        <v>1.885</v>
      </c>
      <c r="D1105" s="3">
        <v>108.3</v>
      </c>
      <c r="E1105" s="3">
        <v>96.63</v>
      </c>
      <c r="F1105" s="3">
        <v>20.010000000000002</v>
      </c>
      <c r="G1105" s="3">
        <v>513.20000000000005</v>
      </c>
      <c r="H1105" s="3">
        <v>3.504</v>
      </c>
      <c r="I1105" s="13">
        <f t="shared" si="17"/>
        <v>4.829085457271364</v>
      </c>
    </row>
    <row r="1106" spans="3:9">
      <c r="C1106" s="46">
        <v>1.901</v>
      </c>
      <c r="D1106" s="3">
        <v>101.3</v>
      </c>
      <c r="E1106" s="3">
        <v>97.26</v>
      </c>
      <c r="F1106" s="3">
        <v>19.899999999999999</v>
      </c>
      <c r="G1106" s="3">
        <v>511.9</v>
      </c>
      <c r="H1106" s="3">
        <v>3.6120000000000001</v>
      </c>
      <c r="I1106" s="13">
        <f t="shared" si="17"/>
        <v>4.8874371859296488</v>
      </c>
    </row>
    <row r="1107" spans="3:9">
      <c r="C1107" s="46">
        <v>1.87</v>
      </c>
      <c r="D1107" s="3">
        <v>114.8</v>
      </c>
      <c r="E1107" s="3">
        <v>97.34</v>
      </c>
      <c r="F1107" s="3">
        <v>20.12</v>
      </c>
      <c r="G1107" s="3">
        <v>513.1</v>
      </c>
      <c r="H1107" s="3">
        <v>3.4830000000000001</v>
      </c>
      <c r="I1107" s="13">
        <f t="shared" si="17"/>
        <v>4.8379721669980116</v>
      </c>
    </row>
    <row r="1108" spans="3:9">
      <c r="C1108" s="46">
        <v>1.889</v>
      </c>
      <c r="D1108" s="3">
        <v>118.1</v>
      </c>
      <c r="E1108" s="3">
        <v>97.18</v>
      </c>
      <c r="F1108" s="3">
        <v>19.559999999999999</v>
      </c>
      <c r="G1108" s="3">
        <v>517.9</v>
      </c>
      <c r="H1108" s="3">
        <v>3.4740000000000002</v>
      </c>
      <c r="I1108" s="13">
        <f t="shared" si="17"/>
        <v>4.9683026584867083</v>
      </c>
    </row>
    <row r="1109" spans="3:9">
      <c r="C1109" s="46">
        <v>1.897</v>
      </c>
      <c r="D1109" s="3">
        <v>212.2</v>
      </c>
      <c r="E1109" s="3">
        <v>97.28</v>
      </c>
      <c r="F1109" s="3">
        <v>19.43</v>
      </c>
      <c r="G1109" s="3">
        <v>522.5</v>
      </c>
      <c r="H1109" s="3">
        <v>3.4510000000000001</v>
      </c>
      <c r="I1109" s="13">
        <f t="shared" si="17"/>
        <v>5.0066906845084924</v>
      </c>
    </row>
    <row r="1110" spans="3:9">
      <c r="C1110" s="46">
        <v>1.8959999999999999</v>
      </c>
      <c r="D1110" s="3">
        <v>116</v>
      </c>
      <c r="E1110" s="3">
        <v>97.44</v>
      </c>
      <c r="F1110" s="3">
        <v>19.21</v>
      </c>
      <c r="G1110" s="3">
        <v>518.20000000000005</v>
      </c>
      <c r="H1110" s="3">
        <v>3.4830000000000001</v>
      </c>
      <c r="I1110" s="13">
        <f t="shared" ref="I1110:I1173" si="18">E1110/F1110</f>
        <v>5.0723581467985417</v>
      </c>
    </row>
    <row r="1111" spans="3:9">
      <c r="C1111" s="46">
        <v>1.901</v>
      </c>
      <c r="D1111" s="3">
        <v>116.9</v>
      </c>
      <c r="E1111" s="3">
        <v>97.64</v>
      </c>
      <c r="F1111" s="3">
        <v>19.97</v>
      </c>
      <c r="G1111" s="3">
        <v>513.5</v>
      </c>
      <c r="H1111" s="3">
        <v>3.5750000000000002</v>
      </c>
      <c r="I1111" s="13">
        <f t="shared" si="18"/>
        <v>4.8893340010015027</v>
      </c>
    </row>
    <row r="1112" spans="3:9">
      <c r="C1112" s="46">
        <v>1.9</v>
      </c>
      <c r="D1112" s="3">
        <v>121</v>
      </c>
      <c r="E1112" s="3">
        <v>97.54</v>
      </c>
      <c r="F1112" s="3">
        <v>19.579999999999998</v>
      </c>
      <c r="G1112" s="3">
        <v>511.8</v>
      </c>
      <c r="H1112" s="3">
        <v>3.5640000000000001</v>
      </c>
      <c r="I1112" s="13">
        <f t="shared" si="18"/>
        <v>4.9816138917262522</v>
      </c>
    </row>
    <row r="1113" spans="3:9">
      <c r="C1113" s="46">
        <v>1.887</v>
      </c>
      <c r="D1113" s="3">
        <v>107.3</v>
      </c>
      <c r="E1113" s="3">
        <v>97.28</v>
      </c>
      <c r="F1113" s="3">
        <v>19.670000000000002</v>
      </c>
      <c r="G1113" s="3">
        <v>507.8</v>
      </c>
      <c r="H1113" s="3">
        <v>3.62</v>
      </c>
      <c r="I1113" s="13">
        <f t="shared" si="18"/>
        <v>4.9456024402643619</v>
      </c>
    </row>
    <row r="1114" spans="3:9">
      <c r="C1114" s="46">
        <v>1.875</v>
      </c>
      <c r="D1114" s="3">
        <v>125.3</v>
      </c>
      <c r="E1114" s="3">
        <v>97.04</v>
      </c>
      <c r="F1114" s="3">
        <v>19.77</v>
      </c>
      <c r="G1114" s="3">
        <v>505.8</v>
      </c>
      <c r="H1114" s="3">
        <v>3.5150000000000001</v>
      </c>
      <c r="I1114" s="13">
        <f t="shared" si="18"/>
        <v>4.9084471421345475</v>
      </c>
    </row>
    <row r="1115" spans="3:9">
      <c r="C1115" s="46">
        <v>1.853</v>
      </c>
      <c r="D1115" s="3">
        <v>138</v>
      </c>
      <c r="E1115" s="3">
        <v>97.24</v>
      </c>
      <c r="F1115" s="3">
        <v>19.87</v>
      </c>
      <c r="G1115" s="3">
        <v>508</v>
      </c>
      <c r="H1115" s="3">
        <v>3.5059999999999998</v>
      </c>
      <c r="I1115" s="13">
        <f t="shared" si="18"/>
        <v>4.8938097634625057</v>
      </c>
    </row>
    <row r="1116" spans="3:9">
      <c r="C1116" s="46">
        <v>1.887</v>
      </c>
      <c r="D1116" s="3">
        <v>108.3</v>
      </c>
      <c r="E1116" s="3">
        <v>97.14</v>
      </c>
      <c r="F1116" s="3">
        <v>19.649999999999999</v>
      </c>
      <c r="G1116" s="3">
        <v>507.9</v>
      </c>
      <c r="H1116" s="3">
        <v>3.3740000000000001</v>
      </c>
      <c r="I1116" s="13">
        <f t="shared" si="18"/>
        <v>4.9435114503816795</v>
      </c>
    </row>
    <row r="1117" spans="3:9">
      <c r="C1117" s="46">
        <v>1.8839999999999999</v>
      </c>
      <c r="D1117" s="3">
        <v>118.1</v>
      </c>
      <c r="E1117" s="3">
        <v>97.77</v>
      </c>
      <c r="F1117" s="3">
        <v>20.149999999999999</v>
      </c>
      <c r="G1117" s="3">
        <v>506.7</v>
      </c>
      <c r="H1117" s="3">
        <v>3.274</v>
      </c>
      <c r="I1117" s="13">
        <f t="shared" si="18"/>
        <v>4.8521091811414392</v>
      </c>
    </row>
    <row r="1118" spans="3:9">
      <c r="C1118" s="46">
        <v>1.89</v>
      </c>
      <c r="D1118" s="3">
        <v>139.19999999999999</v>
      </c>
      <c r="E1118" s="3">
        <v>97.44</v>
      </c>
      <c r="F1118" s="3">
        <v>20.14</v>
      </c>
      <c r="G1118" s="3">
        <v>513.1</v>
      </c>
      <c r="H1118" s="3">
        <v>3.2469999999999999</v>
      </c>
      <c r="I1118" s="13">
        <f t="shared" si="18"/>
        <v>4.8381330685203574</v>
      </c>
    </row>
    <row r="1119" spans="3:9">
      <c r="C1119" s="46">
        <v>1.901</v>
      </c>
      <c r="D1119" s="3">
        <v>107.6</v>
      </c>
      <c r="E1119" s="3">
        <v>97.64</v>
      </c>
      <c r="F1119" s="3">
        <v>19.55</v>
      </c>
      <c r="G1119" s="3">
        <v>514.79999999999995</v>
      </c>
      <c r="H1119" s="3">
        <v>3.548</v>
      </c>
      <c r="I1119" s="13">
        <f t="shared" si="18"/>
        <v>4.9943734015345269</v>
      </c>
    </row>
    <row r="1120" spans="3:9">
      <c r="C1120" s="46">
        <v>1.87</v>
      </c>
      <c r="D1120" s="3">
        <v>106</v>
      </c>
      <c r="E1120" s="3">
        <v>97.78</v>
      </c>
      <c r="F1120" s="3">
        <v>20.059999999999999</v>
      </c>
      <c r="G1120" s="3">
        <v>513.20000000000005</v>
      </c>
      <c r="H1120" s="3">
        <v>3.323</v>
      </c>
      <c r="I1120" s="13">
        <f t="shared" si="18"/>
        <v>4.874376869391825</v>
      </c>
    </row>
    <row r="1121" spans="2:9">
      <c r="C1121" s="46">
        <v>1.889</v>
      </c>
      <c r="D1121" s="3">
        <v>115.5</v>
      </c>
      <c r="E1121" s="3">
        <v>97.34</v>
      </c>
      <c r="F1121" s="3">
        <v>19.89</v>
      </c>
      <c r="G1121" s="3">
        <v>508.8</v>
      </c>
      <c r="H1121" s="3">
        <v>3.2269999999999999</v>
      </c>
      <c r="I1121" s="13">
        <f t="shared" si="18"/>
        <v>4.8939165409753649</v>
      </c>
    </row>
    <row r="1122" spans="2:9">
      <c r="B1122" s="16">
        <v>57</v>
      </c>
      <c r="C1122" s="47">
        <v>2.2389999999999999</v>
      </c>
      <c r="D1122" s="16">
        <v>158</v>
      </c>
      <c r="E1122" s="16">
        <v>100.4</v>
      </c>
      <c r="F1122" s="16">
        <v>30.07</v>
      </c>
      <c r="G1122" s="16">
        <v>465.6</v>
      </c>
      <c r="H1122" s="16">
        <v>1.762</v>
      </c>
      <c r="I1122" s="13">
        <f t="shared" si="18"/>
        <v>3.3388759561024277</v>
      </c>
    </row>
    <row r="1123" spans="2:9">
      <c r="C1123" s="46">
        <v>2.4180000000000001</v>
      </c>
      <c r="D1123" s="3">
        <v>134.4</v>
      </c>
      <c r="E1123" s="3">
        <v>99.99</v>
      </c>
      <c r="F1123" s="3">
        <v>30.77</v>
      </c>
      <c r="G1123" s="3">
        <v>468</v>
      </c>
      <c r="H1123" s="3">
        <v>1.665</v>
      </c>
      <c r="I1123" s="13">
        <f t="shared" si="18"/>
        <v>3.2495937601559959</v>
      </c>
    </row>
    <row r="1124" spans="2:9">
      <c r="C1124" s="46">
        <v>2.359</v>
      </c>
      <c r="D1124" s="3">
        <v>146.1</v>
      </c>
      <c r="E1124" s="3">
        <v>99.83</v>
      </c>
      <c r="F1124" s="3">
        <v>31.04</v>
      </c>
      <c r="G1124" s="3">
        <v>470.5</v>
      </c>
      <c r="H1124" s="3">
        <v>1.9330000000000001</v>
      </c>
      <c r="I1124" s="13">
        <f t="shared" si="18"/>
        <v>3.2161726804123711</v>
      </c>
    </row>
    <row r="1125" spans="2:9">
      <c r="C1125" s="46">
        <v>2.3980000000000001</v>
      </c>
      <c r="D1125" s="3">
        <v>101.3</v>
      </c>
      <c r="E1125" s="3">
        <v>100.5</v>
      </c>
      <c r="F1125" s="3">
        <v>30.64</v>
      </c>
      <c r="G1125" s="3">
        <v>465</v>
      </c>
      <c r="H1125" s="3">
        <v>1.776</v>
      </c>
      <c r="I1125" s="13">
        <f t="shared" si="18"/>
        <v>3.2800261096605743</v>
      </c>
    </row>
    <row r="1126" spans="2:9">
      <c r="C1126" s="46">
        <v>2.395</v>
      </c>
      <c r="D1126" s="3">
        <v>92.9</v>
      </c>
      <c r="E1126" s="3">
        <v>100.8</v>
      </c>
      <c r="F1126" s="3">
        <v>30.26</v>
      </c>
      <c r="G1126" s="3">
        <v>475.1</v>
      </c>
      <c r="H1126" s="3">
        <v>1.7270000000000001</v>
      </c>
      <c r="I1126" s="13">
        <f t="shared" si="18"/>
        <v>3.331130204890945</v>
      </c>
    </row>
    <row r="1127" spans="2:9">
      <c r="C1127" s="46">
        <v>2.3959999999999999</v>
      </c>
      <c r="D1127" s="3">
        <v>107</v>
      </c>
      <c r="E1127" s="3">
        <v>100.3</v>
      </c>
      <c r="F1127" s="3">
        <v>30.81</v>
      </c>
      <c r="G1127" s="3">
        <v>470.1</v>
      </c>
      <c r="H1127" s="3">
        <v>1.7</v>
      </c>
      <c r="I1127" s="13">
        <f t="shared" si="18"/>
        <v>3.2554365465757873</v>
      </c>
    </row>
    <row r="1128" spans="2:9">
      <c r="C1128" s="46">
        <v>2.4119999999999999</v>
      </c>
      <c r="D1128" s="3">
        <v>106.6</v>
      </c>
      <c r="E1128" s="3">
        <v>100.5</v>
      </c>
      <c r="F1128" s="3">
        <v>31.06</v>
      </c>
      <c r="G1128" s="3">
        <v>466</v>
      </c>
      <c r="H1128" s="3">
        <v>1.7989999999999999</v>
      </c>
      <c r="I1128" s="13">
        <f t="shared" si="18"/>
        <v>3.2356728911783645</v>
      </c>
    </row>
    <row r="1129" spans="2:9">
      <c r="C1129" s="46">
        <v>2.4</v>
      </c>
      <c r="D1129" s="3">
        <v>103.1</v>
      </c>
      <c r="E1129" s="3">
        <v>100.2</v>
      </c>
      <c r="F1129" s="3">
        <v>30.94</v>
      </c>
      <c r="G1129" s="3">
        <v>464.7</v>
      </c>
      <c r="H1129" s="3">
        <v>1.7230000000000001</v>
      </c>
      <c r="I1129" s="13">
        <f t="shared" si="18"/>
        <v>3.2385261797026503</v>
      </c>
    </row>
    <row r="1130" spans="2:9">
      <c r="C1130" s="46">
        <v>2.4140000000000001</v>
      </c>
      <c r="D1130" s="3">
        <v>102.9</v>
      </c>
      <c r="E1130" s="3">
        <v>99.69</v>
      </c>
      <c r="F1130" s="3">
        <v>31.6</v>
      </c>
      <c r="G1130" s="3">
        <v>464.6</v>
      </c>
      <c r="H1130" s="3">
        <v>1.7270000000000001</v>
      </c>
      <c r="I1130" s="13">
        <f t="shared" si="18"/>
        <v>3.1547468354430377</v>
      </c>
    </row>
    <row r="1131" spans="2:9">
      <c r="C1131" s="46">
        <v>2.3940000000000001</v>
      </c>
      <c r="D1131" s="3">
        <v>90.1</v>
      </c>
      <c r="E1131" s="3">
        <v>99.55</v>
      </c>
      <c r="F1131" s="3">
        <v>31.62</v>
      </c>
      <c r="G1131" s="3">
        <v>466.1</v>
      </c>
      <c r="H1131" s="3">
        <v>1.665</v>
      </c>
      <c r="I1131" s="13">
        <f t="shared" si="18"/>
        <v>3.1483238456672988</v>
      </c>
    </row>
    <row r="1132" spans="2:9">
      <c r="C1132" s="46">
        <v>2.367</v>
      </c>
      <c r="D1132" s="3">
        <v>99</v>
      </c>
      <c r="E1132" s="3">
        <v>99.61</v>
      </c>
      <c r="F1132" s="3">
        <v>30.49</v>
      </c>
      <c r="G1132" s="3">
        <v>474.6</v>
      </c>
      <c r="H1132" s="3">
        <v>1.6890000000000001</v>
      </c>
      <c r="I1132" s="13">
        <f t="shared" si="18"/>
        <v>3.2669727779599871</v>
      </c>
    </row>
    <row r="1133" spans="2:9">
      <c r="C1133" s="46">
        <v>2.3610000000000002</v>
      </c>
      <c r="D1133" s="3">
        <v>102.6</v>
      </c>
      <c r="E1133" s="3">
        <v>99.77</v>
      </c>
      <c r="F1133" s="3">
        <v>30.21</v>
      </c>
      <c r="G1133" s="3">
        <v>477.7</v>
      </c>
      <c r="H1133" s="3">
        <v>1.5669999999999999</v>
      </c>
      <c r="I1133" s="13">
        <f t="shared" si="18"/>
        <v>3.3025488248924195</v>
      </c>
    </row>
    <row r="1134" spans="2:9">
      <c r="C1134" s="46">
        <v>2.3980000000000001</v>
      </c>
      <c r="D1134" s="3">
        <v>109</v>
      </c>
      <c r="E1134" s="3">
        <v>99.73</v>
      </c>
      <c r="F1134" s="3">
        <v>30.23</v>
      </c>
      <c r="G1134" s="3">
        <v>473.3</v>
      </c>
      <c r="H1134" s="3">
        <v>1.542</v>
      </c>
      <c r="I1134" s="13">
        <f t="shared" si="18"/>
        <v>3.2990406880582204</v>
      </c>
    </row>
    <row r="1135" spans="2:9">
      <c r="C1135" s="46">
        <v>2.3340000000000001</v>
      </c>
      <c r="D1135" s="3">
        <v>102.9</v>
      </c>
      <c r="E1135" s="3">
        <v>100</v>
      </c>
      <c r="F1135" s="3">
        <v>30.33</v>
      </c>
      <c r="G1135" s="3">
        <v>472.2</v>
      </c>
      <c r="H1135" s="3">
        <v>1.39</v>
      </c>
      <c r="I1135" s="13">
        <f t="shared" si="18"/>
        <v>3.2970656116056714</v>
      </c>
    </row>
    <row r="1136" spans="2:9">
      <c r="C1136" s="46">
        <v>2.2469999999999999</v>
      </c>
      <c r="D1136" s="3">
        <v>90.1</v>
      </c>
      <c r="E1136" s="3">
        <v>100.1</v>
      </c>
      <c r="F1136" s="3">
        <v>30.37</v>
      </c>
      <c r="G1136" s="3">
        <v>488.2</v>
      </c>
      <c r="H1136" s="3">
        <v>1.4890000000000001</v>
      </c>
      <c r="I1136" s="13">
        <f t="shared" si="18"/>
        <v>3.2960158050707933</v>
      </c>
    </row>
    <row r="1137" spans="2:9">
      <c r="C1137" s="46">
        <v>2.351</v>
      </c>
      <c r="D1137" s="3">
        <v>99.4</v>
      </c>
      <c r="E1137" s="3">
        <v>100.4</v>
      </c>
      <c r="F1137" s="3">
        <v>30.52</v>
      </c>
      <c r="G1137" s="3">
        <v>479.5</v>
      </c>
      <c r="H1137" s="3">
        <v>1.542</v>
      </c>
      <c r="I1137" s="13">
        <f t="shared" si="18"/>
        <v>3.2896461336828313</v>
      </c>
    </row>
    <row r="1138" spans="2:9">
      <c r="C1138" s="46">
        <v>2.3959999999999999</v>
      </c>
      <c r="D1138" s="3">
        <v>103.6</v>
      </c>
      <c r="E1138" s="3">
        <v>100.2</v>
      </c>
      <c r="F1138" s="3">
        <v>30.63</v>
      </c>
      <c r="G1138" s="3">
        <v>479.1</v>
      </c>
      <c r="H1138" s="3">
        <v>1.6519999999999999</v>
      </c>
      <c r="I1138" s="13">
        <f t="shared" si="18"/>
        <v>3.2713026444662097</v>
      </c>
    </row>
    <row r="1139" spans="2:9">
      <c r="C1139" s="46">
        <v>2.4039999999999999</v>
      </c>
      <c r="D1139" s="3">
        <v>96.8</v>
      </c>
      <c r="E1139" s="3">
        <v>100.3</v>
      </c>
      <c r="F1139" s="3">
        <v>30.89</v>
      </c>
      <c r="G1139" s="3">
        <v>470.6</v>
      </c>
      <c r="H1139" s="3">
        <v>1.6890000000000001</v>
      </c>
      <c r="I1139" s="13">
        <f t="shared" si="18"/>
        <v>3.2470055033991581</v>
      </c>
    </row>
    <row r="1140" spans="2:9">
      <c r="C1140" s="46">
        <v>2.4140000000000001</v>
      </c>
      <c r="D1140" s="3">
        <v>98</v>
      </c>
      <c r="E1140" s="3">
        <v>100.5</v>
      </c>
      <c r="F1140" s="3">
        <v>30.99</v>
      </c>
      <c r="G1140" s="3">
        <v>464.7</v>
      </c>
      <c r="H1140" s="3">
        <v>1.762</v>
      </c>
      <c r="I1140" s="13">
        <f t="shared" si="18"/>
        <v>3.2429816069699906</v>
      </c>
    </row>
    <row r="1141" spans="2:9">
      <c r="C1141" s="46">
        <v>2.4180000000000001</v>
      </c>
      <c r="D1141" s="3">
        <v>103.6</v>
      </c>
      <c r="E1141" s="3">
        <v>100.4</v>
      </c>
      <c r="F1141" s="3">
        <v>30.87</v>
      </c>
      <c r="G1141" s="3">
        <v>468</v>
      </c>
      <c r="H1141" s="3">
        <v>1.5980000000000001</v>
      </c>
      <c r="I1141" s="13">
        <f t="shared" si="18"/>
        <v>3.2523485584710077</v>
      </c>
    </row>
    <row r="1142" spans="2:9">
      <c r="B1142" s="16">
        <v>58</v>
      </c>
      <c r="C1142" s="47">
        <v>1.788</v>
      </c>
      <c r="D1142" s="16">
        <v>149</v>
      </c>
      <c r="E1142" s="16">
        <v>105.7</v>
      </c>
      <c r="F1142" s="16">
        <v>32.5</v>
      </c>
      <c r="G1142" s="16">
        <v>474.8</v>
      </c>
      <c r="H1142" s="16">
        <v>2.181</v>
      </c>
      <c r="I1142" s="13">
        <f t="shared" si="18"/>
        <v>3.2523076923076926</v>
      </c>
    </row>
    <row r="1143" spans="2:9">
      <c r="C1143" s="46">
        <v>1.7470000000000001</v>
      </c>
      <c r="D1143" s="3">
        <v>195.7</v>
      </c>
      <c r="E1143" s="3">
        <v>104.8</v>
      </c>
      <c r="F1143" s="3">
        <v>32.1</v>
      </c>
      <c r="G1143" s="3">
        <v>480.9</v>
      </c>
      <c r="H1143" s="3">
        <v>2.1120000000000001</v>
      </c>
      <c r="I1143" s="13">
        <f t="shared" si="18"/>
        <v>3.2647975077881619</v>
      </c>
    </row>
    <row r="1144" spans="2:9">
      <c r="C1144" s="46">
        <v>1.7430000000000001</v>
      </c>
      <c r="D1144" s="3">
        <v>214</v>
      </c>
      <c r="E1144" s="3">
        <v>105.1</v>
      </c>
      <c r="F1144" s="3">
        <v>32.119999999999997</v>
      </c>
      <c r="G1144" s="3">
        <v>479</v>
      </c>
      <c r="H1144" s="3">
        <v>2.1720000000000002</v>
      </c>
      <c r="I1144" s="13">
        <f t="shared" si="18"/>
        <v>3.2721046077210461</v>
      </c>
    </row>
    <row r="1145" spans="2:9">
      <c r="C1145" s="46">
        <v>1.776</v>
      </c>
      <c r="D1145" s="3">
        <v>187.3</v>
      </c>
      <c r="E1145" s="3">
        <v>105.3</v>
      </c>
      <c r="F1145" s="3">
        <v>32.229999999999997</v>
      </c>
      <c r="G1145" s="3">
        <v>482.3</v>
      </c>
      <c r="H1145" s="3">
        <v>2.1859999999999999</v>
      </c>
      <c r="I1145" s="13">
        <f t="shared" si="18"/>
        <v>3.2671424139000935</v>
      </c>
    </row>
    <row r="1146" spans="2:9">
      <c r="C1146" s="46">
        <v>1.782</v>
      </c>
      <c r="D1146" s="3">
        <v>143.5</v>
      </c>
      <c r="E1146" s="3">
        <v>105.5</v>
      </c>
      <c r="F1146" s="3">
        <v>32.69</v>
      </c>
      <c r="G1146" s="3">
        <v>484.2</v>
      </c>
      <c r="H1146" s="3">
        <v>2.169</v>
      </c>
      <c r="I1146" s="13">
        <f t="shared" si="18"/>
        <v>3.2272866319975528</v>
      </c>
    </row>
    <row r="1147" spans="2:9">
      <c r="C1147" s="46">
        <v>1.84</v>
      </c>
      <c r="D1147" s="3">
        <v>124</v>
      </c>
      <c r="E1147" s="3">
        <v>105.7</v>
      </c>
      <c r="F1147" s="3">
        <v>32.25</v>
      </c>
      <c r="G1147" s="3">
        <v>476</v>
      </c>
      <c r="H1147" s="3">
        <v>2.081</v>
      </c>
      <c r="I1147" s="13">
        <f t="shared" si="18"/>
        <v>3.2775193798449611</v>
      </c>
    </row>
    <row r="1148" spans="2:9">
      <c r="C1148" s="46">
        <v>1.8620000000000001</v>
      </c>
      <c r="D1148" s="3">
        <v>142</v>
      </c>
      <c r="E1148" s="3">
        <v>105.8</v>
      </c>
      <c r="F1148" s="3">
        <v>32.67</v>
      </c>
      <c r="G1148" s="3">
        <v>472.7</v>
      </c>
      <c r="H1148" s="3">
        <v>2.056</v>
      </c>
      <c r="I1148" s="13">
        <f t="shared" si="18"/>
        <v>3.2384450566268748</v>
      </c>
    </row>
    <row r="1149" spans="2:9">
      <c r="C1149" s="46">
        <v>1.887</v>
      </c>
      <c r="D1149" s="3">
        <v>103.8</v>
      </c>
      <c r="E1149" s="3">
        <v>105.4</v>
      </c>
      <c r="F1149" s="3">
        <v>32.39</v>
      </c>
      <c r="G1149" s="3">
        <v>475.1</v>
      </c>
      <c r="H1149" s="3">
        <v>2</v>
      </c>
      <c r="I1149" s="13">
        <f t="shared" si="18"/>
        <v>3.254090768755789</v>
      </c>
    </row>
    <row r="1150" spans="2:9">
      <c r="C1150" s="46">
        <v>1.8779999999999999</v>
      </c>
      <c r="D1150" s="3">
        <v>118.6</v>
      </c>
      <c r="E1150" s="3">
        <v>105.3</v>
      </c>
      <c r="F1150" s="3">
        <v>32.54</v>
      </c>
      <c r="G1150" s="3">
        <v>472.9</v>
      </c>
      <c r="H1150" s="3">
        <v>2.06</v>
      </c>
      <c r="I1150" s="13">
        <f t="shared" si="18"/>
        <v>3.2360172095881992</v>
      </c>
    </row>
    <row r="1151" spans="2:9">
      <c r="C1151" s="46">
        <v>1.907</v>
      </c>
      <c r="D1151" s="3">
        <v>183.9</v>
      </c>
      <c r="E1151" s="3">
        <v>105.5</v>
      </c>
      <c r="F1151" s="3">
        <v>32.56</v>
      </c>
      <c r="G1151" s="3">
        <v>475.5</v>
      </c>
      <c r="H1151" s="3">
        <v>2.0270000000000001</v>
      </c>
      <c r="I1151" s="13">
        <f t="shared" si="18"/>
        <v>3.2401719901719899</v>
      </c>
    </row>
    <row r="1152" spans="2:9">
      <c r="C1152" s="46">
        <v>1.9019999999999999</v>
      </c>
      <c r="D1152" s="3">
        <v>200</v>
      </c>
      <c r="E1152" s="3">
        <v>105.1</v>
      </c>
      <c r="F1152" s="3">
        <v>32.43</v>
      </c>
      <c r="G1152" s="3">
        <v>478.5</v>
      </c>
      <c r="H1152" s="3">
        <v>2.0790000000000002</v>
      </c>
      <c r="I1152" s="13">
        <f t="shared" si="18"/>
        <v>3.2408263953129817</v>
      </c>
    </row>
    <row r="1153" spans="2:9">
      <c r="C1153" s="46">
        <v>1.925</v>
      </c>
      <c r="D1153" s="3">
        <v>141.1</v>
      </c>
      <c r="E1153" s="3">
        <v>105.8</v>
      </c>
      <c r="F1153" s="3">
        <v>32.31</v>
      </c>
      <c r="G1153" s="3">
        <v>488.6</v>
      </c>
      <c r="H1153" s="3">
        <v>1.992</v>
      </c>
      <c r="I1153" s="13">
        <f t="shared" si="18"/>
        <v>3.2745280099040541</v>
      </c>
    </row>
    <row r="1154" spans="2:9">
      <c r="C1154" s="46">
        <v>1.915</v>
      </c>
      <c r="D1154" s="3">
        <v>167.6</v>
      </c>
      <c r="E1154" s="3">
        <v>105.3</v>
      </c>
      <c r="F1154" s="3">
        <v>32.08</v>
      </c>
      <c r="G1154" s="3">
        <v>486</v>
      </c>
      <c r="H1154" s="3">
        <v>1.927</v>
      </c>
      <c r="I1154" s="13">
        <f t="shared" si="18"/>
        <v>3.2824189526184537</v>
      </c>
    </row>
    <row r="1155" spans="2:9">
      <c r="C1155" s="46">
        <v>1.9359999999999999</v>
      </c>
      <c r="D1155" s="3">
        <v>156.9</v>
      </c>
      <c r="E1155" s="3">
        <v>106</v>
      </c>
      <c r="F1155" s="3">
        <v>31.86</v>
      </c>
      <c r="G1155" s="3">
        <v>491.6</v>
      </c>
      <c r="H1155" s="3">
        <v>1.893</v>
      </c>
      <c r="I1155" s="13">
        <f t="shared" si="18"/>
        <v>3.3270558694287509</v>
      </c>
    </row>
    <row r="1156" spans="2:9">
      <c r="C1156" s="46">
        <v>1.9339999999999999</v>
      </c>
      <c r="D1156" s="3">
        <v>167.6</v>
      </c>
      <c r="E1156" s="3">
        <v>105.8</v>
      </c>
      <c r="F1156" s="3">
        <v>32.67</v>
      </c>
      <c r="G1156" s="3">
        <v>502.7</v>
      </c>
      <c r="H1156" s="3">
        <v>1.901</v>
      </c>
      <c r="I1156" s="13">
        <f t="shared" si="18"/>
        <v>3.2384450566268748</v>
      </c>
    </row>
    <row r="1157" spans="2:9">
      <c r="C1157" s="46">
        <v>1.9259999999999999</v>
      </c>
      <c r="D1157" s="3">
        <v>154.19999999999999</v>
      </c>
      <c r="E1157" s="3">
        <v>105.7</v>
      </c>
      <c r="F1157" s="3">
        <v>32.380000000000003</v>
      </c>
      <c r="G1157" s="3">
        <v>487.2</v>
      </c>
      <c r="H1157" s="3">
        <v>1.915</v>
      </c>
      <c r="I1157" s="13">
        <f t="shared" si="18"/>
        <v>3.2643607164916615</v>
      </c>
    </row>
    <row r="1158" spans="2:9">
      <c r="C1158" s="46">
        <v>1.897</v>
      </c>
      <c r="D1158" s="3">
        <v>141.1</v>
      </c>
      <c r="E1158" s="3">
        <v>105.4</v>
      </c>
      <c r="F1158" s="3">
        <v>32.64</v>
      </c>
      <c r="G1158" s="3">
        <v>486.7</v>
      </c>
      <c r="H1158" s="3">
        <v>1.9350000000000001</v>
      </c>
      <c r="I1158" s="13">
        <f t="shared" si="18"/>
        <v>3.229166666666667</v>
      </c>
    </row>
    <row r="1159" spans="2:9">
      <c r="C1159" s="46">
        <v>1.915</v>
      </c>
      <c r="D1159" s="3">
        <v>132.80000000000001</v>
      </c>
      <c r="E1159" s="3">
        <v>104.9</v>
      </c>
      <c r="F1159" s="3">
        <v>32.54</v>
      </c>
      <c r="G1159" s="3">
        <v>483</v>
      </c>
      <c r="H1159" s="3">
        <v>1.9219999999999999</v>
      </c>
      <c r="I1159" s="13">
        <f t="shared" si="18"/>
        <v>3.2237246465888139</v>
      </c>
    </row>
    <row r="1160" spans="2:9">
      <c r="C1160" s="46">
        <v>1.9019999999999999</v>
      </c>
      <c r="D1160" s="3">
        <v>156.4</v>
      </c>
      <c r="E1160" s="3">
        <v>105.2</v>
      </c>
      <c r="F1160" s="3">
        <v>32.43</v>
      </c>
      <c r="G1160" s="3">
        <v>476.6</v>
      </c>
      <c r="H1160" s="3">
        <v>1.9379999999999999</v>
      </c>
      <c r="I1160" s="13">
        <f t="shared" si="18"/>
        <v>3.2439099599136605</v>
      </c>
    </row>
    <row r="1161" spans="2:9">
      <c r="C1161" s="46">
        <v>1.8520000000000001</v>
      </c>
      <c r="D1161" s="3">
        <v>139.69999999999999</v>
      </c>
      <c r="E1161" s="3">
        <v>105</v>
      </c>
      <c r="F1161" s="3">
        <v>32.31</v>
      </c>
      <c r="G1161" s="3">
        <v>474.8</v>
      </c>
      <c r="H1161" s="3">
        <v>2.0369999999999999</v>
      </c>
      <c r="I1161" s="13">
        <f t="shared" si="18"/>
        <v>3.2497678737233051</v>
      </c>
    </row>
    <row r="1162" spans="2:9">
      <c r="B1162" s="16">
        <v>59</v>
      </c>
      <c r="C1162" s="47">
        <v>1.444</v>
      </c>
      <c r="D1162" s="16">
        <v>104.1</v>
      </c>
      <c r="E1162" s="16">
        <v>95</v>
      </c>
      <c r="F1162" s="16">
        <v>29.44</v>
      </c>
      <c r="G1162" s="16">
        <v>508.6</v>
      </c>
      <c r="H1162" s="16">
        <v>1.722</v>
      </c>
      <c r="I1162" s="13">
        <f t="shared" si="18"/>
        <v>3.2269021739130435</v>
      </c>
    </row>
    <row r="1163" spans="2:9">
      <c r="C1163" s="46">
        <v>1.4470000000000001</v>
      </c>
      <c r="D1163" s="3">
        <v>127.9</v>
      </c>
      <c r="E1163" s="3">
        <v>95.07</v>
      </c>
      <c r="F1163" s="3">
        <v>29.51</v>
      </c>
      <c r="G1163" s="3">
        <v>509.9</v>
      </c>
      <c r="H1163" s="3">
        <v>1.86</v>
      </c>
      <c r="I1163" s="13">
        <f t="shared" si="18"/>
        <v>3.221619789901728</v>
      </c>
    </row>
    <row r="1164" spans="2:9">
      <c r="C1164" s="46">
        <v>1.4430000000000001</v>
      </c>
      <c r="D1164" s="3">
        <v>151.9</v>
      </c>
      <c r="E1164" s="3">
        <v>95.29</v>
      </c>
      <c r="F1164" s="3">
        <v>29.73</v>
      </c>
      <c r="G1164" s="3">
        <v>511.8</v>
      </c>
      <c r="H1164" s="3">
        <v>1.7929999999999999</v>
      </c>
      <c r="I1164" s="13">
        <f t="shared" si="18"/>
        <v>3.2051799529095191</v>
      </c>
    </row>
    <row r="1165" spans="2:9">
      <c r="C1165" s="46">
        <v>1.4339999999999999</v>
      </c>
      <c r="D1165" s="3">
        <v>93</v>
      </c>
      <c r="E1165" s="3">
        <v>95.23</v>
      </c>
      <c r="F1165" s="3">
        <v>29.29</v>
      </c>
      <c r="G1165" s="3">
        <v>511.1</v>
      </c>
      <c r="H1165" s="3">
        <v>1.7889999999999999</v>
      </c>
      <c r="I1165" s="13">
        <f t="shared" si="18"/>
        <v>3.2512803004438378</v>
      </c>
    </row>
    <row r="1166" spans="2:9">
      <c r="C1166" s="46">
        <v>1.395</v>
      </c>
      <c r="D1166" s="3">
        <v>173.9</v>
      </c>
      <c r="E1166" s="3">
        <v>95.4</v>
      </c>
      <c r="F1166" s="3">
        <v>29.34</v>
      </c>
      <c r="G1166" s="3">
        <v>509.4</v>
      </c>
      <c r="H1166" s="3">
        <v>1.827</v>
      </c>
      <c r="I1166" s="13">
        <f t="shared" si="18"/>
        <v>3.2515337423312887</v>
      </c>
    </row>
    <row r="1167" spans="2:9">
      <c r="C1167" s="46">
        <v>1.403</v>
      </c>
      <c r="D1167" s="3">
        <v>176.3</v>
      </c>
      <c r="E1167" s="3">
        <v>95.55</v>
      </c>
      <c r="F1167" s="3">
        <v>29.55</v>
      </c>
      <c r="G1167" s="3">
        <v>507.8</v>
      </c>
      <c r="H1167" s="3">
        <v>1.82</v>
      </c>
      <c r="I1167" s="13">
        <f t="shared" si="18"/>
        <v>3.233502538071066</v>
      </c>
    </row>
    <row r="1168" spans="2:9">
      <c r="C1168" s="46">
        <v>1.4239999999999999</v>
      </c>
      <c r="D1168" s="3">
        <v>73.3</v>
      </c>
      <c r="E1168" s="3">
        <v>95.37</v>
      </c>
      <c r="F1168" s="3">
        <v>29.62</v>
      </c>
      <c r="G1168" s="3">
        <v>511.3</v>
      </c>
      <c r="H1168" s="3">
        <v>1.8169999999999999</v>
      </c>
      <c r="I1168" s="13">
        <f t="shared" si="18"/>
        <v>3.2197839297771775</v>
      </c>
    </row>
    <row r="1169" spans="2:9">
      <c r="C1169" s="46">
        <v>1.4430000000000001</v>
      </c>
      <c r="D1169" s="3">
        <v>140.4</v>
      </c>
      <c r="E1169" s="3">
        <v>95.18</v>
      </c>
      <c r="F1169" s="3">
        <v>29.44</v>
      </c>
      <c r="G1169" s="3">
        <v>511.7</v>
      </c>
      <c r="H1169" s="3">
        <v>1.796</v>
      </c>
      <c r="I1169" s="13">
        <f t="shared" si="18"/>
        <v>3.2330163043478262</v>
      </c>
    </row>
    <row r="1170" spans="2:9">
      <c r="C1170" s="46">
        <v>1.444</v>
      </c>
      <c r="D1170" s="3">
        <v>76.2</v>
      </c>
      <c r="E1170" s="3">
        <v>95.04</v>
      </c>
      <c r="F1170" s="3">
        <v>29.25</v>
      </c>
      <c r="G1170" s="3">
        <v>511.2</v>
      </c>
      <c r="H1170" s="3">
        <v>1.786</v>
      </c>
      <c r="I1170" s="13">
        <f t="shared" si="18"/>
        <v>3.2492307692307696</v>
      </c>
    </row>
    <row r="1171" spans="2:9">
      <c r="C1171" s="46">
        <v>1.4490000000000001</v>
      </c>
      <c r="D1171" s="3">
        <v>106.8</v>
      </c>
      <c r="E1171" s="3">
        <v>95.25</v>
      </c>
      <c r="F1171" s="3">
        <v>28.96</v>
      </c>
      <c r="G1171" s="3">
        <v>507.3</v>
      </c>
      <c r="H1171" s="3">
        <v>1.7490000000000001</v>
      </c>
      <c r="I1171" s="13">
        <f t="shared" si="18"/>
        <v>3.2890193370165743</v>
      </c>
    </row>
    <row r="1172" spans="2:9">
      <c r="C1172" s="46">
        <v>1.4410000000000001</v>
      </c>
      <c r="D1172" s="3">
        <v>98.1</v>
      </c>
      <c r="E1172" s="3">
        <v>95.64</v>
      </c>
      <c r="F1172" s="3">
        <v>29.51</v>
      </c>
      <c r="G1172" s="3">
        <v>507.2</v>
      </c>
      <c r="H1172" s="3">
        <v>1.7809999999999999</v>
      </c>
      <c r="I1172" s="13">
        <f t="shared" si="18"/>
        <v>3.2409352761775669</v>
      </c>
    </row>
    <row r="1173" spans="2:9">
      <c r="C1173" s="46">
        <v>1.4239999999999999</v>
      </c>
      <c r="D1173" s="3">
        <v>95.7</v>
      </c>
      <c r="E1173" s="3">
        <v>95.57</v>
      </c>
      <c r="F1173" s="3">
        <v>29.45</v>
      </c>
      <c r="G1173" s="3">
        <v>507.5</v>
      </c>
      <c r="H1173" s="3">
        <v>1.7330000000000001</v>
      </c>
      <c r="I1173" s="13">
        <f t="shared" si="18"/>
        <v>3.2451612903225806</v>
      </c>
    </row>
    <row r="1174" spans="2:9">
      <c r="C1174" s="46">
        <v>1.4039999999999999</v>
      </c>
      <c r="D1174" s="3">
        <v>148.6</v>
      </c>
      <c r="E1174" s="3">
        <v>95.18</v>
      </c>
      <c r="F1174" s="3">
        <v>29.43</v>
      </c>
      <c r="G1174" s="3">
        <v>509.3</v>
      </c>
      <c r="H1174" s="3">
        <v>1.7649999999999999</v>
      </c>
      <c r="I1174" s="13">
        <f t="shared" ref="I1174:I1237" si="19">E1174/F1174</f>
        <v>3.2341148487937481</v>
      </c>
    </row>
    <row r="1175" spans="2:9">
      <c r="C1175" s="46">
        <v>1.375</v>
      </c>
      <c r="D1175" s="3">
        <v>140.4</v>
      </c>
      <c r="E1175" s="3">
        <v>95.35</v>
      </c>
      <c r="F1175" s="3">
        <v>29.28</v>
      </c>
      <c r="G1175" s="3">
        <v>511.5</v>
      </c>
      <c r="H1175" s="3">
        <v>1.7470000000000001</v>
      </c>
      <c r="I1175" s="13">
        <f t="shared" si="19"/>
        <v>3.256489071038251</v>
      </c>
    </row>
    <row r="1176" spans="2:9">
      <c r="C1176" s="46">
        <v>1.4410000000000001</v>
      </c>
      <c r="D1176" s="3">
        <v>75.7</v>
      </c>
      <c r="E1176" s="3">
        <v>95.08</v>
      </c>
      <c r="F1176" s="3">
        <v>29.04</v>
      </c>
      <c r="G1176" s="3">
        <v>511.1</v>
      </c>
      <c r="H1176" s="3">
        <v>1.72</v>
      </c>
      <c r="I1176" s="13">
        <f t="shared" si="19"/>
        <v>3.2741046831955924</v>
      </c>
    </row>
    <row r="1177" spans="2:9">
      <c r="C1177" s="46">
        <v>1.4490000000000001</v>
      </c>
      <c r="D1177" s="3">
        <v>112.8</v>
      </c>
      <c r="E1177" s="3">
        <v>95.14</v>
      </c>
      <c r="F1177" s="3">
        <v>28.93</v>
      </c>
      <c r="G1177" s="3">
        <v>509.4</v>
      </c>
      <c r="H1177" s="3">
        <v>1.7330000000000001</v>
      </c>
      <c r="I1177" s="13">
        <f t="shared" si="19"/>
        <v>3.288627722087798</v>
      </c>
    </row>
    <row r="1178" spans="2:9">
      <c r="C1178" s="46">
        <v>1.4470000000000001</v>
      </c>
      <c r="D1178" s="3">
        <v>133.30000000000001</v>
      </c>
      <c r="E1178" s="3">
        <v>95.35</v>
      </c>
      <c r="F1178" s="3">
        <v>29.54</v>
      </c>
      <c r="G1178" s="3">
        <v>507.3</v>
      </c>
      <c r="H1178" s="3">
        <v>1.7490000000000001</v>
      </c>
      <c r="I1178" s="13">
        <f t="shared" si="19"/>
        <v>3.227826675693974</v>
      </c>
    </row>
    <row r="1179" spans="2:9">
      <c r="C1179" s="46">
        <v>1.4430000000000001</v>
      </c>
      <c r="D1179" s="3">
        <v>154.1</v>
      </c>
      <c r="E1179" s="3">
        <v>95.45</v>
      </c>
      <c r="F1179" s="3">
        <v>29.73</v>
      </c>
      <c r="G1179" s="3">
        <v>508.6</v>
      </c>
      <c r="H1179" s="3">
        <v>1.76</v>
      </c>
      <c r="I1179" s="13">
        <f t="shared" si="19"/>
        <v>3.2105617221661622</v>
      </c>
    </row>
    <row r="1180" spans="2:9">
      <c r="C1180" s="46">
        <v>1.4159999999999999</v>
      </c>
      <c r="D1180" s="3">
        <v>148.6</v>
      </c>
      <c r="E1180" s="3">
        <v>95.37</v>
      </c>
      <c r="F1180" s="3">
        <v>29.2</v>
      </c>
      <c r="G1180" s="3">
        <v>510.6</v>
      </c>
      <c r="H1180" s="3">
        <v>1.774</v>
      </c>
      <c r="I1180" s="13">
        <f t="shared" si="19"/>
        <v>3.2660958904109592</v>
      </c>
    </row>
    <row r="1181" spans="2:9">
      <c r="C1181" s="46">
        <v>1.4039999999999999</v>
      </c>
      <c r="D1181" s="3">
        <v>123</v>
      </c>
      <c r="E1181" s="3">
        <v>95.78</v>
      </c>
      <c r="F1181" s="3">
        <v>29.58</v>
      </c>
      <c r="G1181" s="3">
        <v>508.8</v>
      </c>
      <c r="H1181" s="3">
        <v>1.7949999999999999</v>
      </c>
      <c r="I1181" s="13">
        <f t="shared" si="19"/>
        <v>3.2379986477349565</v>
      </c>
    </row>
    <row r="1182" spans="2:9">
      <c r="B1182" s="16">
        <v>60</v>
      </c>
      <c r="C1182" s="47">
        <v>2.1920000000000002</v>
      </c>
      <c r="D1182" s="16">
        <v>70.599999999999994</v>
      </c>
      <c r="E1182" s="16">
        <v>76.989999999999995</v>
      </c>
      <c r="F1182" s="16">
        <v>38.520000000000003</v>
      </c>
      <c r="G1182" s="16">
        <v>526.70000000000005</v>
      </c>
      <c r="H1182" s="16">
        <v>2.0339999999999998</v>
      </c>
      <c r="I1182" s="13">
        <f t="shared" si="19"/>
        <v>1.998701973001038</v>
      </c>
    </row>
    <row r="1183" spans="2:9">
      <c r="C1183" s="46">
        <v>2.1760000000000002</v>
      </c>
      <c r="D1183" s="3">
        <v>75.599999999999994</v>
      </c>
      <c r="E1183" s="3">
        <v>76.97</v>
      </c>
      <c r="F1183" s="3">
        <v>37.659999999999997</v>
      </c>
      <c r="G1183" s="3">
        <v>530.20000000000005</v>
      </c>
      <c r="H1183" s="3">
        <v>2.0459999999999998</v>
      </c>
      <c r="I1183" s="13">
        <f t="shared" si="19"/>
        <v>2.0438130642591612</v>
      </c>
    </row>
    <row r="1184" spans="2:9">
      <c r="C1184" s="46">
        <v>2.1869999999999998</v>
      </c>
      <c r="D1184" s="3">
        <v>84.91</v>
      </c>
      <c r="E1184" s="3">
        <v>76.849999999999994</v>
      </c>
      <c r="F1184" s="3">
        <v>37.630000000000003</v>
      </c>
      <c r="G1184" s="3">
        <v>529.29999999999995</v>
      </c>
      <c r="H1184" s="3">
        <v>2.077</v>
      </c>
      <c r="I1184" s="13">
        <f t="shared" si="19"/>
        <v>2.0422535211267601</v>
      </c>
    </row>
    <row r="1185" spans="3:9">
      <c r="C1185" s="46">
        <v>2.1629999999999998</v>
      </c>
      <c r="D1185" s="3">
        <v>101.9</v>
      </c>
      <c r="E1185" s="3">
        <v>76.73</v>
      </c>
      <c r="F1185" s="3">
        <v>37.78</v>
      </c>
      <c r="G1185" s="3">
        <v>530.20000000000005</v>
      </c>
      <c r="H1185" s="3">
        <v>2.0609999999999999</v>
      </c>
      <c r="I1185" s="13">
        <f t="shared" si="19"/>
        <v>2.0309687665431446</v>
      </c>
    </row>
    <row r="1186" spans="3:9">
      <c r="C1186" s="46">
        <v>2.1869999999999998</v>
      </c>
      <c r="D1186" s="3">
        <v>90.61</v>
      </c>
      <c r="E1186" s="3">
        <v>76.67</v>
      </c>
      <c r="F1186" s="3">
        <v>37.200000000000003</v>
      </c>
      <c r="G1186" s="3">
        <v>537</v>
      </c>
      <c r="H1186" s="3">
        <v>2.1059999999999999</v>
      </c>
      <c r="I1186" s="13">
        <f t="shared" si="19"/>
        <v>2.0610215053763441</v>
      </c>
    </row>
    <row r="1187" spans="3:9">
      <c r="C1187" s="46">
        <v>2.1760000000000002</v>
      </c>
      <c r="D1187" s="3">
        <v>75.33</v>
      </c>
      <c r="E1187" s="3">
        <v>76.569999999999993</v>
      </c>
      <c r="F1187" s="3">
        <v>37.369999999999997</v>
      </c>
      <c r="G1187" s="3">
        <v>548.29999999999995</v>
      </c>
      <c r="H1187" s="3">
        <v>2.0470000000000002</v>
      </c>
      <c r="I1187" s="13">
        <f t="shared" si="19"/>
        <v>2.048969761841049</v>
      </c>
    </row>
    <row r="1188" spans="3:9">
      <c r="C1188" s="46">
        <v>2.1669999999999998</v>
      </c>
      <c r="D1188" s="3">
        <v>80.55</v>
      </c>
      <c r="E1188" s="3">
        <v>76.87</v>
      </c>
      <c r="F1188" s="3">
        <v>37.119999999999997</v>
      </c>
      <c r="G1188" s="3">
        <v>535.4</v>
      </c>
      <c r="H1188" s="3">
        <v>1.994</v>
      </c>
      <c r="I1188" s="13">
        <f t="shared" si="19"/>
        <v>2.0708512931034484</v>
      </c>
    </row>
    <row r="1189" spans="3:9">
      <c r="C1189" s="46">
        <v>2.1819999999999999</v>
      </c>
      <c r="D1189" s="3">
        <v>84.91</v>
      </c>
      <c r="E1189" s="3">
        <v>76.92</v>
      </c>
      <c r="F1189" s="3">
        <v>37</v>
      </c>
      <c r="G1189" s="3">
        <v>537.5</v>
      </c>
      <c r="H1189" s="3">
        <v>1.92</v>
      </c>
      <c r="I1189" s="13">
        <f t="shared" si="19"/>
        <v>2.078918918918919</v>
      </c>
    </row>
    <row r="1190" spans="3:9">
      <c r="C1190" s="46">
        <v>2.1419999999999999</v>
      </c>
      <c r="D1190" s="3">
        <v>101.6</v>
      </c>
      <c r="E1190" s="3">
        <v>77.05</v>
      </c>
      <c r="F1190" s="3">
        <v>36.880000000000003</v>
      </c>
      <c r="G1190" s="3">
        <v>533.5</v>
      </c>
      <c r="H1190" s="3">
        <v>2.0019999999999998</v>
      </c>
      <c r="I1190" s="13">
        <f t="shared" si="19"/>
        <v>2.0892082429501082</v>
      </c>
    </row>
    <row r="1191" spans="3:9">
      <c r="C1191" s="46">
        <v>2.1110000000000002</v>
      </c>
      <c r="D1191" s="3">
        <v>90.6</v>
      </c>
      <c r="E1191" s="3">
        <v>76.89</v>
      </c>
      <c r="F1191" s="3">
        <v>37.29</v>
      </c>
      <c r="G1191" s="3">
        <v>525.1</v>
      </c>
      <c r="H1191" s="3">
        <v>2.0459999999999998</v>
      </c>
      <c r="I1191" s="13">
        <f t="shared" si="19"/>
        <v>2.0619469026548671</v>
      </c>
    </row>
    <row r="1192" spans="3:9">
      <c r="C1192" s="46">
        <v>2.0699999999999998</v>
      </c>
      <c r="D1192" s="3">
        <v>74.89</v>
      </c>
      <c r="E1192" s="3">
        <v>76.86</v>
      </c>
      <c r="F1192" s="3">
        <v>37.29</v>
      </c>
      <c r="G1192" s="3">
        <v>519.70000000000005</v>
      </c>
      <c r="H1192" s="3">
        <v>1.8640000000000001</v>
      </c>
      <c r="I1192" s="13">
        <f t="shared" si="19"/>
        <v>2.0611423974255834</v>
      </c>
    </row>
    <row r="1193" spans="3:9">
      <c r="C1193" s="46">
        <v>2.1030000000000002</v>
      </c>
      <c r="D1193" s="3">
        <v>68.95</v>
      </c>
      <c r="E1193" s="3">
        <v>76.83</v>
      </c>
      <c r="F1193" s="3">
        <v>37.15</v>
      </c>
      <c r="G1193" s="3">
        <v>522.70000000000005</v>
      </c>
      <c r="H1193" s="3">
        <v>1.8979999999999999</v>
      </c>
      <c r="I1193" s="13">
        <f t="shared" si="19"/>
        <v>2.0681022880215343</v>
      </c>
    </row>
    <row r="1194" spans="3:9">
      <c r="C1194" s="46">
        <v>2.133</v>
      </c>
      <c r="D1194" s="3">
        <v>59.31</v>
      </c>
      <c r="E1194" s="3">
        <v>76.81</v>
      </c>
      <c r="F1194" s="3">
        <v>37.83</v>
      </c>
      <c r="G1194" s="3">
        <v>527.29999999999995</v>
      </c>
      <c r="H1194" s="3">
        <v>1.9590000000000001</v>
      </c>
      <c r="I1194" s="13">
        <f t="shared" si="19"/>
        <v>2.0303991541104947</v>
      </c>
    </row>
    <row r="1195" spans="3:9">
      <c r="C1195" s="46">
        <v>2.1549999999999998</v>
      </c>
      <c r="D1195" s="3">
        <v>67.27</v>
      </c>
      <c r="E1195" s="3">
        <v>77.37</v>
      </c>
      <c r="F1195" s="3">
        <v>37.71</v>
      </c>
      <c r="G1195" s="3">
        <v>530.9</v>
      </c>
      <c r="H1195" s="3">
        <v>2.04</v>
      </c>
      <c r="I1195" s="13">
        <f t="shared" si="19"/>
        <v>2.0517104216388224</v>
      </c>
    </row>
    <row r="1196" spans="3:9">
      <c r="C1196" s="46">
        <v>2.1680000000000001</v>
      </c>
      <c r="D1196" s="3">
        <v>75.33</v>
      </c>
      <c r="E1196" s="3">
        <v>76.78</v>
      </c>
      <c r="F1196" s="3">
        <v>37.270000000000003</v>
      </c>
      <c r="G1196" s="3">
        <v>532</v>
      </c>
      <c r="H1196" s="3">
        <v>1.9590000000000001</v>
      </c>
      <c r="I1196" s="13">
        <f t="shared" si="19"/>
        <v>2.0601019586799034</v>
      </c>
    </row>
    <row r="1197" spans="3:9">
      <c r="C1197" s="46">
        <v>2.1760000000000002</v>
      </c>
      <c r="D1197" s="3">
        <v>83.55</v>
      </c>
      <c r="E1197" s="3">
        <v>76.81</v>
      </c>
      <c r="F1197" s="3">
        <v>37.68</v>
      </c>
      <c r="G1197" s="3">
        <v>531.4</v>
      </c>
      <c r="H1197" s="3">
        <v>1.8660000000000001</v>
      </c>
      <c r="I1197" s="13">
        <f t="shared" si="19"/>
        <v>2.0384819532908707</v>
      </c>
    </row>
    <row r="1198" spans="3:9">
      <c r="C1198" s="46">
        <v>2.1749999999999998</v>
      </c>
      <c r="D1198" s="3">
        <v>80.55</v>
      </c>
      <c r="E1198" s="3">
        <v>76.989999999999995</v>
      </c>
      <c r="F1198" s="3">
        <v>37.53</v>
      </c>
      <c r="G1198" s="3">
        <v>526.29999999999995</v>
      </c>
      <c r="H1198" s="3">
        <v>1.768</v>
      </c>
      <c r="I1198" s="13">
        <f t="shared" si="19"/>
        <v>2.0514255262456698</v>
      </c>
    </row>
    <row r="1199" spans="3:9">
      <c r="C1199" s="46">
        <v>2.194</v>
      </c>
      <c r="D1199" s="3">
        <v>82.23</v>
      </c>
      <c r="E1199" s="3">
        <v>76.53</v>
      </c>
      <c r="F1199" s="3">
        <v>37.83</v>
      </c>
      <c r="G1199" s="3">
        <v>522.9</v>
      </c>
      <c r="H1199" s="3">
        <v>1.7729999999999999</v>
      </c>
      <c r="I1199" s="13">
        <f t="shared" si="19"/>
        <v>2.0229976209357652</v>
      </c>
    </row>
    <row r="1200" spans="3:9">
      <c r="C1200" s="46">
        <v>2.1869999999999998</v>
      </c>
      <c r="D1200" s="3">
        <v>84.91</v>
      </c>
      <c r="E1200" s="3">
        <v>76.72</v>
      </c>
      <c r="F1200" s="3">
        <v>37.56</v>
      </c>
      <c r="G1200" s="3">
        <v>522.70000000000005</v>
      </c>
      <c r="H1200" s="3">
        <v>1.8320000000000001</v>
      </c>
      <c r="I1200" s="13">
        <f t="shared" si="19"/>
        <v>2.042598509052183</v>
      </c>
    </row>
    <row r="1201" spans="2:9">
      <c r="C1201" s="46">
        <v>2.1680000000000001</v>
      </c>
      <c r="D1201" s="3">
        <v>90.63</v>
      </c>
      <c r="E1201" s="3">
        <v>76.91</v>
      </c>
      <c r="F1201" s="3">
        <v>37.119999999999997</v>
      </c>
      <c r="G1201" s="3">
        <v>525.20000000000005</v>
      </c>
      <c r="H1201" s="3">
        <v>1.7729999999999999</v>
      </c>
      <c r="I1201" s="13">
        <f t="shared" si="19"/>
        <v>2.0719288793103448</v>
      </c>
    </row>
    <row r="1202" spans="2:9">
      <c r="B1202" s="16">
        <v>61</v>
      </c>
      <c r="C1202" s="47">
        <v>1.889</v>
      </c>
      <c r="D1202" s="16">
        <v>110.8</v>
      </c>
      <c r="E1202" s="16">
        <v>115.7</v>
      </c>
      <c r="F1202" s="16">
        <v>52.14</v>
      </c>
      <c r="G1202" s="16">
        <v>592.1</v>
      </c>
      <c r="H1202" s="16">
        <v>1.2969999999999999</v>
      </c>
      <c r="I1202" s="13">
        <f t="shared" si="19"/>
        <v>2.2190257000383582</v>
      </c>
    </row>
    <row r="1203" spans="2:9">
      <c r="C1203" s="46">
        <v>1.9039999999999999</v>
      </c>
      <c r="D1203" s="3">
        <v>141.30000000000001</v>
      </c>
      <c r="E1203" s="3">
        <v>116.2</v>
      </c>
      <c r="F1203" s="3">
        <v>51.89</v>
      </c>
      <c r="G1203" s="3">
        <v>585.9</v>
      </c>
      <c r="H1203" s="3">
        <v>1.373</v>
      </c>
      <c r="I1203" s="13">
        <f t="shared" si="19"/>
        <v>2.2393524763923685</v>
      </c>
    </row>
    <row r="1204" spans="2:9">
      <c r="C1204" s="46">
        <v>1.9079999999999999</v>
      </c>
      <c r="D1204" s="3">
        <v>114.8</v>
      </c>
      <c r="E1204" s="3">
        <v>115.9</v>
      </c>
      <c r="F1204" s="3">
        <v>52.56</v>
      </c>
      <c r="G1204" s="3">
        <v>590.6</v>
      </c>
      <c r="H1204" s="3">
        <v>1.377</v>
      </c>
      <c r="I1204" s="13">
        <f t="shared" si="19"/>
        <v>2.2050989345509895</v>
      </c>
    </row>
    <row r="1205" spans="2:9">
      <c r="C1205" s="46">
        <v>1.9</v>
      </c>
      <c r="D1205" s="3">
        <v>80.8</v>
      </c>
      <c r="E1205" s="3">
        <v>115.6</v>
      </c>
      <c r="F1205" s="3">
        <v>52.58</v>
      </c>
      <c r="G1205" s="3">
        <v>588.5</v>
      </c>
      <c r="H1205" s="3">
        <v>1.546</v>
      </c>
      <c r="I1205" s="13">
        <f t="shared" si="19"/>
        <v>2.1985545834918221</v>
      </c>
    </row>
    <row r="1206" spans="2:9">
      <c r="C1206" s="46">
        <v>1.8919999999999999</v>
      </c>
      <c r="D1206" s="3">
        <v>124</v>
      </c>
      <c r="E1206" s="3">
        <v>115.3</v>
      </c>
      <c r="F1206" s="3">
        <v>51.11</v>
      </c>
      <c r="G1206" s="3">
        <v>592</v>
      </c>
      <c r="H1206" s="3">
        <v>1.62</v>
      </c>
      <c r="I1206" s="13">
        <f t="shared" si="19"/>
        <v>2.2559186069262376</v>
      </c>
    </row>
    <row r="1207" spans="2:9">
      <c r="C1207" s="46">
        <v>1.89</v>
      </c>
      <c r="D1207" s="3">
        <v>141.30000000000001</v>
      </c>
      <c r="E1207" s="3">
        <v>115.6</v>
      </c>
      <c r="F1207" s="3">
        <v>51.74</v>
      </c>
      <c r="G1207" s="3">
        <v>604</v>
      </c>
      <c r="H1207" s="3">
        <v>1.292</v>
      </c>
      <c r="I1207" s="13">
        <f t="shared" si="19"/>
        <v>2.2342481638964049</v>
      </c>
    </row>
    <row r="1208" spans="2:9">
      <c r="C1208" s="46">
        <v>1.8740000000000001</v>
      </c>
      <c r="D1208" s="3">
        <v>170.8</v>
      </c>
      <c r="E1208" s="3">
        <v>115.7</v>
      </c>
      <c r="F1208" s="3">
        <v>51.28</v>
      </c>
      <c r="G1208" s="3">
        <v>597.79999999999995</v>
      </c>
      <c r="H1208" s="3">
        <v>1.25</v>
      </c>
      <c r="I1208" s="13">
        <f t="shared" si="19"/>
        <v>2.2562402496099843</v>
      </c>
    </row>
    <row r="1209" spans="2:9">
      <c r="C1209" s="46">
        <v>1.889</v>
      </c>
      <c r="D1209" s="3">
        <v>125.2</v>
      </c>
      <c r="E1209" s="3">
        <v>115.9</v>
      </c>
      <c r="F1209" s="3">
        <v>51.84</v>
      </c>
      <c r="G1209" s="3">
        <v>607.79999999999995</v>
      </c>
      <c r="H1209" s="3">
        <v>1.2769999999999999</v>
      </c>
      <c r="I1209" s="13">
        <f t="shared" si="19"/>
        <v>2.2357253086419751</v>
      </c>
    </row>
    <row r="1210" spans="2:9">
      <c r="C1210" s="46">
        <v>1.9</v>
      </c>
      <c r="D1210" s="3">
        <v>86.7</v>
      </c>
      <c r="E1210" s="3">
        <v>115.9</v>
      </c>
      <c r="F1210" s="3">
        <v>51.95</v>
      </c>
      <c r="G1210" s="3">
        <v>602.9</v>
      </c>
      <c r="H1210" s="3">
        <v>1.3360000000000001</v>
      </c>
      <c r="I1210" s="13">
        <f t="shared" si="19"/>
        <v>2.2309913378248316</v>
      </c>
    </row>
    <row r="1211" spans="2:9">
      <c r="C1211" s="46">
        <v>1.905</v>
      </c>
      <c r="D1211" s="3">
        <v>121.2</v>
      </c>
      <c r="E1211" s="3">
        <v>116.5</v>
      </c>
      <c r="F1211" s="3">
        <v>51.7</v>
      </c>
      <c r="G1211" s="3">
        <v>605.5</v>
      </c>
      <c r="H1211" s="3">
        <v>1.2669999999999999</v>
      </c>
      <c r="I1211" s="13">
        <f t="shared" si="19"/>
        <v>2.253384912959381</v>
      </c>
    </row>
    <row r="1212" spans="2:9">
      <c r="C1212" s="46">
        <v>1.9019999999999999</v>
      </c>
      <c r="D1212" s="3">
        <v>79.400000000000006</v>
      </c>
      <c r="E1212" s="3">
        <v>116.1</v>
      </c>
      <c r="F1212" s="3">
        <v>52.01</v>
      </c>
      <c r="G1212" s="3">
        <v>597.5</v>
      </c>
      <c r="H1212" s="3">
        <v>1.2989999999999999</v>
      </c>
      <c r="I1212" s="13">
        <f t="shared" si="19"/>
        <v>2.2322630263410881</v>
      </c>
    </row>
    <row r="1213" spans="2:9">
      <c r="C1213" s="46">
        <v>1.8959999999999999</v>
      </c>
      <c r="D1213" s="3">
        <v>121.2</v>
      </c>
      <c r="E1213" s="3">
        <v>115.8</v>
      </c>
      <c r="F1213" s="3">
        <v>52.69</v>
      </c>
      <c r="G1213" s="3">
        <v>586.70000000000005</v>
      </c>
      <c r="H1213" s="3">
        <v>1.33</v>
      </c>
      <c r="I1213" s="13">
        <f t="shared" si="19"/>
        <v>2.1977604858606945</v>
      </c>
    </row>
    <row r="1214" spans="2:9">
      <c r="C1214" s="46">
        <v>1.879</v>
      </c>
      <c r="D1214" s="3">
        <v>183</v>
      </c>
      <c r="E1214" s="3">
        <v>115.9</v>
      </c>
      <c r="F1214" s="3">
        <v>52.44</v>
      </c>
      <c r="G1214" s="3">
        <v>595.4</v>
      </c>
      <c r="H1214" s="3">
        <v>1.3069999999999999</v>
      </c>
      <c r="I1214" s="13">
        <f t="shared" si="19"/>
        <v>2.2101449275362319</v>
      </c>
    </row>
    <row r="1215" spans="2:9">
      <c r="C1215" s="46">
        <v>1.8560000000000001</v>
      </c>
      <c r="D1215" s="3">
        <v>133.80000000000001</v>
      </c>
      <c r="E1215" s="3">
        <v>115.7</v>
      </c>
      <c r="F1215" s="3">
        <v>52.38</v>
      </c>
      <c r="G1215" s="3">
        <v>587.6</v>
      </c>
      <c r="H1215" s="3">
        <v>1.3120000000000001</v>
      </c>
      <c r="I1215" s="13">
        <f t="shared" si="19"/>
        <v>2.2088583428789614</v>
      </c>
    </row>
    <row r="1216" spans="2:9">
      <c r="C1216" s="46">
        <v>1.897</v>
      </c>
      <c r="D1216" s="3">
        <v>141.30000000000001</v>
      </c>
      <c r="E1216" s="3">
        <v>115.6</v>
      </c>
      <c r="F1216" s="3">
        <v>51.82</v>
      </c>
      <c r="G1216" s="3">
        <v>594.1</v>
      </c>
      <c r="H1216" s="3">
        <v>1.373</v>
      </c>
      <c r="I1216" s="13">
        <f t="shared" si="19"/>
        <v>2.2307989193361637</v>
      </c>
    </row>
    <row r="1217" spans="2:36">
      <c r="C1217" s="46">
        <v>1.9039999999999999</v>
      </c>
      <c r="D1217" s="3">
        <v>144</v>
      </c>
      <c r="E1217" s="3">
        <v>115.3</v>
      </c>
      <c r="F1217" s="3">
        <v>52.56</v>
      </c>
      <c r="G1217" s="3">
        <v>591.4</v>
      </c>
      <c r="H1217" s="3">
        <v>1.45</v>
      </c>
      <c r="I1217" s="13">
        <f t="shared" si="19"/>
        <v>2.1936834094368338</v>
      </c>
    </row>
    <row r="1218" spans="2:36">
      <c r="C1218" s="46">
        <v>1.903</v>
      </c>
      <c r="D1218" s="3">
        <v>137.30000000000001</v>
      </c>
      <c r="E1218" s="3">
        <v>115.8</v>
      </c>
      <c r="F1218" s="3">
        <v>52.75</v>
      </c>
      <c r="G1218" s="3">
        <v>597.79999999999995</v>
      </c>
      <c r="H1218" s="3">
        <v>1.2669999999999999</v>
      </c>
      <c r="I1218" s="13">
        <f t="shared" si="19"/>
        <v>2.195260663507109</v>
      </c>
    </row>
    <row r="1219" spans="2:36">
      <c r="C1219" s="46">
        <v>1.8919999999999999</v>
      </c>
      <c r="D1219" s="3">
        <v>110.8</v>
      </c>
      <c r="E1219" s="3">
        <v>115.5</v>
      </c>
      <c r="F1219" s="3">
        <v>52.03</v>
      </c>
      <c r="G1219" s="3">
        <v>601.29999999999995</v>
      </c>
      <c r="H1219" s="3">
        <v>1.2969999999999999</v>
      </c>
      <c r="I1219" s="13">
        <f t="shared" si="19"/>
        <v>2.2198731501057081</v>
      </c>
    </row>
    <row r="1220" spans="2:36">
      <c r="C1220" s="46">
        <v>1.8919999999999999</v>
      </c>
      <c r="D1220" s="3">
        <v>83.5</v>
      </c>
      <c r="E1220" s="3">
        <v>115.2</v>
      </c>
      <c r="F1220" s="3">
        <v>52.38</v>
      </c>
      <c r="G1220" s="3">
        <v>590.9</v>
      </c>
      <c r="H1220" s="3">
        <v>1.512</v>
      </c>
      <c r="I1220" s="13">
        <f t="shared" si="19"/>
        <v>2.199312714776632</v>
      </c>
    </row>
    <row r="1221" spans="2:36">
      <c r="C1221" s="46">
        <v>1.8859999999999999</v>
      </c>
      <c r="D1221" s="3">
        <v>75.400000000000006</v>
      </c>
      <c r="E1221" s="3">
        <v>115.6</v>
      </c>
      <c r="F1221" s="3">
        <v>51.82</v>
      </c>
      <c r="G1221" s="3">
        <v>589.4</v>
      </c>
      <c r="H1221" s="3">
        <v>1.292</v>
      </c>
      <c r="I1221" s="13">
        <f t="shared" si="19"/>
        <v>2.2307989193361637</v>
      </c>
    </row>
    <row r="1222" spans="2:36" s="35" customFormat="1">
      <c r="B1222" s="16">
        <v>62</v>
      </c>
      <c r="C1222" s="47">
        <v>1.788</v>
      </c>
      <c r="D1222" s="16">
        <v>80.7</v>
      </c>
      <c r="E1222" s="16">
        <v>100.2</v>
      </c>
      <c r="F1222" s="16">
        <v>29.210999999999999</v>
      </c>
      <c r="G1222" s="16">
        <v>506.7</v>
      </c>
      <c r="H1222" s="16">
        <v>3.3079999999999998</v>
      </c>
      <c r="I1222" s="13">
        <f t="shared" si="19"/>
        <v>3.4302146451679163</v>
      </c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</row>
    <row r="1223" spans="2:36">
      <c r="C1223" s="46">
        <v>1.78</v>
      </c>
      <c r="D1223" s="3">
        <v>113.8</v>
      </c>
      <c r="E1223" s="3">
        <v>100.1</v>
      </c>
      <c r="F1223" s="3">
        <v>29.12</v>
      </c>
      <c r="G1223" s="3">
        <v>506.1</v>
      </c>
      <c r="H1223" s="3">
        <v>3.27</v>
      </c>
      <c r="I1223" s="13">
        <f t="shared" si="19"/>
        <v>3.4374999999999996</v>
      </c>
    </row>
    <row r="1224" spans="2:36">
      <c r="C1224" s="46">
        <v>1.784</v>
      </c>
      <c r="D1224" s="3">
        <v>147</v>
      </c>
      <c r="E1224" s="3">
        <v>99.98</v>
      </c>
      <c r="F1224" s="3">
        <v>28.61</v>
      </c>
      <c r="G1224" s="3">
        <v>508.1</v>
      </c>
      <c r="H1224" s="3">
        <v>3.129</v>
      </c>
      <c r="I1224" s="13">
        <f t="shared" si="19"/>
        <v>3.4945823138762671</v>
      </c>
    </row>
    <row r="1225" spans="2:36">
      <c r="C1225" s="46">
        <v>1.7889999999999999</v>
      </c>
      <c r="D1225" s="3">
        <v>120.9</v>
      </c>
      <c r="E1225" s="3">
        <v>100.3</v>
      </c>
      <c r="F1225" s="3">
        <v>28.88</v>
      </c>
      <c r="G1225" s="3">
        <v>505.1</v>
      </c>
      <c r="H1225" s="3">
        <v>3.4950000000000001</v>
      </c>
      <c r="I1225" s="13">
        <f t="shared" si="19"/>
        <v>3.4729916897506925</v>
      </c>
    </row>
    <row r="1226" spans="2:36">
      <c r="C1226" s="46">
        <v>1.774</v>
      </c>
      <c r="D1226" s="3">
        <v>80.8</v>
      </c>
      <c r="E1226" s="3">
        <v>100.1</v>
      </c>
      <c r="F1226" s="3">
        <v>28.98</v>
      </c>
      <c r="G1226" s="3">
        <v>509</v>
      </c>
      <c r="H1226" s="3">
        <v>3.6019999999999999</v>
      </c>
      <c r="I1226" s="13">
        <f t="shared" si="19"/>
        <v>3.4541062801932365</v>
      </c>
    </row>
    <row r="1227" spans="2:36">
      <c r="C1227" s="46">
        <v>1.7829999999999999</v>
      </c>
      <c r="D1227" s="3">
        <v>124.1</v>
      </c>
      <c r="E1227" s="3">
        <v>99.97</v>
      </c>
      <c r="F1227" s="3">
        <v>28.57</v>
      </c>
      <c r="G1227" s="3">
        <v>508.6</v>
      </c>
      <c r="H1227" s="3">
        <v>3.754</v>
      </c>
      <c r="I1227" s="13">
        <f t="shared" si="19"/>
        <v>3.4991249562478122</v>
      </c>
    </row>
    <row r="1228" spans="2:36">
      <c r="C1228" s="46">
        <v>1.7909999999999999</v>
      </c>
      <c r="D1228" s="3">
        <v>145.1</v>
      </c>
      <c r="E1228" s="3">
        <v>100.1</v>
      </c>
      <c r="F1228" s="3">
        <v>28.52</v>
      </c>
      <c r="G1228" s="3">
        <v>505</v>
      </c>
      <c r="H1228" s="3">
        <v>3.492</v>
      </c>
      <c r="I1228" s="13">
        <f t="shared" si="19"/>
        <v>3.5098176718092566</v>
      </c>
    </row>
    <row r="1229" spans="2:36">
      <c r="C1229" s="46">
        <v>1.774</v>
      </c>
      <c r="D1229" s="3">
        <v>101.3</v>
      </c>
      <c r="E1229" s="3">
        <v>100.5</v>
      </c>
      <c r="F1229" s="3">
        <v>28.69</v>
      </c>
      <c r="G1229" s="3">
        <v>507</v>
      </c>
      <c r="H1229" s="3">
        <v>3.645</v>
      </c>
      <c r="I1229" s="13">
        <f t="shared" si="19"/>
        <v>3.5029627047751828</v>
      </c>
    </row>
    <row r="1230" spans="2:36">
      <c r="C1230" s="46">
        <v>1.7450000000000001</v>
      </c>
      <c r="D1230" s="3">
        <v>164</v>
      </c>
      <c r="E1230" s="3">
        <v>99.87</v>
      </c>
      <c r="F1230" s="3">
        <v>28.78</v>
      </c>
      <c r="G1230" s="3">
        <v>504.9</v>
      </c>
      <c r="H1230" s="3">
        <v>3.49</v>
      </c>
      <c r="I1230" s="13">
        <f t="shared" si="19"/>
        <v>3.4701181375955525</v>
      </c>
    </row>
    <row r="1231" spans="2:36">
      <c r="C1231" s="46">
        <v>1.7589999999999999</v>
      </c>
      <c r="D1231" s="3">
        <v>129.80000000000001</v>
      </c>
      <c r="E1231" s="3">
        <v>99.96</v>
      </c>
      <c r="F1231" s="3">
        <v>28.71</v>
      </c>
      <c r="G1231" s="3">
        <v>506.4</v>
      </c>
      <c r="H1231" s="3">
        <v>3.7589999999999999</v>
      </c>
      <c r="I1231" s="13">
        <f t="shared" si="19"/>
        <v>3.48171368861024</v>
      </c>
    </row>
    <row r="1232" spans="2:36">
      <c r="C1232" s="46">
        <v>1.788</v>
      </c>
      <c r="D1232" s="3">
        <v>132.80000000000001</v>
      </c>
      <c r="E1232" s="3">
        <v>100.3</v>
      </c>
      <c r="F1232" s="3">
        <v>28.77</v>
      </c>
      <c r="G1232" s="3">
        <v>508</v>
      </c>
      <c r="H1232" s="3">
        <v>3.7360000000000002</v>
      </c>
      <c r="I1232" s="13">
        <f t="shared" si="19"/>
        <v>3.4862704205769899</v>
      </c>
    </row>
    <row r="1233" spans="2:36">
      <c r="C1233" s="46">
        <v>1.7709999999999999</v>
      </c>
      <c r="D1233" s="3">
        <v>96.6</v>
      </c>
      <c r="E1233" s="3">
        <v>100</v>
      </c>
      <c r="F1233" s="3">
        <v>28.94</v>
      </c>
      <c r="G1233" s="3">
        <v>509.7</v>
      </c>
      <c r="H1233" s="3">
        <v>3.4350000000000001</v>
      </c>
      <c r="I1233" s="13">
        <f t="shared" si="19"/>
        <v>3.455425017277125</v>
      </c>
    </row>
    <row r="1234" spans="2:36">
      <c r="C1234" s="46">
        <v>1.768</v>
      </c>
      <c r="D1234" s="3">
        <v>115.1</v>
      </c>
      <c r="E1234" s="3">
        <v>99.7</v>
      </c>
      <c r="F1234" s="3">
        <v>28.91</v>
      </c>
      <c r="G1234" s="3">
        <v>508.4</v>
      </c>
      <c r="H1234" s="3">
        <v>3.5880000000000001</v>
      </c>
      <c r="I1234" s="13">
        <f t="shared" si="19"/>
        <v>3.4486336907644413</v>
      </c>
    </row>
    <row r="1235" spans="2:36">
      <c r="C1235" s="46">
        <v>1.7829999999999999</v>
      </c>
      <c r="D1235" s="3">
        <v>111.6</v>
      </c>
      <c r="E1235" s="3">
        <v>99.88</v>
      </c>
      <c r="F1235" s="3">
        <v>28.95</v>
      </c>
      <c r="G1235" s="3">
        <v>506.6</v>
      </c>
      <c r="H1235" s="3">
        <v>3.6680000000000001</v>
      </c>
      <c r="I1235" s="13">
        <f t="shared" si="19"/>
        <v>3.4500863557858374</v>
      </c>
    </row>
    <row r="1236" spans="2:36">
      <c r="C1236" s="46">
        <v>1.79</v>
      </c>
      <c r="D1236" s="3">
        <v>96</v>
      </c>
      <c r="E1236" s="3">
        <v>100.1</v>
      </c>
      <c r="F1236" s="3">
        <v>28.67</v>
      </c>
      <c r="G1236" s="3">
        <v>510.7</v>
      </c>
      <c r="H1236" s="3">
        <v>3.7919999999999998</v>
      </c>
      <c r="I1236" s="13">
        <f t="shared" si="19"/>
        <v>3.4914544820369722</v>
      </c>
    </row>
    <row r="1237" spans="2:36">
      <c r="C1237" s="46">
        <v>1.7809999999999999</v>
      </c>
      <c r="D1237" s="3">
        <v>109.3</v>
      </c>
      <c r="E1237" s="3">
        <v>100.8</v>
      </c>
      <c r="F1237" s="3">
        <v>28.44</v>
      </c>
      <c r="G1237" s="3">
        <v>511.1</v>
      </c>
      <c r="H1237" s="3">
        <v>3.8929999999999998</v>
      </c>
      <c r="I1237" s="13">
        <f t="shared" si="19"/>
        <v>3.5443037974683542</v>
      </c>
    </row>
    <row r="1238" spans="2:36">
      <c r="C1238" s="46">
        <v>1.774</v>
      </c>
      <c r="D1238" s="3">
        <v>172</v>
      </c>
      <c r="E1238" s="3">
        <v>100.6</v>
      </c>
      <c r="F1238" s="3">
        <v>28.61</v>
      </c>
      <c r="G1238" s="3">
        <v>513.20000000000005</v>
      </c>
      <c r="H1238" s="3">
        <v>3.754</v>
      </c>
      <c r="I1238" s="13">
        <f t="shared" ref="I1238:I1301" si="20">E1238/F1238</f>
        <v>3.5162530583711988</v>
      </c>
    </row>
    <row r="1239" spans="2:36">
      <c r="C1239" s="46">
        <v>1.78</v>
      </c>
      <c r="D1239" s="3">
        <v>113.8</v>
      </c>
      <c r="E1239" s="3">
        <v>100.2</v>
      </c>
      <c r="F1239" s="3">
        <v>29.05</v>
      </c>
      <c r="G1239" s="3">
        <v>513.79999999999995</v>
      </c>
      <c r="H1239" s="3">
        <v>3.6059999999999999</v>
      </c>
      <c r="I1239" s="13">
        <f t="shared" si="20"/>
        <v>3.4492254733218588</v>
      </c>
    </row>
    <row r="1240" spans="2:36">
      <c r="C1240" s="46">
        <v>1.7589999999999999</v>
      </c>
      <c r="D1240" s="3">
        <v>130.9</v>
      </c>
      <c r="E1240" s="3">
        <v>100.4</v>
      </c>
      <c r="F1240" s="3">
        <v>28.67</v>
      </c>
      <c r="G1240" s="3">
        <v>515.1</v>
      </c>
      <c r="H1240" s="3">
        <v>3.359</v>
      </c>
      <c r="I1240" s="13">
        <f t="shared" si="20"/>
        <v>3.5019183815835366</v>
      </c>
    </row>
    <row r="1241" spans="2:36">
      <c r="C1241" s="46">
        <v>1.7909999999999999</v>
      </c>
      <c r="D1241" s="3">
        <v>147</v>
      </c>
      <c r="E1241" s="3">
        <v>99.97</v>
      </c>
      <c r="F1241" s="3">
        <v>29.12</v>
      </c>
      <c r="G1241" s="3">
        <v>510</v>
      </c>
      <c r="H1241" s="3">
        <v>3.2669999999999999</v>
      </c>
      <c r="I1241" s="13">
        <f t="shared" si="20"/>
        <v>3.433035714285714</v>
      </c>
    </row>
    <row r="1242" spans="2:36" s="35" customFormat="1">
      <c r="B1242" s="16">
        <v>63</v>
      </c>
      <c r="C1242" s="47">
        <v>2.2890000000000001</v>
      </c>
      <c r="D1242" s="16">
        <v>132.30000000000001</v>
      </c>
      <c r="E1242" s="16">
        <v>93.07</v>
      </c>
      <c r="F1242" s="16">
        <v>30.38</v>
      </c>
      <c r="G1242" s="16">
        <v>523.4</v>
      </c>
      <c r="H1242" s="16">
        <v>2.23</v>
      </c>
      <c r="I1242" s="13">
        <f t="shared" si="20"/>
        <v>3.0635286372613559</v>
      </c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</row>
    <row r="1243" spans="2:36">
      <c r="C1243" s="46">
        <v>2.294</v>
      </c>
      <c r="D1243" s="3">
        <v>122.2</v>
      </c>
      <c r="E1243" s="3">
        <v>92.67</v>
      </c>
      <c r="F1243" s="3">
        <v>29.99</v>
      </c>
      <c r="G1243" s="3">
        <v>520.4</v>
      </c>
      <c r="H1243" s="3">
        <v>2.4119999999999999</v>
      </c>
      <c r="I1243" s="13">
        <f t="shared" si="20"/>
        <v>3.0900300100033347</v>
      </c>
    </row>
    <row r="1244" spans="2:36">
      <c r="C1244" s="46">
        <v>2.3199999999999998</v>
      </c>
      <c r="D1244" s="3">
        <v>98.72</v>
      </c>
      <c r="E1244" s="3">
        <v>92.61</v>
      </c>
      <c r="F1244" s="3">
        <v>29.83</v>
      </c>
      <c r="G1244" s="3">
        <v>521.4</v>
      </c>
      <c r="H1244" s="3">
        <v>2.492</v>
      </c>
      <c r="I1244" s="13">
        <f t="shared" si="20"/>
        <v>3.1045926919208853</v>
      </c>
    </row>
    <row r="1245" spans="2:36">
      <c r="C1245" s="46">
        <v>2.3029999999999999</v>
      </c>
      <c r="D1245" s="3">
        <v>96.76</v>
      </c>
      <c r="E1245" s="3">
        <v>92.69</v>
      </c>
      <c r="F1245" s="3">
        <v>30.03</v>
      </c>
      <c r="G1245" s="3">
        <v>524.20000000000005</v>
      </c>
      <c r="H1245" s="3">
        <v>2.589</v>
      </c>
      <c r="I1245" s="13">
        <f t="shared" si="20"/>
        <v>3.0865800865800863</v>
      </c>
    </row>
    <row r="1246" spans="2:36">
      <c r="C1246" s="46">
        <v>2.2879999999999998</v>
      </c>
      <c r="D1246" s="3">
        <v>115.8</v>
      </c>
      <c r="E1246" s="3">
        <v>92.9</v>
      </c>
      <c r="F1246" s="3">
        <v>30.19</v>
      </c>
      <c r="G1246" s="3">
        <v>536</v>
      </c>
      <c r="H1246" s="3">
        <v>2.8050000000000002</v>
      </c>
      <c r="I1246" s="13">
        <f t="shared" si="20"/>
        <v>3.077177873468036</v>
      </c>
    </row>
    <row r="1247" spans="2:36">
      <c r="C1247" s="46">
        <v>2.3119999999999998</v>
      </c>
      <c r="D1247" s="3">
        <v>104.4</v>
      </c>
      <c r="E1247" s="3">
        <v>93.1</v>
      </c>
      <c r="F1247" s="3">
        <v>30.17</v>
      </c>
      <c r="G1247" s="3">
        <v>533.4</v>
      </c>
      <c r="H1247" s="3">
        <v>2.7519999999999998</v>
      </c>
      <c r="I1247" s="13">
        <f t="shared" si="20"/>
        <v>3.0858468677494195</v>
      </c>
    </row>
    <row r="1248" spans="2:36">
      <c r="C1248" s="46">
        <v>2.3140000000000001</v>
      </c>
      <c r="D1248" s="3">
        <v>98.72</v>
      </c>
      <c r="E1248" s="3">
        <v>93.67</v>
      </c>
      <c r="F1248" s="3">
        <v>29.56</v>
      </c>
      <c r="G1248" s="3">
        <v>530.4</v>
      </c>
      <c r="H1248" s="3">
        <v>2.5830000000000002</v>
      </c>
      <c r="I1248" s="13">
        <f t="shared" si="20"/>
        <v>3.1688092016238163</v>
      </c>
    </row>
    <row r="1249" spans="2:36">
      <c r="C1249" s="46">
        <v>2.294</v>
      </c>
      <c r="D1249" s="3">
        <v>122</v>
      </c>
      <c r="E1249" s="3">
        <v>93.03</v>
      </c>
      <c r="F1249" s="3">
        <v>29.59</v>
      </c>
      <c r="G1249" s="3">
        <v>528.29999999999995</v>
      </c>
      <c r="H1249" s="3">
        <v>2.4889999999999999</v>
      </c>
      <c r="I1249" s="13">
        <f t="shared" si="20"/>
        <v>3.1439675566069618</v>
      </c>
    </row>
    <row r="1250" spans="2:36">
      <c r="C1250" s="46">
        <v>2.2930000000000001</v>
      </c>
      <c r="D1250" s="3">
        <v>141.4</v>
      </c>
      <c r="E1250" s="3">
        <v>92.88</v>
      </c>
      <c r="F1250" s="3">
        <v>29.61</v>
      </c>
      <c r="G1250" s="3">
        <v>531.9</v>
      </c>
      <c r="H1250" s="3">
        <v>2.3199999999999998</v>
      </c>
      <c r="I1250" s="13">
        <f t="shared" si="20"/>
        <v>3.1367781155015195</v>
      </c>
    </row>
    <row r="1251" spans="2:36">
      <c r="C1251" s="46">
        <v>2.3149999999999999</v>
      </c>
      <c r="D1251" s="3">
        <v>155.5</v>
      </c>
      <c r="E1251" s="3">
        <v>92.41</v>
      </c>
      <c r="F1251" s="3">
        <v>29.97</v>
      </c>
      <c r="G1251" s="3">
        <v>532.20000000000005</v>
      </c>
      <c r="H1251" s="3">
        <v>2.3039999999999998</v>
      </c>
      <c r="I1251" s="13">
        <f t="shared" si="20"/>
        <v>3.0834167500834169</v>
      </c>
    </row>
    <row r="1252" spans="2:36">
      <c r="C1252" s="46">
        <v>2.3029999999999999</v>
      </c>
      <c r="D1252" s="3">
        <v>160.30000000000001</v>
      </c>
      <c r="E1252" s="3">
        <v>92.61</v>
      </c>
      <c r="F1252" s="3">
        <v>30.13</v>
      </c>
      <c r="G1252" s="3">
        <v>533.1</v>
      </c>
      <c r="H1252" s="3">
        <v>1.4950000000000001</v>
      </c>
      <c r="I1252" s="13">
        <f t="shared" si="20"/>
        <v>3.0736807168934619</v>
      </c>
    </row>
    <row r="1253" spans="2:36">
      <c r="C1253" s="46">
        <v>2.2869999999999999</v>
      </c>
      <c r="D1253" s="3">
        <v>175.7</v>
      </c>
      <c r="E1253" s="3">
        <v>93.38</v>
      </c>
      <c r="F1253" s="3">
        <v>30.15</v>
      </c>
      <c r="G1253" s="3">
        <v>541</v>
      </c>
      <c r="H1253" s="3">
        <v>1.978</v>
      </c>
      <c r="I1253" s="13">
        <f t="shared" si="20"/>
        <v>3.0971807628524046</v>
      </c>
    </row>
    <row r="1254" spans="2:36">
      <c r="C1254" s="46">
        <v>2.2650000000000001</v>
      </c>
      <c r="D1254" s="3">
        <v>160.30000000000001</v>
      </c>
      <c r="E1254" s="3">
        <v>93.34</v>
      </c>
      <c r="F1254" s="3">
        <v>30.16</v>
      </c>
      <c r="G1254" s="3">
        <v>547.9</v>
      </c>
      <c r="H1254" s="3">
        <v>1.829</v>
      </c>
      <c r="I1254" s="13">
        <f t="shared" si="20"/>
        <v>3.0948275862068968</v>
      </c>
    </row>
    <row r="1255" spans="2:36">
      <c r="C1255" s="46">
        <v>2.2040000000000002</v>
      </c>
      <c r="D1255" s="3">
        <v>141.1</v>
      </c>
      <c r="E1255" s="3">
        <v>93.28</v>
      </c>
      <c r="F1255" s="3">
        <v>29.98</v>
      </c>
      <c r="G1255" s="3">
        <v>531.9</v>
      </c>
      <c r="H1255" s="3">
        <v>1.8839999999999999</v>
      </c>
      <c r="I1255" s="13">
        <f t="shared" si="20"/>
        <v>3.1114076050700468</v>
      </c>
    </row>
    <row r="1256" spans="2:36">
      <c r="C1256" s="46">
        <v>2.2410000000000001</v>
      </c>
      <c r="D1256" s="3">
        <v>134.5</v>
      </c>
      <c r="E1256" s="3">
        <v>93.86</v>
      </c>
      <c r="F1256" s="3">
        <v>30.04</v>
      </c>
      <c r="G1256" s="3">
        <v>529.5</v>
      </c>
      <c r="H1256" s="3">
        <v>2.0910000000000002</v>
      </c>
      <c r="I1256" s="13">
        <f t="shared" si="20"/>
        <v>3.1245006657789616</v>
      </c>
    </row>
    <row r="1257" spans="2:36">
      <c r="C1257" s="46">
        <v>2.2650000000000001</v>
      </c>
      <c r="D1257" s="3">
        <v>125.6</v>
      </c>
      <c r="E1257" s="3">
        <v>93.57</v>
      </c>
      <c r="F1257" s="3">
        <v>29.68</v>
      </c>
      <c r="G1257" s="3">
        <v>532.5</v>
      </c>
      <c r="H1257" s="3">
        <v>2.1549999999999998</v>
      </c>
      <c r="I1257" s="13">
        <f t="shared" si="20"/>
        <v>3.1526280323450133</v>
      </c>
    </row>
    <row r="1258" spans="2:36">
      <c r="C1258" s="46">
        <v>2.2869999999999999</v>
      </c>
      <c r="D1258" s="3">
        <v>113.8</v>
      </c>
      <c r="E1258" s="3">
        <v>93.27</v>
      </c>
      <c r="F1258" s="3">
        <v>30.24</v>
      </c>
      <c r="G1258" s="3">
        <v>544.6</v>
      </c>
      <c r="H1258" s="3">
        <v>2.399</v>
      </c>
      <c r="I1258" s="13">
        <f t="shared" si="20"/>
        <v>3.0843253968253967</v>
      </c>
    </row>
    <row r="1259" spans="2:36">
      <c r="C1259" s="46">
        <v>2.2719999999999998</v>
      </c>
      <c r="D1259" s="3">
        <v>98.93</v>
      </c>
      <c r="E1259" s="3">
        <v>93.05</v>
      </c>
      <c r="F1259" s="3">
        <v>30.03</v>
      </c>
      <c r="G1259" s="3">
        <v>554.20000000000005</v>
      </c>
      <c r="H1259" s="3">
        <v>2.4180000000000001</v>
      </c>
      <c r="I1259" s="13">
        <f t="shared" si="20"/>
        <v>3.0985680985680983</v>
      </c>
    </row>
    <row r="1260" spans="2:36">
      <c r="C1260" s="46">
        <v>2.2930000000000001</v>
      </c>
      <c r="D1260" s="3">
        <v>98.72</v>
      </c>
      <c r="E1260" s="3">
        <v>93.03</v>
      </c>
      <c r="F1260" s="3">
        <v>30.01</v>
      </c>
      <c r="G1260" s="3">
        <v>539.70000000000005</v>
      </c>
      <c r="H1260" s="3">
        <v>2.3079999999999998</v>
      </c>
      <c r="I1260" s="13">
        <f t="shared" si="20"/>
        <v>3.0999666777740753</v>
      </c>
    </row>
    <row r="1261" spans="2:36">
      <c r="C1261" s="46">
        <v>2.294</v>
      </c>
      <c r="D1261" s="3">
        <v>96.76</v>
      </c>
      <c r="E1261" s="3">
        <v>93.8</v>
      </c>
      <c r="F1261" s="3">
        <v>29.82</v>
      </c>
      <c r="G1261" s="3">
        <v>563.4</v>
      </c>
      <c r="H1261" s="3">
        <v>2.4119999999999999</v>
      </c>
      <c r="I1261" s="13">
        <f t="shared" si="20"/>
        <v>3.145539906103286</v>
      </c>
    </row>
    <row r="1262" spans="2:36" s="35" customFormat="1">
      <c r="B1262" s="16">
        <v>64</v>
      </c>
      <c r="C1262" s="47">
        <v>1.329</v>
      </c>
      <c r="D1262" s="16">
        <v>130.4</v>
      </c>
      <c r="E1262" s="16">
        <v>94.31</v>
      </c>
      <c r="F1262" s="16">
        <v>24.2</v>
      </c>
      <c r="G1262" s="16">
        <v>443.4</v>
      </c>
      <c r="H1262" s="16">
        <v>2.649</v>
      </c>
      <c r="I1262" s="13">
        <f t="shared" si="20"/>
        <v>3.8971074380165289</v>
      </c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</row>
    <row r="1263" spans="2:36">
      <c r="C1263" s="46">
        <v>1.337</v>
      </c>
      <c r="D1263" s="3">
        <v>167.3</v>
      </c>
      <c r="E1263" s="3">
        <v>94.39</v>
      </c>
      <c r="F1263" s="3">
        <v>24.66</v>
      </c>
      <c r="G1263" s="3">
        <v>440.6</v>
      </c>
      <c r="H1263" s="3">
        <v>2.597</v>
      </c>
      <c r="I1263" s="13">
        <f t="shared" si="20"/>
        <v>3.8276561232765611</v>
      </c>
    </row>
    <row r="1264" spans="2:36">
      <c r="C1264" s="46">
        <v>1.292</v>
      </c>
      <c r="D1264" s="3">
        <v>120.1</v>
      </c>
      <c r="E1264" s="3">
        <v>94.21</v>
      </c>
      <c r="F1264" s="3">
        <v>24.54</v>
      </c>
      <c r="G1264" s="3">
        <v>443.1</v>
      </c>
      <c r="H1264" s="3">
        <v>2.4529999999999998</v>
      </c>
      <c r="I1264" s="13">
        <f t="shared" si="20"/>
        <v>3.8390383048084757</v>
      </c>
    </row>
    <row r="1265" spans="3:9">
      <c r="C1265" s="46">
        <v>1.2909999999999999</v>
      </c>
      <c r="D1265" s="3">
        <v>149.4</v>
      </c>
      <c r="E1265" s="3">
        <v>94.03</v>
      </c>
      <c r="F1265" s="3">
        <v>24.38</v>
      </c>
      <c r="G1265" s="3">
        <v>443.9</v>
      </c>
      <c r="H1265" s="3">
        <v>2.3769999999999998</v>
      </c>
      <c r="I1265" s="13">
        <f t="shared" si="20"/>
        <v>3.8568498769483184</v>
      </c>
    </row>
    <row r="1266" spans="3:9">
      <c r="C1266" s="46">
        <v>1.3180000000000001</v>
      </c>
      <c r="D1266" s="3">
        <v>140.5</v>
      </c>
      <c r="E1266" s="3">
        <v>93.49</v>
      </c>
      <c r="F1266" s="3">
        <v>24.44</v>
      </c>
      <c r="G1266" s="3">
        <v>441.4</v>
      </c>
      <c r="H1266" s="3">
        <v>2.54</v>
      </c>
      <c r="I1266" s="13">
        <f t="shared" si="20"/>
        <v>3.8252864157119473</v>
      </c>
    </row>
    <row r="1267" spans="3:9">
      <c r="C1267" s="46">
        <v>1.2989999999999999</v>
      </c>
      <c r="D1267" s="3">
        <v>116.9</v>
      </c>
      <c r="E1267" s="3">
        <v>93.82</v>
      </c>
      <c r="F1267" s="3">
        <v>24.03</v>
      </c>
      <c r="G1267" s="3">
        <v>443.5</v>
      </c>
      <c r="H1267" s="3">
        <v>2.823</v>
      </c>
      <c r="I1267" s="13">
        <f t="shared" si="20"/>
        <v>3.9042863087806903</v>
      </c>
    </row>
    <row r="1268" spans="3:9">
      <c r="C1268" s="46">
        <v>1.335</v>
      </c>
      <c r="D1268" s="3">
        <v>91.3</v>
      </c>
      <c r="E1268" s="3">
        <v>94</v>
      </c>
      <c r="F1268" s="3">
        <v>24</v>
      </c>
      <c r="G1268" s="3">
        <v>454.6</v>
      </c>
      <c r="H1268" s="3">
        <v>2.7120000000000002</v>
      </c>
      <c r="I1268" s="13">
        <f t="shared" si="20"/>
        <v>3.9166666666666665</v>
      </c>
    </row>
    <row r="1269" spans="3:9">
      <c r="C1269" s="46">
        <v>1.31</v>
      </c>
      <c r="D1269" s="3">
        <v>111.3</v>
      </c>
      <c r="E1269" s="3">
        <v>93.93</v>
      </c>
      <c r="F1269" s="3">
        <v>24.57</v>
      </c>
      <c r="G1269" s="3">
        <v>456.9</v>
      </c>
      <c r="H1269" s="3">
        <v>2.4990000000000001</v>
      </c>
      <c r="I1269" s="13">
        <f t="shared" si="20"/>
        <v>3.8229548229548231</v>
      </c>
    </row>
    <row r="1270" spans="3:9">
      <c r="C1270" s="46">
        <v>1.335</v>
      </c>
      <c r="D1270" s="3">
        <v>75.2</v>
      </c>
      <c r="E1270" s="3">
        <v>93.21</v>
      </c>
      <c r="F1270" s="3">
        <v>24.38</v>
      </c>
      <c r="G1270" s="3">
        <v>458.5</v>
      </c>
      <c r="H1270" s="3">
        <v>2.6739999999999999</v>
      </c>
      <c r="I1270" s="13">
        <f t="shared" si="20"/>
        <v>3.8232157506152582</v>
      </c>
    </row>
    <row r="1271" spans="3:9">
      <c r="C1271" s="46">
        <v>1.357</v>
      </c>
      <c r="D1271" s="3">
        <v>85.9</v>
      </c>
      <c r="E1271" s="3">
        <v>93.51</v>
      </c>
      <c r="F1271" s="3">
        <v>24.76</v>
      </c>
      <c r="G1271" s="3">
        <v>459.4</v>
      </c>
      <c r="H1271" s="3">
        <v>2.6190000000000002</v>
      </c>
      <c r="I1271" s="13">
        <f t="shared" si="20"/>
        <v>3.7766558966074313</v>
      </c>
    </row>
    <row r="1272" spans="3:9">
      <c r="C1272" s="46">
        <v>1.371</v>
      </c>
      <c r="D1272" s="3">
        <v>81.7</v>
      </c>
      <c r="E1272" s="3">
        <v>93.71</v>
      </c>
      <c r="F1272" s="3">
        <v>27.85</v>
      </c>
      <c r="G1272" s="3">
        <v>459.8</v>
      </c>
      <c r="H1272" s="3">
        <v>2.8980000000000001</v>
      </c>
      <c r="I1272" s="13">
        <f t="shared" si="20"/>
        <v>3.3648114901256729</v>
      </c>
    </row>
    <row r="1273" spans="3:9">
      <c r="C1273" s="46">
        <v>1.329</v>
      </c>
      <c r="D1273" s="3">
        <v>117.1</v>
      </c>
      <c r="E1273" s="3">
        <v>93.53</v>
      </c>
      <c r="F1273" s="3">
        <v>24.88</v>
      </c>
      <c r="G1273" s="3">
        <v>445.8</v>
      </c>
      <c r="H1273" s="3">
        <v>2.597</v>
      </c>
      <c r="I1273" s="13">
        <f t="shared" si="20"/>
        <v>3.759244372990354</v>
      </c>
    </row>
    <row r="1274" spans="3:9">
      <c r="C1274" s="46">
        <v>1.2909999999999999</v>
      </c>
      <c r="D1274" s="3">
        <v>107.5</v>
      </c>
      <c r="E1274" s="3">
        <v>94.1</v>
      </c>
      <c r="F1274" s="3">
        <v>24.86</v>
      </c>
      <c r="G1274" s="3">
        <v>449.4</v>
      </c>
      <c r="H1274" s="3">
        <v>2.363</v>
      </c>
      <c r="I1274" s="13">
        <f t="shared" si="20"/>
        <v>3.7851971037811745</v>
      </c>
    </row>
    <row r="1275" spans="3:9">
      <c r="C1275" s="46">
        <v>1.327</v>
      </c>
      <c r="D1275" s="3">
        <v>100</v>
      </c>
      <c r="E1275" s="3">
        <v>93.64</v>
      </c>
      <c r="F1275" s="3">
        <v>24.69</v>
      </c>
      <c r="G1275" s="3">
        <v>445.1</v>
      </c>
      <c r="H1275" s="3">
        <v>2.2890000000000001</v>
      </c>
      <c r="I1275" s="13">
        <f t="shared" si="20"/>
        <v>3.7926285945727014</v>
      </c>
    </row>
    <row r="1276" spans="3:9">
      <c r="C1276" s="46">
        <v>1.2789999999999999</v>
      </c>
      <c r="D1276" s="3">
        <v>87.8</v>
      </c>
      <c r="E1276" s="3">
        <v>93.58</v>
      </c>
      <c r="F1276" s="3">
        <v>24.31</v>
      </c>
      <c r="G1276" s="3">
        <v>443.1</v>
      </c>
      <c r="H1276" s="3">
        <v>2.198</v>
      </c>
      <c r="I1276" s="13">
        <f t="shared" si="20"/>
        <v>3.849444672974085</v>
      </c>
    </row>
    <row r="1277" spans="3:9">
      <c r="C1277" s="46">
        <v>1.2709999999999999</v>
      </c>
      <c r="D1277" s="3">
        <v>169.4</v>
      </c>
      <c r="E1277" s="3">
        <v>93.68</v>
      </c>
      <c r="F1277" s="3">
        <v>24.12</v>
      </c>
      <c r="G1277" s="3">
        <v>446.5</v>
      </c>
      <c r="H1277" s="3">
        <v>2.238</v>
      </c>
      <c r="I1277" s="13">
        <f t="shared" si="20"/>
        <v>3.8839137645107797</v>
      </c>
    </row>
    <row r="1278" spans="3:9">
      <c r="C1278" s="46">
        <v>1.3779999999999999</v>
      </c>
      <c r="D1278" s="3">
        <v>160.19999999999999</v>
      </c>
      <c r="E1278" s="3">
        <v>93.86</v>
      </c>
      <c r="F1278" s="3">
        <v>24.09</v>
      </c>
      <c r="G1278" s="3">
        <v>448.5</v>
      </c>
      <c r="H1278" s="3">
        <v>2.1459999999999999</v>
      </c>
      <c r="I1278" s="13">
        <f t="shared" si="20"/>
        <v>3.8962224989622252</v>
      </c>
    </row>
    <row r="1279" spans="3:9">
      <c r="C1279" s="46">
        <v>1.329</v>
      </c>
      <c r="D1279" s="3">
        <v>135</v>
      </c>
      <c r="E1279" s="3">
        <v>93.75</v>
      </c>
      <c r="F1279" s="3">
        <v>24.19</v>
      </c>
      <c r="G1279" s="3">
        <v>447</v>
      </c>
      <c r="H1279" s="3">
        <v>2.1019999999999999</v>
      </c>
      <c r="I1279" s="13">
        <f t="shared" si="20"/>
        <v>3.8755684167011157</v>
      </c>
    </row>
    <row r="1280" spans="3:9">
      <c r="C1280" s="46">
        <v>1.337</v>
      </c>
      <c r="D1280" s="3">
        <v>91.3</v>
      </c>
      <c r="E1280" s="3">
        <v>93.1</v>
      </c>
      <c r="F1280" s="3">
        <v>24.57</v>
      </c>
      <c r="G1280" s="3">
        <v>452.8</v>
      </c>
      <c r="H1280" s="3">
        <v>2.238</v>
      </c>
      <c r="I1280" s="13">
        <f t="shared" si="20"/>
        <v>3.7891737891737889</v>
      </c>
    </row>
    <row r="1281" spans="2:36">
      <c r="C1281" s="46">
        <v>1.367</v>
      </c>
      <c r="D1281" s="3">
        <v>87.8</v>
      </c>
      <c r="E1281" s="3">
        <v>93.71</v>
      </c>
      <c r="F1281" s="3">
        <v>24.38</v>
      </c>
      <c r="G1281" s="3">
        <v>450.8</v>
      </c>
      <c r="H1281" s="3">
        <v>2.302</v>
      </c>
      <c r="I1281" s="13">
        <f t="shared" si="20"/>
        <v>3.8437243642329779</v>
      </c>
    </row>
    <row r="1282" spans="2:36" s="35" customFormat="1">
      <c r="B1282" s="16">
        <v>65</v>
      </c>
      <c r="C1282" s="47">
        <v>1.5329999999999999</v>
      </c>
      <c r="D1282" s="16">
        <v>129.1</v>
      </c>
      <c r="E1282" s="16">
        <v>97.19</v>
      </c>
      <c r="F1282" s="16">
        <v>25.7</v>
      </c>
      <c r="G1282" s="16">
        <v>432.6</v>
      </c>
      <c r="H1282" s="16">
        <v>2.8079999999999998</v>
      </c>
      <c r="I1282" s="13">
        <f t="shared" si="20"/>
        <v>3.7817120622568092</v>
      </c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</row>
    <row r="1283" spans="2:36">
      <c r="C1283" s="46">
        <v>1.5880000000000001</v>
      </c>
      <c r="D1283" s="3">
        <v>123</v>
      </c>
      <c r="E1283" s="3">
        <v>97.39</v>
      </c>
      <c r="F1283" s="3">
        <v>25.52</v>
      </c>
      <c r="G1283" s="3">
        <v>436.8</v>
      </c>
      <c r="H1283" s="3">
        <v>2.84</v>
      </c>
      <c r="I1283" s="13">
        <f t="shared" si="20"/>
        <v>3.8162225705329154</v>
      </c>
    </row>
    <row r="1284" spans="2:36">
      <c r="C1284" s="46">
        <v>1.5649999999999999</v>
      </c>
      <c r="D1284" s="3">
        <v>124.1</v>
      </c>
      <c r="E1284" s="3">
        <v>97.21</v>
      </c>
      <c r="F1284" s="3">
        <v>25.43</v>
      </c>
      <c r="G1284" s="3">
        <v>440.6</v>
      </c>
      <c r="H1284" s="3">
        <v>2.8069999999999999</v>
      </c>
      <c r="I1284" s="13">
        <f t="shared" si="20"/>
        <v>3.8226504128981516</v>
      </c>
    </row>
    <row r="1285" spans="2:36">
      <c r="C1285" s="46">
        <v>1.6080000000000001</v>
      </c>
      <c r="D1285" s="3">
        <v>142.5</v>
      </c>
      <c r="E1285" s="3">
        <v>97.05</v>
      </c>
      <c r="F1285" s="3">
        <v>25.34</v>
      </c>
      <c r="G1285" s="3">
        <v>439.8</v>
      </c>
      <c r="H1285" s="3">
        <v>3.13</v>
      </c>
      <c r="I1285" s="13">
        <f t="shared" si="20"/>
        <v>3.8299131807419098</v>
      </c>
    </row>
    <row r="1286" spans="2:36">
      <c r="C1286" s="46">
        <v>1.597</v>
      </c>
      <c r="D1286" s="3">
        <v>128.30000000000001</v>
      </c>
      <c r="E1286" s="3">
        <v>97.31</v>
      </c>
      <c r="F1286" s="3">
        <v>25.62</v>
      </c>
      <c r="G1286" s="3">
        <v>441.2</v>
      </c>
      <c r="H1286" s="3">
        <v>3.0470000000000002</v>
      </c>
      <c r="I1286" s="13">
        <f t="shared" si="20"/>
        <v>3.7982045277127243</v>
      </c>
    </row>
    <row r="1287" spans="2:36">
      <c r="C1287" s="46">
        <v>1.5649999999999999</v>
      </c>
      <c r="D1287" s="3">
        <v>125.9</v>
      </c>
      <c r="E1287" s="3">
        <v>97.42</v>
      </c>
      <c r="F1287" s="3">
        <v>26.19</v>
      </c>
      <c r="G1287" s="3">
        <v>442.3</v>
      </c>
      <c r="H1287" s="3">
        <v>2.9550000000000001</v>
      </c>
      <c r="I1287" s="13">
        <f t="shared" si="20"/>
        <v>3.7197403589156166</v>
      </c>
    </row>
    <row r="1288" spans="2:36">
      <c r="C1288" s="46">
        <v>1.5720000000000001</v>
      </c>
      <c r="D1288" s="3">
        <v>125.7</v>
      </c>
      <c r="E1288" s="3">
        <v>97.3</v>
      </c>
      <c r="F1288" s="3">
        <v>25.9</v>
      </c>
      <c r="G1288" s="3">
        <v>441</v>
      </c>
      <c r="H1288" s="3">
        <v>2.819</v>
      </c>
      <c r="I1288" s="13">
        <f t="shared" si="20"/>
        <v>3.756756756756757</v>
      </c>
    </row>
    <row r="1289" spans="2:36">
      <c r="C1289" s="46">
        <v>1.5489999999999999</v>
      </c>
      <c r="D1289" s="3">
        <v>109.6</v>
      </c>
      <c r="E1289" s="3">
        <v>97.17</v>
      </c>
      <c r="F1289" s="3">
        <v>25.72</v>
      </c>
      <c r="G1289" s="3">
        <v>441.7</v>
      </c>
      <c r="H1289" s="3">
        <v>2.6669999999999998</v>
      </c>
      <c r="I1289" s="13">
        <f t="shared" si="20"/>
        <v>3.777993779160187</v>
      </c>
    </row>
    <row r="1290" spans="2:36">
      <c r="C1290" s="46">
        <v>1.5660000000000001</v>
      </c>
      <c r="D1290" s="3">
        <v>103.6</v>
      </c>
      <c r="E1290" s="3">
        <v>97.1</v>
      </c>
      <c r="F1290" s="3">
        <v>25.52</v>
      </c>
      <c r="G1290" s="3">
        <v>441.8</v>
      </c>
      <c r="H1290" s="3">
        <v>2.802</v>
      </c>
      <c r="I1290" s="13">
        <f t="shared" si="20"/>
        <v>3.8048589341692787</v>
      </c>
    </row>
    <row r="1291" spans="2:36">
      <c r="C1291" s="46">
        <v>1.5469999999999999</v>
      </c>
      <c r="D1291" s="3">
        <v>94.87</v>
      </c>
      <c r="E1291" s="3">
        <v>97.35</v>
      </c>
      <c r="F1291" s="3">
        <v>25.47</v>
      </c>
      <c r="G1291" s="3">
        <v>444.4</v>
      </c>
      <c r="H1291" s="3">
        <v>2.9279999999999999</v>
      </c>
      <c r="I1291" s="13">
        <f t="shared" si="20"/>
        <v>3.8221436984687869</v>
      </c>
    </row>
    <row r="1292" spans="2:36">
      <c r="C1292" s="46">
        <v>1.571</v>
      </c>
      <c r="D1292" s="3">
        <v>107.6</v>
      </c>
      <c r="E1292" s="3">
        <v>97.47</v>
      </c>
      <c r="F1292" s="3">
        <v>25.65</v>
      </c>
      <c r="G1292" s="3">
        <v>442.5</v>
      </c>
      <c r="H1292" s="3">
        <v>2.8969999999999998</v>
      </c>
      <c r="I1292" s="13">
        <f t="shared" si="20"/>
        <v>3.8000000000000003</v>
      </c>
    </row>
    <row r="1293" spans="2:36">
      <c r="C1293" s="46">
        <v>1.5660000000000001</v>
      </c>
      <c r="D1293" s="3">
        <v>117.1</v>
      </c>
      <c r="E1293" s="3">
        <v>97.53</v>
      </c>
      <c r="F1293" s="3">
        <v>25.58</v>
      </c>
      <c r="G1293" s="3">
        <v>440.6</v>
      </c>
      <c r="H1293" s="3">
        <v>2.9279999999999999</v>
      </c>
      <c r="I1293" s="13">
        <f t="shared" si="20"/>
        <v>3.8127443315089917</v>
      </c>
    </row>
    <row r="1294" spans="2:36">
      <c r="C1294" s="46">
        <v>1.579</v>
      </c>
      <c r="D1294" s="3">
        <v>144.1</v>
      </c>
      <c r="E1294" s="3">
        <v>97.71</v>
      </c>
      <c r="F1294" s="3">
        <v>25.99</v>
      </c>
      <c r="G1294" s="3">
        <v>439.8</v>
      </c>
      <c r="H1294" s="3">
        <v>2.802</v>
      </c>
      <c r="I1294" s="13">
        <f t="shared" si="20"/>
        <v>3.7595228934205465</v>
      </c>
    </row>
    <row r="1295" spans="2:36">
      <c r="C1295" s="46">
        <v>1.5860000000000001</v>
      </c>
      <c r="D1295" s="3">
        <v>164.2</v>
      </c>
      <c r="E1295" s="3">
        <v>97.35</v>
      </c>
      <c r="F1295" s="3">
        <v>25.82</v>
      </c>
      <c r="G1295" s="3">
        <v>440.5</v>
      </c>
      <c r="H1295" s="3">
        <v>2.843</v>
      </c>
      <c r="I1295" s="13">
        <f t="shared" si="20"/>
        <v>3.7703330751355537</v>
      </c>
    </row>
    <row r="1296" spans="2:36">
      <c r="C1296" s="46">
        <v>1.5940000000000001</v>
      </c>
      <c r="D1296" s="3">
        <v>167.9</v>
      </c>
      <c r="E1296" s="3">
        <v>97.46</v>
      </c>
      <c r="F1296" s="3">
        <v>25.63</v>
      </c>
      <c r="G1296" s="3">
        <v>436.4</v>
      </c>
      <c r="H1296" s="3">
        <v>2.84</v>
      </c>
      <c r="I1296" s="13">
        <f t="shared" si="20"/>
        <v>3.8025751072961373</v>
      </c>
    </row>
    <row r="1297" spans="2:36">
      <c r="C1297" s="46">
        <v>1.5840000000000001</v>
      </c>
      <c r="D1297" s="3">
        <v>144</v>
      </c>
      <c r="E1297" s="3">
        <v>97.6</v>
      </c>
      <c r="F1297" s="3">
        <v>25.45</v>
      </c>
      <c r="G1297" s="3">
        <v>438</v>
      </c>
      <c r="H1297" s="3">
        <v>2.8969999999999998</v>
      </c>
      <c r="I1297" s="13">
        <f t="shared" si="20"/>
        <v>3.8349705304518662</v>
      </c>
    </row>
    <row r="1298" spans="2:36">
      <c r="C1298" s="46">
        <v>1.5680000000000001</v>
      </c>
      <c r="D1298" s="3">
        <v>142.4</v>
      </c>
      <c r="E1298" s="3">
        <v>97.73</v>
      </c>
      <c r="F1298" s="3">
        <v>25.51</v>
      </c>
      <c r="G1298" s="3">
        <v>436.8</v>
      </c>
      <c r="H1298" s="3">
        <v>3.0190000000000001</v>
      </c>
      <c r="I1298" s="13">
        <f t="shared" si="20"/>
        <v>3.8310466483731869</v>
      </c>
    </row>
    <row r="1299" spans="2:36">
      <c r="C1299" s="46">
        <v>1.6080000000000001</v>
      </c>
      <c r="D1299" s="3">
        <v>142.5</v>
      </c>
      <c r="E1299" s="3">
        <v>97.86</v>
      </c>
      <c r="F1299" s="3">
        <v>25.83</v>
      </c>
      <c r="G1299" s="3">
        <v>433.8</v>
      </c>
      <c r="H1299" s="3">
        <v>3.129</v>
      </c>
      <c r="I1299" s="13">
        <f t="shared" si="20"/>
        <v>3.7886178861788622</v>
      </c>
    </row>
    <row r="1300" spans="2:36">
      <c r="C1300" s="46">
        <v>1.5940000000000001</v>
      </c>
      <c r="D1300" s="3">
        <v>129.1</v>
      </c>
      <c r="E1300" s="3">
        <v>97.39</v>
      </c>
      <c r="F1300" s="3">
        <v>25.44</v>
      </c>
      <c r="G1300" s="3">
        <v>434.4</v>
      </c>
      <c r="H1300" s="3">
        <v>2.97</v>
      </c>
      <c r="I1300" s="13">
        <f t="shared" si="20"/>
        <v>3.8282232704402515</v>
      </c>
    </row>
    <row r="1301" spans="2:36">
      <c r="C1301" s="46">
        <v>1.58</v>
      </c>
      <c r="D1301" s="3">
        <v>133.69999999999999</v>
      </c>
      <c r="E1301" s="3">
        <v>97.57</v>
      </c>
      <c r="F1301" s="3">
        <v>25.63</v>
      </c>
      <c r="G1301" s="3">
        <v>430.4</v>
      </c>
      <c r="H1301" s="3">
        <v>2.802</v>
      </c>
      <c r="I1301" s="13">
        <f t="shared" si="20"/>
        <v>3.8068669527896994</v>
      </c>
    </row>
    <row r="1302" spans="2:36" s="35" customFormat="1">
      <c r="B1302" s="16">
        <v>66</v>
      </c>
      <c r="C1302" s="47">
        <v>2.2890000000000001</v>
      </c>
      <c r="D1302" s="16">
        <v>94.02</v>
      </c>
      <c r="E1302" s="16">
        <v>95.46</v>
      </c>
      <c r="F1302" s="16">
        <v>26.98</v>
      </c>
      <c r="G1302" s="16">
        <v>487.9</v>
      </c>
      <c r="H1302" s="16">
        <v>1.2490000000000001</v>
      </c>
      <c r="I1302" s="13">
        <f t="shared" ref="I1302:I1365" si="21">E1302/F1302</f>
        <v>3.5381764269829499</v>
      </c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</row>
    <row r="1303" spans="2:36">
      <c r="C1303" s="46">
        <v>2.0819999999999999</v>
      </c>
      <c r="D1303" s="3">
        <v>92.54</v>
      </c>
      <c r="E1303" s="3">
        <v>95.24</v>
      </c>
      <c r="F1303" s="3">
        <v>26.49</v>
      </c>
      <c r="G1303" s="3">
        <v>488.6</v>
      </c>
      <c r="H1303" s="3">
        <v>1.2390000000000001</v>
      </c>
      <c r="I1303" s="13">
        <f t="shared" si="21"/>
        <v>3.5953189882974708</v>
      </c>
    </row>
    <row r="1304" spans="2:36">
      <c r="C1304" s="46">
        <v>2.0680000000000001</v>
      </c>
      <c r="D1304" s="3">
        <v>102.3</v>
      </c>
      <c r="E1304" s="3">
        <v>95.14</v>
      </c>
      <c r="F1304" s="3">
        <v>26.55</v>
      </c>
      <c r="G1304" s="3">
        <v>487.4</v>
      </c>
      <c r="H1304" s="3">
        <v>1.25</v>
      </c>
      <c r="I1304" s="13">
        <f t="shared" si="21"/>
        <v>3.5834274952919021</v>
      </c>
    </row>
    <row r="1305" spans="2:36">
      <c r="C1305" s="46">
        <v>2.077</v>
      </c>
      <c r="D1305" s="3">
        <v>97.71</v>
      </c>
      <c r="E1305" s="3">
        <v>95.51</v>
      </c>
      <c r="F1305" s="3">
        <v>26.46</v>
      </c>
      <c r="G1305" s="3">
        <v>484.6</v>
      </c>
      <c r="H1305" s="3">
        <v>1.1579999999999999</v>
      </c>
      <c r="I1305" s="13">
        <f t="shared" si="21"/>
        <v>3.6095993953136811</v>
      </c>
    </row>
    <row r="1306" spans="2:36">
      <c r="C1306" s="46">
        <v>2.1819999999999999</v>
      </c>
      <c r="D1306" s="3">
        <v>111.1</v>
      </c>
      <c r="E1306" s="3">
        <v>95.84</v>
      </c>
      <c r="F1306" s="3">
        <v>26.28</v>
      </c>
      <c r="G1306" s="3">
        <v>484.7</v>
      </c>
      <c r="H1306" s="3">
        <v>1.2529999999999999</v>
      </c>
      <c r="I1306" s="13">
        <f t="shared" si="21"/>
        <v>3.6468797564687976</v>
      </c>
    </row>
    <row r="1307" spans="2:36">
      <c r="C1307" s="46">
        <v>2.2250000000000001</v>
      </c>
      <c r="D1307" s="3">
        <v>116.6</v>
      </c>
      <c r="E1307" s="3">
        <v>95.67</v>
      </c>
      <c r="F1307" s="3">
        <v>26.18</v>
      </c>
      <c r="G1307" s="3">
        <v>487.4</v>
      </c>
      <c r="H1307" s="3">
        <v>1.34</v>
      </c>
      <c r="I1307" s="13">
        <f t="shared" si="21"/>
        <v>3.6543162719633311</v>
      </c>
    </row>
    <row r="1308" spans="2:36">
      <c r="C1308" s="46">
        <v>2.2759999999999998</v>
      </c>
      <c r="D1308" s="3">
        <v>107.8</v>
      </c>
      <c r="E1308" s="3">
        <v>95.49</v>
      </c>
      <c r="F1308" s="3">
        <v>26.71</v>
      </c>
      <c r="G1308" s="3">
        <v>488.7</v>
      </c>
      <c r="H1308" s="3">
        <v>1.3360000000000001</v>
      </c>
      <c r="I1308" s="13">
        <f t="shared" si="21"/>
        <v>3.5750655185323845</v>
      </c>
    </row>
    <row r="1309" spans="2:36">
      <c r="C1309" s="46">
        <v>2.3109999999999999</v>
      </c>
      <c r="D1309" s="3">
        <v>107.1</v>
      </c>
      <c r="E1309" s="3">
        <v>95.32</v>
      </c>
      <c r="F1309" s="3">
        <v>26.98</v>
      </c>
      <c r="G1309" s="3">
        <v>489.1</v>
      </c>
      <c r="H1309" s="3">
        <v>1.222</v>
      </c>
      <c r="I1309" s="13">
        <f t="shared" si="21"/>
        <v>3.5329873980726463</v>
      </c>
    </row>
    <row r="1310" spans="2:36">
      <c r="C1310" s="46">
        <v>2.319</v>
      </c>
      <c r="D1310" s="3">
        <v>115.5</v>
      </c>
      <c r="E1310" s="3">
        <v>95.14</v>
      </c>
      <c r="F1310" s="3">
        <v>26.94</v>
      </c>
      <c r="G1310" s="3">
        <v>493.1</v>
      </c>
      <c r="H1310" s="3">
        <v>1.361</v>
      </c>
      <c r="I1310" s="13">
        <f t="shared" si="21"/>
        <v>3.5315515961395691</v>
      </c>
    </row>
    <row r="1311" spans="2:36">
      <c r="C1311" s="46">
        <v>2.2930000000000001</v>
      </c>
      <c r="D1311" s="3">
        <v>107.8</v>
      </c>
      <c r="E1311" s="3">
        <v>95.47</v>
      </c>
      <c r="F1311" s="3">
        <v>26.75</v>
      </c>
      <c r="G1311" s="3">
        <v>493.7</v>
      </c>
      <c r="H1311" s="3">
        <v>1.44</v>
      </c>
      <c r="I1311" s="13">
        <f t="shared" si="21"/>
        <v>3.5689719626168226</v>
      </c>
    </row>
    <row r="1312" spans="2:36">
      <c r="C1312" s="46">
        <v>2.3170000000000002</v>
      </c>
      <c r="D1312" s="3">
        <v>102.3</v>
      </c>
      <c r="E1312" s="3">
        <v>96.19</v>
      </c>
      <c r="F1312" s="3">
        <v>26.71</v>
      </c>
      <c r="G1312" s="3">
        <v>495.9</v>
      </c>
      <c r="H1312" s="3">
        <v>1.3340000000000001</v>
      </c>
      <c r="I1312" s="13">
        <f t="shared" si="21"/>
        <v>3.6012729314863345</v>
      </c>
    </row>
    <row r="1313" spans="2:36">
      <c r="C1313" s="46">
        <v>2.2989999999999999</v>
      </c>
      <c r="D1313" s="3">
        <v>93.68</v>
      </c>
      <c r="E1313" s="3">
        <v>95.56</v>
      </c>
      <c r="F1313" s="3">
        <v>26.6</v>
      </c>
      <c r="G1313" s="3">
        <v>495</v>
      </c>
      <c r="H1313" s="3">
        <v>1.208</v>
      </c>
      <c r="I1313" s="13">
        <f t="shared" si="21"/>
        <v>3.5924812030075186</v>
      </c>
    </row>
    <row r="1314" spans="2:36">
      <c r="C1314" s="46">
        <v>2.2919999999999998</v>
      </c>
      <c r="D1314" s="3">
        <v>85.4</v>
      </c>
      <c r="E1314" s="3">
        <v>95.73</v>
      </c>
      <c r="F1314" s="3">
        <v>26.84</v>
      </c>
      <c r="G1314" s="3">
        <v>493.5</v>
      </c>
      <c r="H1314" s="3">
        <v>1.2749999999999999</v>
      </c>
      <c r="I1314" s="13">
        <f t="shared" si="21"/>
        <v>3.5666915052160957</v>
      </c>
    </row>
    <row r="1315" spans="2:36">
      <c r="C1315" s="46">
        <v>2.2320000000000002</v>
      </c>
      <c r="D1315" s="3">
        <v>98.53</v>
      </c>
      <c r="E1315" s="3">
        <v>95.98</v>
      </c>
      <c r="F1315" s="3">
        <v>26.74</v>
      </c>
      <c r="G1315" s="3">
        <v>501.4</v>
      </c>
      <c r="H1315" s="3">
        <v>1.385</v>
      </c>
      <c r="I1315" s="13">
        <f t="shared" si="21"/>
        <v>3.5893792071802548</v>
      </c>
    </row>
    <row r="1316" spans="2:36">
      <c r="C1316" s="46">
        <v>2.2200000000000002</v>
      </c>
      <c r="D1316" s="3">
        <v>101.1</v>
      </c>
      <c r="E1316" s="3">
        <v>96.23</v>
      </c>
      <c r="F1316" s="3">
        <v>26.23</v>
      </c>
      <c r="G1316" s="3">
        <v>497.7</v>
      </c>
      <c r="H1316" s="3">
        <v>1.361</v>
      </c>
      <c r="I1316" s="13">
        <f t="shared" si="21"/>
        <v>3.6686999618757148</v>
      </c>
    </row>
    <row r="1317" spans="2:36">
      <c r="C1317" s="46">
        <v>2.1930000000000001</v>
      </c>
      <c r="D1317" s="3">
        <v>115.1</v>
      </c>
      <c r="E1317" s="3">
        <v>96.33</v>
      </c>
      <c r="F1317" s="3">
        <v>26.88</v>
      </c>
      <c r="G1317" s="3">
        <v>497.9</v>
      </c>
      <c r="H1317" s="3">
        <v>1.36</v>
      </c>
      <c r="I1317" s="13">
        <f t="shared" si="21"/>
        <v>3.5837053571428572</v>
      </c>
    </row>
    <row r="1318" spans="2:36">
      <c r="C1318" s="46">
        <v>2.2890000000000001</v>
      </c>
      <c r="D1318" s="3">
        <v>105.1</v>
      </c>
      <c r="E1318" s="3">
        <v>95.4</v>
      </c>
      <c r="F1318" s="3">
        <v>26.44</v>
      </c>
      <c r="G1318" s="3">
        <v>497.1</v>
      </c>
      <c r="H1318" s="3">
        <v>1.2350000000000001</v>
      </c>
      <c r="I1318" s="13">
        <f t="shared" si="21"/>
        <v>3.6081694402420577</v>
      </c>
    </row>
    <row r="1319" spans="2:36">
      <c r="C1319" s="46">
        <v>2.2759999999999998</v>
      </c>
      <c r="D1319" s="3">
        <v>98.39</v>
      </c>
      <c r="E1319" s="3">
        <v>95.64</v>
      </c>
      <c r="F1319" s="3">
        <v>26.48</v>
      </c>
      <c r="G1319" s="3">
        <v>494.4</v>
      </c>
      <c r="H1319" s="3">
        <v>1.1850000000000001</v>
      </c>
      <c r="I1319" s="13">
        <f t="shared" si="21"/>
        <v>3.6117824773413898</v>
      </c>
    </row>
    <row r="1320" spans="2:36">
      <c r="C1320" s="46">
        <v>2.2330000000000001</v>
      </c>
      <c r="D1320" s="3">
        <v>109.2</v>
      </c>
      <c r="E1320" s="3">
        <v>95.19</v>
      </c>
      <c r="F1320" s="3">
        <v>26.56</v>
      </c>
      <c r="G1320" s="3">
        <v>496.3</v>
      </c>
      <c r="H1320" s="3">
        <v>1.339</v>
      </c>
      <c r="I1320" s="13">
        <f t="shared" si="21"/>
        <v>3.583960843373494</v>
      </c>
    </row>
    <row r="1321" spans="2:36">
      <c r="C1321" s="46">
        <v>2.161</v>
      </c>
      <c r="D1321" s="3">
        <v>110.5</v>
      </c>
      <c r="E1321" s="3">
        <v>95.27</v>
      </c>
      <c r="F1321" s="3">
        <v>26.97</v>
      </c>
      <c r="G1321" s="3">
        <v>484</v>
      </c>
      <c r="H1321" s="3">
        <v>1.222</v>
      </c>
      <c r="I1321" s="13">
        <f t="shared" si="21"/>
        <v>3.5324434556915092</v>
      </c>
    </row>
    <row r="1322" spans="2:36" s="35" customFormat="1">
      <c r="B1322" s="16">
        <v>67</v>
      </c>
      <c r="C1322" s="47">
        <v>2.3959999999999999</v>
      </c>
      <c r="D1322" s="29">
        <v>100.82</v>
      </c>
      <c r="E1322" s="16">
        <v>90.6</v>
      </c>
      <c r="F1322" s="16">
        <v>30.85</v>
      </c>
      <c r="G1322" s="16">
        <v>434.4</v>
      </c>
      <c r="H1322" s="16">
        <v>3.0350000000000001</v>
      </c>
      <c r="I1322" s="13">
        <f t="shared" si="21"/>
        <v>2.936790923824959</v>
      </c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</row>
    <row r="1323" spans="2:36">
      <c r="C1323" s="46">
        <v>2.3969999999999998</v>
      </c>
      <c r="D1323" s="21">
        <v>96.63</v>
      </c>
      <c r="E1323" s="3">
        <v>90.63</v>
      </c>
      <c r="F1323" s="3">
        <v>30.39</v>
      </c>
      <c r="G1323" s="3">
        <v>436</v>
      </c>
      <c r="H1323" s="3">
        <v>3.5419999999999998</v>
      </c>
      <c r="I1323" s="13">
        <f t="shared" si="21"/>
        <v>2.9822309970384993</v>
      </c>
    </row>
    <row r="1324" spans="2:36">
      <c r="C1324" s="46">
        <v>2.391</v>
      </c>
      <c r="D1324" s="21">
        <v>99.39</v>
      </c>
      <c r="E1324" s="3">
        <v>90.28</v>
      </c>
      <c r="F1324" s="3">
        <v>30.2</v>
      </c>
      <c r="G1324" s="3">
        <v>436.3</v>
      </c>
      <c r="H1324" s="3">
        <v>3.9350000000000001</v>
      </c>
      <c r="I1324" s="13">
        <f t="shared" si="21"/>
        <v>2.9894039735099338</v>
      </c>
    </row>
    <row r="1325" spans="2:36">
      <c r="C1325" s="46">
        <v>2.3519999999999999</v>
      </c>
      <c r="D1325" s="21">
        <v>96.79</v>
      </c>
      <c r="E1325" s="3">
        <v>90.09</v>
      </c>
      <c r="F1325" s="3">
        <v>31.03</v>
      </c>
      <c r="G1325" s="3">
        <v>435.7</v>
      </c>
      <c r="H1325" s="3">
        <v>3.718</v>
      </c>
      <c r="I1325" s="13">
        <f t="shared" si="21"/>
        <v>2.9033193683532064</v>
      </c>
    </row>
    <row r="1326" spans="2:36">
      <c r="C1326" s="46">
        <v>2.29</v>
      </c>
      <c r="D1326" s="21">
        <v>117.22</v>
      </c>
      <c r="E1326" s="3">
        <v>90.8</v>
      </c>
      <c r="F1326" s="3">
        <v>31.02</v>
      </c>
      <c r="G1326" s="3">
        <v>430</v>
      </c>
      <c r="H1326" s="3">
        <v>3.2229999999999999</v>
      </c>
      <c r="I1326" s="13">
        <f t="shared" si="21"/>
        <v>2.9271437782076077</v>
      </c>
    </row>
    <row r="1327" spans="2:36">
      <c r="C1327" s="46">
        <v>2.339</v>
      </c>
      <c r="D1327" s="21">
        <v>146.01</v>
      </c>
      <c r="E1327" s="3">
        <v>90.99</v>
      </c>
      <c r="F1327" s="3">
        <v>31</v>
      </c>
      <c r="G1327" s="3">
        <v>433.2</v>
      </c>
      <c r="H1327" s="3">
        <v>2.9750000000000001</v>
      </c>
      <c r="I1327" s="13">
        <f t="shared" si="21"/>
        <v>2.9351612903225806</v>
      </c>
    </row>
    <row r="1328" spans="2:36">
      <c r="C1328" s="46">
        <v>2.3759999999999999</v>
      </c>
      <c r="D1328" s="21">
        <v>116.14</v>
      </c>
      <c r="E1328" s="3">
        <v>90.95</v>
      </c>
      <c r="F1328" s="3">
        <v>30.24</v>
      </c>
      <c r="G1328" s="3">
        <v>432.7</v>
      </c>
      <c r="H1328" s="3">
        <v>3.2869999999999999</v>
      </c>
      <c r="I1328" s="13">
        <f t="shared" si="21"/>
        <v>3.0076058201058204</v>
      </c>
    </row>
    <row r="1329" spans="2:36">
      <c r="C1329" s="46">
        <v>2.399</v>
      </c>
      <c r="D1329" s="21">
        <v>111.2</v>
      </c>
      <c r="E1329" s="3">
        <v>90.7</v>
      </c>
      <c r="F1329" s="3">
        <v>30.25</v>
      </c>
      <c r="G1329" s="3">
        <v>439.7</v>
      </c>
      <c r="H1329" s="3">
        <v>3.806</v>
      </c>
      <c r="I1329" s="13">
        <f t="shared" si="21"/>
        <v>2.9983471074380166</v>
      </c>
    </row>
    <row r="1330" spans="2:36">
      <c r="C1330" s="46">
        <v>2.387</v>
      </c>
      <c r="D1330" s="21">
        <v>125.66</v>
      </c>
      <c r="E1330" s="3">
        <v>90.81</v>
      </c>
      <c r="F1330" s="3">
        <v>30.85</v>
      </c>
      <c r="G1330" s="3">
        <v>440</v>
      </c>
      <c r="H1330" s="3">
        <v>3.9980000000000002</v>
      </c>
      <c r="I1330" s="13">
        <f t="shared" si="21"/>
        <v>2.9435980551053484</v>
      </c>
    </row>
    <row r="1331" spans="2:36">
      <c r="C1331" s="46">
        <v>2.3519999999999999</v>
      </c>
      <c r="D1331" s="21">
        <v>144.74</v>
      </c>
      <c r="E1331" s="3">
        <v>90.37</v>
      </c>
      <c r="F1331" s="3">
        <v>30.85</v>
      </c>
      <c r="G1331" s="3">
        <v>443.4</v>
      </c>
      <c r="H1331" s="3">
        <v>3.8959999999999999</v>
      </c>
      <c r="I1331" s="13">
        <f t="shared" si="21"/>
        <v>2.9293354943273906</v>
      </c>
    </row>
    <row r="1332" spans="2:36">
      <c r="C1332" s="46">
        <v>2.3620000000000001</v>
      </c>
      <c r="D1332" s="21">
        <v>135.66999999999999</v>
      </c>
      <c r="E1332" s="3">
        <v>90.45</v>
      </c>
      <c r="F1332" s="3">
        <v>30.63</v>
      </c>
      <c r="G1332" s="3">
        <v>442.9</v>
      </c>
      <c r="H1332" s="3">
        <v>3.4359999999999999</v>
      </c>
      <c r="I1332" s="13">
        <f t="shared" si="21"/>
        <v>2.9529872673849171</v>
      </c>
    </row>
    <row r="1333" spans="2:36">
      <c r="C1333" s="46">
        <v>2.31</v>
      </c>
      <c r="D1333" s="21">
        <v>150.81</v>
      </c>
      <c r="E1333" s="3">
        <v>90.5</v>
      </c>
      <c r="F1333" s="3">
        <v>30.24</v>
      </c>
      <c r="G1333" s="3">
        <v>445.4</v>
      </c>
      <c r="H1333" s="3">
        <v>3.1379999999999999</v>
      </c>
      <c r="I1333" s="13">
        <f t="shared" si="21"/>
        <v>2.9927248677248679</v>
      </c>
    </row>
    <row r="1334" spans="2:36">
      <c r="C1334" s="46">
        <v>2.3959999999999999</v>
      </c>
      <c r="D1334" s="21">
        <v>107.16</v>
      </c>
      <c r="E1334" s="3">
        <v>90.73</v>
      </c>
      <c r="F1334" s="3">
        <v>30.6</v>
      </c>
      <c r="G1334" s="3">
        <v>448.6</v>
      </c>
      <c r="H1334" s="3">
        <v>3.1320000000000001</v>
      </c>
      <c r="I1334" s="13">
        <f t="shared" si="21"/>
        <v>2.9650326797385622</v>
      </c>
    </row>
    <row r="1335" spans="2:36">
      <c r="C1335" s="46">
        <v>2.3969999999999998</v>
      </c>
      <c r="D1335" s="21">
        <v>96.63</v>
      </c>
      <c r="E1335" s="3">
        <v>90.32</v>
      </c>
      <c r="F1335" s="3">
        <v>30.99</v>
      </c>
      <c r="G1335" s="3">
        <v>453.3</v>
      </c>
      <c r="H1335" s="3">
        <v>3.5419999999999998</v>
      </c>
      <c r="I1335" s="13">
        <f t="shared" si="21"/>
        <v>2.914488544691836</v>
      </c>
    </row>
    <row r="1336" spans="2:36">
      <c r="C1336" s="46">
        <v>2.391</v>
      </c>
      <c r="D1336" s="21">
        <v>129.68</v>
      </c>
      <c r="E1336" s="3">
        <v>90.4</v>
      </c>
      <c r="F1336" s="3">
        <v>30.56</v>
      </c>
      <c r="G1336" s="3">
        <v>449.5</v>
      </c>
      <c r="H1336" s="3">
        <v>4.3099999999999996</v>
      </c>
      <c r="I1336" s="13">
        <f t="shared" si="21"/>
        <v>2.9581151832460737</v>
      </c>
    </row>
    <row r="1337" spans="2:36">
      <c r="C1337" s="46">
        <v>2.399</v>
      </c>
      <c r="D1337" s="21">
        <v>124.36</v>
      </c>
      <c r="E1337" s="3">
        <v>90.52</v>
      </c>
      <c r="F1337" s="3">
        <v>30.55</v>
      </c>
      <c r="G1337" s="3">
        <v>438.4</v>
      </c>
      <c r="H1337" s="3">
        <v>3.3039999999999998</v>
      </c>
      <c r="I1337" s="13">
        <f t="shared" si="21"/>
        <v>2.9630114566284775</v>
      </c>
    </row>
    <row r="1338" spans="2:36">
      <c r="C1338" s="46">
        <v>2.3759999999999999</v>
      </c>
      <c r="D1338" s="21">
        <v>131.91999999999999</v>
      </c>
      <c r="E1338" s="3">
        <v>90.56</v>
      </c>
      <c r="F1338" s="3">
        <v>31.16</v>
      </c>
      <c r="G1338" s="3">
        <v>437.3</v>
      </c>
      <c r="H1338" s="3">
        <v>3.6629999999999998</v>
      </c>
      <c r="I1338" s="13">
        <f t="shared" si="21"/>
        <v>2.9062901155327343</v>
      </c>
    </row>
    <row r="1339" spans="2:36">
      <c r="C1339" s="46">
        <v>2.3690000000000002</v>
      </c>
      <c r="D1339" s="21">
        <v>139.72999999999999</v>
      </c>
      <c r="E1339" s="3">
        <v>90.45</v>
      </c>
      <c r="F1339" s="3">
        <v>30.61</v>
      </c>
      <c r="G1339" s="3">
        <v>430</v>
      </c>
      <c r="H1339" s="3">
        <v>3.1379999999999999</v>
      </c>
      <c r="I1339" s="13">
        <f t="shared" si="21"/>
        <v>2.9549166938908855</v>
      </c>
    </row>
    <row r="1340" spans="2:36">
      <c r="C1340" s="46">
        <v>2.391</v>
      </c>
      <c r="D1340" s="21">
        <v>131.66</v>
      </c>
      <c r="E1340" s="3">
        <v>90.3</v>
      </c>
      <c r="F1340" s="3">
        <v>30.41</v>
      </c>
      <c r="G1340" s="3">
        <v>433.3</v>
      </c>
      <c r="H1340" s="3">
        <v>3.4980000000000002</v>
      </c>
      <c r="I1340" s="13">
        <f t="shared" si="21"/>
        <v>2.9694179546201904</v>
      </c>
    </row>
    <row r="1341" spans="2:36">
      <c r="C1341" s="46">
        <v>2.3849999999999998</v>
      </c>
      <c r="D1341" s="21">
        <v>129.06</v>
      </c>
      <c r="E1341" s="3">
        <v>90.54</v>
      </c>
      <c r="F1341" s="3">
        <v>30.05</v>
      </c>
      <c r="G1341" s="3">
        <v>433.9</v>
      </c>
      <c r="H1341" s="3">
        <v>3.5419999999999998</v>
      </c>
      <c r="I1341" s="13">
        <f t="shared" si="21"/>
        <v>3.0129783693843595</v>
      </c>
    </row>
    <row r="1342" spans="2:36" s="35" customFormat="1">
      <c r="B1342" s="16">
        <v>68</v>
      </c>
      <c r="C1342" s="47">
        <v>1.3180000000000001</v>
      </c>
      <c r="D1342" s="16">
        <v>98.7</v>
      </c>
      <c r="E1342" s="16">
        <v>99.99</v>
      </c>
      <c r="F1342" s="16">
        <v>30.17</v>
      </c>
      <c r="G1342" s="16">
        <v>439.8</v>
      </c>
      <c r="H1342" s="16">
        <v>3.6909999999999998</v>
      </c>
      <c r="I1342" s="13">
        <f t="shared" si="21"/>
        <v>3.3142194232681468</v>
      </c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</row>
    <row r="1343" spans="2:36">
      <c r="C1343" s="46">
        <v>1.2569999999999999</v>
      </c>
      <c r="D1343" s="3">
        <v>99.9</v>
      </c>
      <c r="E1343" s="3">
        <v>100.3</v>
      </c>
      <c r="F1343" s="3">
        <v>30.18</v>
      </c>
      <c r="G1343" s="3">
        <v>436.6</v>
      </c>
      <c r="H1343" s="3">
        <v>3.0059999999999998</v>
      </c>
      <c r="I1343" s="13">
        <f t="shared" si="21"/>
        <v>3.3233929754804508</v>
      </c>
    </row>
    <row r="1344" spans="2:36">
      <c r="C1344" s="46">
        <v>1.282</v>
      </c>
      <c r="D1344" s="3">
        <v>97.5</v>
      </c>
      <c r="E1344" s="3">
        <v>100.2</v>
      </c>
      <c r="F1344" s="3">
        <v>30.15</v>
      </c>
      <c r="G1344" s="3">
        <v>437</v>
      </c>
      <c r="H1344" s="3">
        <v>3.9289999999999998</v>
      </c>
      <c r="I1344" s="13">
        <f t="shared" si="21"/>
        <v>3.3233830845771148</v>
      </c>
    </row>
    <row r="1345" spans="3:9">
      <c r="C1345" s="46">
        <v>1.3069999999999999</v>
      </c>
      <c r="D1345" s="3">
        <v>102.1</v>
      </c>
      <c r="E1345" s="3">
        <v>100.6</v>
      </c>
      <c r="F1345" s="3">
        <v>29.75</v>
      </c>
      <c r="G1345" s="3">
        <v>439.5</v>
      </c>
      <c r="H1345" s="3">
        <v>3.2080000000000002</v>
      </c>
      <c r="I1345" s="13">
        <f t="shared" si="21"/>
        <v>3.3815126050420168</v>
      </c>
    </row>
    <row r="1346" spans="3:9">
      <c r="C1346" s="46">
        <v>1.3240000000000001</v>
      </c>
      <c r="D1346" s="3">
        <v>122.7</v>
      </c>
      <c r="E1346" s="3">
        <v>99.45</v>
      </c>
      <c r="F1346" s="3">
        <v>29.22</v>
      </c>
      <c r="G1346" s="3">
        <v>438.6</v>
      </c>
      <c r="H1346" s="3">
        <v>3.8250000000000002</v>
      </c>
      <c r="I1346" s="13">
        <f t="shared" si="21"/>
        <v>3.4034907597535935</v>
      </c>
    </row>
    <row r="1347" spans="3:9">
      <c r="C1347" s="46">
        <v>1.3360000000000001</v>
      </c>
      <c r="D1347" s="3">
        <v>114.4</v>
      </c>
      <c r="E1347" s="3">
        <v>99.76</v>
      </c>
      <c r="F1347" s="3">
        <v>29.17</v>
      </c>
      <c r="G1347" s="3">
        <v>439.5</v>
      </c>
      <c r="H1347" s="3">
        <v>3.1970000000000001</v>
      </c>
      <c r="I1347" s="13">
        <f t="shared" si="21"/>
        <v>3.4199520054850874</v>
      </c>
    </row>
    <row r="1348" spans="3:9">
      <c r="C1348" s="46">
        <v>1.341</v>
      </c>
      <c r="D1348" s="3">
        <v>90.14</v>
      </c>
      <c r="E1348" s="3">
        <v>100.1</v>
      </c>
      <c r="F1348" s="3">
        <v>29</v>
      </c>
      <c r="G1348" s="3">
        <v>437.4</v>
      </c>
      <c r="H1348" s="3">
        <v>3.1429999999999998</v>
      </c>
      <c r="I1348" s="13">
        <f t="shared" si="21"/>
        <v>3.4517241379310342</v>
      </c>
    </row>
    <row r="1349" spans="3:9">
      <c r="C1349" s="46">
        <v>1.3360000000000001</v>
      </c>
      <c r="D1349" s="3">
        <v>98.7</v>
      </c>
      <c r="E1349" s="3">
        <v>99.86</v>
      </c>
      <c r="F1349" s="3">
        <v>29.56</v>
      </c>
      <c r="G1349" s="3">
        <v>441.1</v>
      </c>
      <c r="H1349" s="3">
        <v>3.1520000000000001</v>
      </c>
      <c r="I1349" s="13">
        <f t="shared" si="21"/>
        <v>3.3782138024357242</v>
      </c>
    </row>
    <row r="1350" spans="3:9">
      <c r="C1350" s="46">
        <v>1.29</v>
      </c>
      <c r="D1350" s="3">
        <v>84.52</v>
      </c>
      <c r="E1350" s="3">
        <v>99.59</v>
      </c>
      <c r="F1350" s="3">
        <v>29.76</v>
      </c>
      <c r="G1350" s="3">
        <v>439</v>
      </c>
      <c r="H1350" s="3">
        <v>3.1749999999999998</v>
      </c>
      <c r="I1350" s="13">
        <f t="shared" si="21"/>
        <v>3.3464381720430105</v>
      </c>
    </row>
    <row r="1351" spans="3:9">
      <c r="C1351" s="46">
        <v>1.319</v>
      </c>
      <c r="D1351" s="3">
        <v>81.72</v>
      </c>
      <c r="E1351" s="3">
        <v>100.4</v>
      </c>
      <c r="F1351" s="3">
        <v>29.94</v>
      </c>
      <c r="G1351" s="3">
        <v>437.9</v>
      </c>
      <c r="H1351" s="3">
        <v>3.173</v>
      </c>
      <c r="I1351" s="13">
        <f t="shared" si="21"/>
        <v>3.3533734134936539</v>
      </c>
    </row>
    <row r="1352" spans="3:9">
      <c r="C1352" s="46">
        <v>1.31</v>
      </c>
      <c r="D1352" s="3">
        <v>93.8</v>
      </c>
      <c r="E1352" s="3">
        <v>100.6</v>
      </c>
      <c r="F1352" s="3">
        <v>29.16</v>
      </c>
      <c r="G1352" s="3">
        <v>439.1</v>
      </c>
      <c r="H1352" s="3">
        <v>3.1859999999999999</v>
      </c>
      <c r="I1352" s="13">
        <f t="shared" si="21"/>
        <v>3.4499314128943754</v>
      </c>
    </row>
    <row r="1353" spans="3:9">
      <c r="C1353" s="46">
        <v>1.3240000000000001</v>
      </c>
      <c r="D1353" s="3">
        <v>92.37</v>
      </c>
      <c r="E1353" s="3">
        <v>99.55</v>
      </c>
      <c r="F1353" s="3">
        <v>28.97</v>
      </c>
      <c r="G1353" s="3">
        <v>436.3</v>
      </c>
      <c r="H1353" s="3">
        <v>3.24</v>
      </c>
      <c r="I1353" s="13">
        <f t="shared" si="21"/>
        <v>3.4363134276838108</v>
      </c>
    </row>
    <row r="1354" spans="3:9">
      <c r="C1354" s="46">
        <v>1.3069999999999999</v>
      </c>
      <c r="D1354" s="3">
        <v>108.5</v>
      </c>
      <c r="E1354" s="3">
        <v>99.62</v>
      </c>
      <c r="F1354" s="3">
        <v>29.75</v>
      </c>
      <c r="G1354" s="3">
        <v>434.9</v>
      </c>
      <c r="H1354" s="3">
        <v>3.4820000000000002</v>
      </c>
      <c r="I1354" s="13">
        <f t="shared" si="21"/>
        <v>3.3485714285714288</v>
      </c>
    </row>
    <row r="1355" spans="3:9">
      <c r="C1355" s="46">
        <v>1.282</v>
      </c>
      <c r="D1355" s="3">
        <v>100.1</v>
      </c>
      <c r="E1355" s="3">
        <v>101</v>
      </c>
      <c r="F1355" s="3">
        <v>29.96</v>
      </c>
      <c r="G1355" s="3">
        <v>434.8</v>
      </c>
      <c r="H1355" s="3">
        <v>3.5419999999999998</v>
      </c>
      <c r="I1355" s="13">
        <f t="shared" si="21"/>
        <v>3.3711615487316422</v>
      </c>
    </row>
    <row r="1356" spans="3:9">
      <c r="C1356" s="46">
        <v>1.337</v>
      </c>
      <c r="D1356" s="3">
        <v>92.37</v>
      </c>
      <c r="E1356" s="3">
        <v>100</v>
      </c>
      <c r="F1356" s="3">
        <v>29.76</v>
      </c>
      <c r="G1356" s="3">
        <v>437.4</v>
      </c>
      <c r="H1356" s="3">
        <v>3.6179999999999999</v>
      </c>
      <c r="I1356" s="13">
        <f t="shared" si="21"/>
        <v>3.3602150537634405</v>
      </c>
    </row>
    <row r="1357" spans="3:9">
      <c r="C1357" s="46">
        <v>1.3180000000000001</v>
      </c>
      <c r="D1357" s="3">
        <v>83.02</v>
      </c>
      <c r="E1357" s="3">
        <v>99.75</v>
      </c>
      <c r="F1357" s="3">
        <v>29.35</v>
      </c>
      <c r="G1357" s="3">
        <v>436.8</v>
      </c>
      <c r="H1357" s="3">
        <v>3.4660000000000002</v>
      </c>
      <c r="I1357" s="13">
        <f t="shared" si="21"/>
        <v>3.3986371379897782</v>
      </c>
    </row>
    <row r="1358" spans="3:9">
      <c r="C1358" s="46">
        <v>1.3089999999999999</v>
      </c>
      <c r="D1358" s="3">
        <v>85.51</v>
      </c>
      <c r="E1358" s="3">
        <v>100.1</v>
      </c>
      <c r="F1358" s="3">
        <v>29.16</v>
      </c>
      <c r="G1358" s="3">
        <v>438.8</v>
      </c>
      <c r="H1358" s="3">
        <v>3.4489999999999998</v>
      </c>
      <c r="I1358" s="13">
        <f t="shared" si="21"/>
        <v>3.4327846364883401</v>
      </c>
    </row>
    <row r="1359" spans="3:9">
      <c r="C1359" s="46">
        <v>1.29</v>
      </c>
      <c r="D1359" s="3">
        <v>85.59</v>
      </c>
      <c r="E1359" s="3">
        <v>99.38</v>
      </c>
      <c r="F1359" s="3">
        <v>28.97</v>
      </c>
      <c r="G1359" s="3">
        <v>435.9</v>
      </c>
      <c r="H1359" s="3">
        <v>3.4929999999999999</v>
      </c>
      <c r="I1359" s="13">
        <f t="shared" si="21"/>
        <v>3.4304452882292025</v>
      </c>
    </row>
    <row r="1360" spans="3:9">
      <c r="C1360" s="46">
        <v>1.3089999999999999</v>
      </c>
      <c r="D1360" s="3">
        <v>127.6</v>
      </c>
      <c r="E1360" s="3">
        <v>99.28</v>
      </c>
      <c r="F1360" s="3">
        <v>29.16</v>
      </c>
      <c r="G1360" s="3">
        <v>435</v>
      </c>
      <c r="H1360" s="3">
        <v>3.3540000000000001</v>
      </c>
      <c r="I1360" s="13">
        <f t="shared" si="21"/>
        <v>3.4046639231824418</v>
      </c>
    </row>
    <row r="1361" spans="2:36">
      <c r="C1361" s="46">
        <v>1.3180000000000001</v>
      </c>
      <c r="D1361" s="3">
        <v>97.5</v>
      </c>
      <c r="E1361" s="3">
        <v>99.36</v>
      </c>
      <c r="F1361" s="3">
        <v>29.35</v>
      </c>
      <c r="G1361" s="3">
        <v>430.8</v>
      </c>
      <c r="H1361" s="3">
        <v>3.242</v>
      </c>
      <c r="I1361" s="13">
        <f t="shared" si="21"/>
        <v>3.385349233390119</v>
      </c>
    </row>
    <row r="1362" spans="2:36" s="35" customFormat="1">
      <c r="B1362" s="16">
        <v>69</v>
      </c>
      <c r="C1362" s="47">
        <v>1.9350000000000001</v>
      </c>
      <c r="D1362" s="16">
        <v>93.7</v>
      </c>
      <c r="E1362" s="16">
        <v>99.04</v>
      </c>
      <c r="F1362" s="16">
        <v>37.43</v>
      </c>
      <c r="G1362" s="16">
        <v>326.7</v>
      </c>
      <c r="H1362" s="16">
        <v>3.391</v>
      </c>
      <c r="I1362" s="13">
        <f t="shared" si="21"/>
        <v>2.6460058776382582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</row>
    <row r="1363" spans="2:36">
      <c r="C1363" s="46">
        <v>1.9139999999999999</v>
      </c>
      <c r="D1363" s="3">
        <v>85.6</v>
      </c>
      <c r="E1363" s="3">
        <v>100.1</v>
      </c>
      <c r="F1363" s="3">
        <v>36.76</v>
      </c>
      <c r="G1363" s="3">
        <v>309.8</v>
      </c>
      <c r="H1363" s="3">
        <v>3.4660000000000002</v>
      </c>
      <c r="I1363" s="13">
        <f t="shared" si="21"/>
        <v>2.7230685527747553</v>
      </c>
    </row>
    <row r="1364" spans="2:36">
      <c r="C1364" s="46">
        <v>1.9079999999999999</v>
      </c>
      <c r="D1364" s="3">
        <v>82.7</v>
      </c>
      <c r="E1364" s="3">
        <v>100</v>
      </c>
      <c r="F1364" s="3">
        <v>36.229999999999997</v>
      </c>
      <c r="G1364" s="3">
        <v>304.5</v>
      </c>
      <c r="H1364" s="3">
        <v>3.44</v>
      </c>
      <c r="I1364" s="13">
        <f t="shared" si="21"/>
        <v>2.7601435274634283</v>
      </c>
    </row>
    <row r="1365" spans="2:36">
      <c r="C1365" s="46">
        <v>1.88</v>
      </c>
      <c r="D1365" s="3">
        <v>84.9</v>
      </c>
      <c r="E1365" s="3">
        <v>99.6</v>
      </c>
      <c r="F1365" s="3">
        <v>36.82</v>
      </c>
      <c r="G1365" s="3">
        <v>312.10000000000002</v>
      </c>
      <c r="H1365" s="3">
        <v>3.47</v>
      </c>
      <c r="I1365" s="13">
        <f t="shared" si="21"/>
        <v>2.7050516023900051</v>
      </c>
    </row>
    <row r="1366" spans="2:36">
      <c r="C1366" s="46">
        <v>1.9159999999999999</v>
      </c>
      <c r="D1366" s="3">
        <v>91.3</v>
      </c>
      <c r="E1366" s="3">
        <v>99.71</v>
      </c>
      <c r="F1366" s="3">
        <v>36.71</v>
      </c>
      <c r="G1366" s="3">
        <v>328.7</v>
      </c>
      <c r="H1366" s="3">
        <v>3.54</v>
      </c>
      <c r="I1366" s="13">
        <f t="shared" ref="I1366:I1429" si="22">E1366/F1366</f>
        <v>2.7161536366112773</v>
      </c>
    </row>
    <row r="1367" spans="2:36">
      <c r="C1367" s="46">
        <v>1.9139999999999999</v>
      </c>
      <c r="D1367" s="3">
        <v>87.6</v>
      </c>
      <c r="E1367" s="3">
        <v>99.32</v>
      </c>
      <c r="F1367" s="3">
        <v>36.6</v>
      </c>
      <c r="G1367" s="3">
        <v>335.9</v>
      </c>
      <c r="H1367" s="3">
        <v>3.448</v>
      </c>
      <c r="I1367" s="13">
        <f t="shared" si="22"/>
        <v>2.7136612021857922</v>
      </c>
    </row>
    <row r="1368" spans="2:36">
      <c r="C1368" s="46">
        <v>1.9350000000000001</v>
      </c>
      <c r="D1368" s="3">
        <v>97.7</v>
      </c>
      <c r="E1368" s="3">
        <v>99.53</v>
      </c>
      <c r="F1368" s="3">
        <v>36.71</v>
      </c>
      <c r="G1368" s="3">
        <v>338.7</v>
      </c>
      <c r="H1368" s="3">
        <v>3.4580000000000002</v>
      </c>
      <c r="I1368" s="13">
        <f t="shared" si="22"/>
        <v>2.7112503405066737</v>
      </c>
    </row>
    <row r="1369" spans="2:36">
      <c r="C1369" s="46">
        <v>1.893</v>
      </c>
      <c r="D1369" s="3">
        <v>115.7</v>
      </c>
      <c r="E1369" s="3">
        <v>99.71</v>
      </c>
      <c r="F1369" s="3">
        <v>36.82</v>
      </c>
      <c r="G1369" s="3">
        <v>337.9</v>
      </c>
      <c r="H1369" s="3">
        <v>3.4140000000000001</v>
      </c>
      <c r="I1369" s="13">
        <f t="shared" si="22"/>
        <v>2.7080391091797935</v>
      </c>
    </row>
    <row r="1370" spans="2:36">
      <c r="C1370" s="46">
        <v>1.8420000000000001</v>
      </c>
      <c r="D1370" s="3">
        <v>99.3</v>
      </c>
      <c r="E1370" s="3">
        <v>99.82</v>
      </c>
      <c r="F1370" s="3">
        <v>36.880000000000003</v>
      </c>
      <c r="G1370" s="3">
        <v>340.1</v>
      </c>
      <c r="H1370" s="3">
        <v>3.4470000000000001</v>
      </c>
      <c r="I1370" s="13">
        <f t="shared" si="22"/>
        <v>2.706616052060737</v>
      </c>
    </row>
    <row r="1371" spans="2:36">
      <c r="C1371" s="46">
        <v>1.835</v>
      </c>
      <c r="D1371" s="3">
        <v>95.9</v>
      </c>
      <c r="E1371" s="3">
        <v>99.76</v>
      </c>
      <c r="F1371" s="3">
        <v>36.83</v>
      </c>
      <c r="G1371" s="3">
        <v>345.2</v>
      </c>
      <c r="H1371" s="3">
        <v>3.4529999999999998</v>
      </c>
      <c r="I1371" s="13">
        <f t="shared" si="22"/>
        <v>2.7086614173228347</v>
      </c>
    </row>
    <row r="1372" spans="2:36">
      <c r="C1372" s="46">
        <v>1.857</v>
      </c>
      <c r="D1372" s="3">
        <v>82.6</v>
      </c>
      <c r="E1372" s="3">
        <v>99.69</v>
      </c>
      <c r="F1372" s="3">
        <v>36.83</v>
      </c>
      <c r="G1372" s="3">
        <v>350.4</v>
      </c>
      <c r="H1372" s="3">
        <v>3.3889999999999998</v>
      </c>
      <c r="I1372" s="13">
        <f t="shared" si="22"/>
        <v>2.7067607928319304</v>
      </c>
    </row>
    <row r="1373" spans="2:36">
      <c r="C1373" s="46">
        <v>1.893</v>
      </c>
      <c r="D1373" s="3">
        <v>61.9</v>
      </c>
      <c r="E1373" s="3">
        <v>99.73</v>
      </c>
      <c r="F1373" s="3">
        <v>36.520000000000003</v>
      </c>
      <c r="G1373" s="3">
        <v>347.9</v>
      </c>
      <c r="H1373" s="3">
        <v>3.4380000000000002</v>
      </c>
      <c r="I1373" s="13">
        <f t="shared" si="22"/>
        <v>2.7308324205914567</v>
      </c>
    </row>
    <row r="1374" spans="2:36">
      <c r="C1374" s="46">
        <v>1.9159999999999999</v>
      </c>
      <c r="D1374" s="3">
        <v>92.2</v>
      </c>
      <c r="E1374" s="3">
        <v>99.92</v>
      </c>
      <c r="F1374" s="3">
        <v>36.42</v>
      </c>
      <c r="G1374" s="3">
        <v>334.2</v>
      </c>
      <c r="H1374" s="3">
        <v>3.415</v>
      </c>
      <c r="I1374" s="13">
        <f t="shared" si="22"/>
        <v>2.7435475013728721</v>
      </c>
    </row>
    <row r="1375" spans="2:36">
      <c r="C1375" s="46">
        <v>1.88</v>
      </c>
      <c r="D1375" s="3">
        <v>72.3</v>
      </c>
      <c r="E1375" s="3">
        <v>100.1</v>
      </c>
      <c r="F1375" s="3">
        <v>36.729999999999997</v>
      </c>
      <c r="G1375" s="3">
        <v>337.2</v>
      </c>
      <c r="H1375" s="3">
        <v>3.423</v>
      </c>
      <c r="I1375" s="13">
        <f t="shared" si="22"/>
        <v>2.7252926762864145</v>
      </c>
    </row>
    <row r="1376" spans="2:36">
      <c r="C1376" s="46">
        <v>1.9079999999999999</v>
      </c>
      <c r="D1376" s="3">
        <v>86.6</v>
      </c>
      <c r="E1376" s="3">
        <v>100.3</v>
      </c>
      <c r="F1376" s="3">
        <v>36.659999999999997</v>
      </c>
      <c r="G1376" s="3">
        <v>338.2</v>
      </c>
      <c r="H1376" s="3">
        <v>3.431</v>
      </c>
      <c r="I1376" s="13">
        <f t="shared" si="22"/>
        <v>2.7359519912711403</v>
      </c>
    </row>
    <row r="1377" spans="2:36">
      <c r="C1377" s="46">
        <v>1.861</v>
      </c>
      <c r="D1377" s="3">
        <v>94.4</v>
      </c>
      <c r="E1377" s="3">
        <v>99.67</v>
      </c>
      <c r="F1377" s="3">
        <v>36.380000000000003</v>
      </c>
      <c r="G1377" s="3">
        <v>348.4</v>
      </c>
      <c r="H1377" s="3">
        <v>3.395</v>
      </c>
      <c r="I1377" s="13">
        <f t="shared" si="22"/>
        <v>2.739692138537658</v>
      </c>
    </row>
    <row r="1378" spans="2:36">
      <c r="C1378" s="46">
        <v>1.88</v>
      </c>
      <c r="D1378" s="3">
        <v>99.2</v>
      </c>
      <c r="E1378" s="3">
        <v>99.23</v>
      </c>
      <c r="F1378" s="3">
        <v>36.93</v>
      </c>
      <c r="G1378" s="3">
        <v>340.6</v>
      </c>
      <c r="H1378" s="3">
        <v>3.4039999999999999</v>
      </c>
      <c r="I1378" s="13">
        <f t="shared" si="22"/>
        <v>2.6869753587868943</v>
      </c>
    </row>
    <row r="1379" spans="2:36">
      <c r="C1379" s="46">
        <v>1.833</v>
      </c>
      <c r="D1379" s="3">
        <v>70.099999999999994</v>
      </c>
      <c r="E1379" s="3">
        <v>99.16</v>
      </c>
      <c r="F1379" s="3">
        <v>36.82</v>
      </c>
      <c r="G1379" s="3">
        <v>344.2</v>
      </c>
      <c r="H1379" s="3">
        <v>3.4380000000000002</v>
      </c>
      <c r="I1379" s="13">
        <f t="shared" si="22"/>
        <v>2.6931015752308527</v>
      </c>
    </row>
    <row r="1380" spans="2:36">
      <c r="C1380" s="46">
        <v>1.83</v>
      </c>
      <c r="D1380" s="3">
        <v>82</v>
      </c>
      <c r="E1380" s="3">
        <v>99.27</v>
      </c>
      <c r="F1380" s="3">
        <v>37.200000000000003</v>
      </c>
      <c r="G1380" s="3">
        <v>340.8</v>
      </c>
      <c r="H1380" s="3">
        <v>3.468</v>
      </c>
      <c r="I1380" s="13">
        <f t="shared" si="22"/>
        <v>2.6685483870967737</v>
      </c>
    </row>
    <row r="1381" spans="2:36">
      <c r="C1381" s="46">
        <v>1.92</v>
      </c>
      <c r="D1381" s="3">
        <v>82.1</v>
      </c>
      <c r="E1381" s="3">
        <v>99.2</v>
      </c>
      <c r="F1381" s="3">
        <v>36.76</v>
      </c>
      <c r="G1381" s="3">
        <v>337.4</v>
      </c>
      <c r="H1381" s="3">
        <v>3.3980000000000001</v>
      </c>
      <c r="I1381" s="13">
        <f t="shared" si="22"/>
        <v>2.6985854189336238</v>
      </c>
    </row>
    <row r="1382" spans="2:36" s="35" customFormat="1">
      <c r="B1382" s="16">
        <v>70</v>
      </c>
      <c r="C1382" s="47">
        <v>1.093</v>
      </c>
      <c r="D1382" s="16">
        <v>110.5</v>
      </c>
      <c r="E1382" s="16">
        <v>86</v>
      </c>
      <c r="F1382" s="16">
        <v>29.32</v>
      </c>
      <c r="G1382" s="16">
        <v>502.7</v>
      </c>
      <c r="H1382" s="16">
        <v>1.9119999999999999</v>
      </c>
      <c r="I1382" s="13">
        <f t="shared" si="22"/>
        <v>2.933151432469304</v>
      </c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</row>
    <row r="1383" spans="2:36">
      <c r="C1383" s="46">
        <v>1.1060000000000001</v>
      </c>
      <c r="D1383" s="3">
        <v>102.4</v>
      </c>
      <c r="E1383" s="3">
        <v>86.53</v>
      </c>
      <c r="F1383" s="3">
        <v>28.97</v>
      </c>
      <c r="G1383" s="3">
        <v>500.3</v>
      </c>
      <c r="H1383" s="3">
        <v>2.056</v>
      </c>
      <c r="I1383" s="13">
        <f t="shared" si="22"/>
        <v>2.9868829823955818</v>
      </c>
    </row>
    <row r="1384" spans="2:36">
      <c r="C1384" s="46">
        <v>1.117</v>
      </c>
      <c r="D1384" s="3">
        <v>105</v>
      </c>
      <c r="E1384" s="3">
        <v>86.47</v>
      </c>
      <c r="F1384" s="3">
        <v>29.08</v>
      </c>
      <c r="G1384" s="3">
        <v>500</v>
      </c>
      <c r="H1384" s="3">
        <v>2.08</v>
      </c>
      <c r="I1384" s="13">
        <f t="shared" si="22"/>
        <v>2.9735213204951858</v>
      </c>
    </row>
    <row r="1385" spans="2:36">
      <c r="C1385" s="46">
        <v>1.1299999999999999</v>
      </c>
      <c r="D1385" s="3">
        <v>129.80000000000001</v>
      </c>
      <c r="E1385" s="3">
        <v>86.24</v>
      </c>
      <c r="F1385" s="3">
        <v>29.17</v>
      </c>
      <c r="G1385" s="3">
        <v>499.5</v>
      </c>
      <c r="H1385" s="3">
        <v>2.0859999999999999</v>
      </c>
      <c r="I1385" s="13">
        <f t="shared" si="22"/>
        <v>2.9564621186150153</v>
      </c>
    </row>
    <row r="1386" spans="2:36">
      <c r="C1386" s="46">
        <v>1.1319999999999999</v>
      </c>
      <c r="D1386" s="3">
        <v>100.3</v>
      </c>
      <c r="E1386" s="3">
        <v>86.13</v>
      </c>
      <c r="F1386" s="3">
        <v>28.33</v>
      </c>
      <c r="G1386" s="3">
        <v>499.2</v>
      </c>
      <c r="H1386" s="3">
        <v>2.1539999999999999</v>
      </c>
      <c r="I1386" s="13">
        <f t="shared" si="22"/>
        <v>3.0402400282386162</v>
      </c>
    </row>
    <row r="1387" spans="2:36">
      <c r="C1387" s="46">
        <v>1.113</v>
      </c>
      <c r="D1387" s="3">
        <v>106.1</v>
      </c>
      <c r="E1387" s="3">
        <v>86.32</v>
      </c>
      <c r="F1387" s="3">
        <v>28.39</v>
      </c>
      <c r="G1387" s="3">
        <v>499.7</v>
      </c>
      <c r="H1387" s="3">
        <v>2.286</v>
      </c>
      <c r="I1387" s="13">
        <f t="shared" si="22"/>
        <v>3.0405072208524127</v>
      </c>
    </row>
    <row r="1388" spans="2:36">
      <c r="C1388" s="46">
        <v>1.0880000000000001</v>
      </c>
      <c r="D1388" s="3">
        <v>133.69999999999999</v>
      </c>
      <c r="E1388" s="3">
        <v>86.69</v>
      </c>
      <c r="F1388" s="3">
        <v>28.3</v>
      </c>
      <c r="G1388" s="3">
        <v>500.1</v>
      </c>
      <c r="H1388" s="3">
        <v>2.2530000000000001</v>
      </c>
      <c r="I1388" s="13">
        <f t="shared" si="22"/>
        <v>3.0632508833922261</v>
      </c>
    </row>
    <row r="1389" spans="2:36">
      <c r="C1389" s="46">
        <v>1.0740000000000001</v>
      </c>
      <c r="D1389" s="3">
        <v>121.6</v>
      </c>
      <c r="E1389" s="3">
        <v>86.32</v>
      </c>
      <c r="F1389" s="3">
        <v>28.36</v>
      </c>
      <c r="G1389" s="3">
        <v>494.4</v>
      </c>
      <c r="H1389" s="3">
        <v>2.056</v>
      </c>
      <c r="I1389" s="13">
        <f t="shared" si="22"/>
        <v>3.0437235543018333</v>
      </c>
    </row>
    <row r="1390" spans="2:36">
      <c r="C1390" s="46">
        <v>1.079</v>
      </c>
      <c r="D1390" s="3">
        <v>111.5</v>
      </c>
      <c r="E1390" s="3">
        <v>86.16</v>
      </c>
      <c r="F1390" s="3">
        <v>28.81</v>
      </c>
      <c r="G1390" s="3">
        <v>493.3</v>
      </c>
      <c r="H1390" s="3">
        <v>2.0390000000000001</v>
      </c>
      <c r="I1390" s="13">
        <f t="shared" si="22"/>
        <v>2.990628254078445</v>
      </c>
    </row>
    <row r="1391" spans="2:36">
      <c r="C1391" s="46">
        <v>1.0720000000000001</v>
      </c>
      <c r="D1391" s="3">
        <v>166</v>
      </c>
      <c r="E1391" s="3">
        <v>86.56</v>
      </c>
      <c r="F1391" s="3">
        <v>29.14</v>
      </c>
      <c r="G1391" s="3">
        <v>494.2</v>
      </c>
      <c r="H1391" s="3">
        <v>2.161</v>
      </c>
      <c r="I1391" s="13">
        <f t="shared" si="22"/>
        <v>2.9704873026767329</v>
      </c>
    </row>
    <row r="1392" spans="2:36">
      <c r="C1392" s="46">
        <v>1.1120000000000001</v>
      </c>
      <c r="D1392" s="3">
        <v>109.3</v>
      </c>
      <c r="E1392" s="3">
        <v>86.76</v>
      </c>
      <c r="F1392" s="3">
        <v>28.5</v>
      </c>
      <c r="G1392" s="3">
        <v>498.4</v>
      </c>
      <c r="H1392" s="3">
        <v>2.2250000000000001</v>
      </c>
      <c r="I1392" s="13">
        <f t="shared" si="22"/>
        <v>3.0442105263157897</v>
      </c>
    </row>
    <row r="1393" spans="2:36">
      <c r="C1393" s="46">
        <v>1.117</v>
      </c>
      <c r="D1393" s="3">
        <v>110.8</v>
      </c>
      <c r="E1393" s="3">
        <v>86.32</v>
      </c>
      <c r="F1393" s="3">
        <v>28.37</v>
      </c>
      <c r="G1393" s="3">
        <v>497.7</v>
      </c>
      <c r="H1393" s="3">
        <v>2.2120000000000002</v>
      </c>
      <c r="I1393" s="13">
        <f t="shared" si="22"/>
        <v>3.0426506873457875</v>
      </c>
    </row>
    <row r="1394" spans="2:36">
      <c r="C1394" s="46">
        <v>1.1140000000000001</v>
      </c>
      <c r="D1394" s="3">
        <v>105.9</v>
      </c>
      <c r="E1394" s="3">
        <v>86.55</v>
      </c>
      <c r="F1394" s="3">
        <v>28.19</v>
      </c>
      <c r="G1394" s="3">
        <v>500.3</v>
      </c>
      <c r="H1394" s="3">
        <v>2.0390000000000001</v>
      </c>
      <c r="I1394" s="13">
        <f t="shared" si="22"/>
        <v>3.070237672933664</v>
      </c>
    </row>
    <row r="1395" spans="2:36">
      <c r="C1395" s="46">
        <v>1.1020000000000001</v>
      </c>
      <c r="D1395" s="3">
        <v>109.5</v>
      </c>
      <c r="E1395" s="3">
        <v>86.75</v>
      </c>
      <c r="F1395" s="3">
        <v>28.14</v>
      </c>
      <c r="G1395" s="3">
        <v>497.3</v>
      </c>
      <c r="H1395" s="3">
        <v>2.278</v>
      </c>
      <c r="I1395" s="13">
        <f t="shared" si="22"/>
        <v>3.0828002842928215</v>
      </c>
    </row>
    <row r="1396" spans="2:36">
      <c r="C1396" s="46">
        <v>1.1060000000000001</v>
      </c>
      <c r="D1396" s="3">
        <v>105.5</v>
      </c>
      <c r="E1396" s="3">
        <v>86.35</v>
      </c>
      <c r="F1396" s="3">
        <v>28.53</v>
      </c>
      <c r="G1396" s="3">
        <v>502.9</v>
      </c>
      <c r="H1396" s="3">
        <v>2.3340000000000001</v>
      </c>
      <c r="I1396" s="13">
        <f t="shared" si="22"/>
        <v>3.0266386260077107</v>
      </c>
    </row>
    <row r="1397" spans="2:36">
      <c r="C1397" s="46">
        <v>1.1379999999999999</v>
      </c>
      <c r="D1397" s="3">
        <v>109.9</v>
      </c>
      <c r="E1397" s="3">
        <v>86.56</v>
      </c>
      <c r="F1397" s="3">
        <v>28.62</v>
      </c>
      <c r="G1397" s="3">
        <v>500.1</v>
      </c>
      <c r="H1397" s="3">
        <v>2.4929999999999999</v>
      </c>
      <c r="I1397" s="13">
        <f t="shared" si="22"/>
        <v>3.0244584206848359</v>
      </c>
    </row>
    <row r="1398" spans="2:36">
      <c r="C1398" s="46">
        <v>1.1299999999999999</v>
      </c>
      <c r="D1398" s="3">
        <v>105.4</v>
      </c>
      <c r="E1398" s="3">
        <v>86.45</v>
      </c>
      <c r="F1398" s="3">
        <v>28.82</v>
      </c>
      <c r="G1398" s="3">
        <v>502.1</v>
      </c>
      <c r="H1398" s="3">
        <v>2.3719999999999999</v>
      </c>
      <c r="I1398" s="13">
        <f t="shared" si="22"/>
        <v>2.9996530187369883</v>
      </c>
    </row>
    <row r="1399" spans="2:36">
      <c r="C1399" s="46">
        <v>1.1140000000000001</v>
      </c>
      <c r="D1399" s="3">
        <v>100.5</v>
      </c>
      <c r="E1399" s="3">
        <v>86.62</v>
      </c>
      <c r="F1399" s="3">
        <v>29.14</v>
      </c>
      <c r="G1399" s="3">
        <v>501.6</v>
      </c>
      <c r="H1399" s="3">
        <v>2.2269999999999999</v>
      </c>
      <c r="I1399" s="13">
        <f t="shared" si="22"/>
        <v>2.9725463280713798</v>
      </c>
    </row>
    <row r="1400" spans="2:36">
      <c r="C1400" s="46">
        <v>1.0880000000000001</v>
      </c>
      <c r="D1400" s="3">
        <v>100.8</v>
      </c>
      <c r="E1400" s="3">
        <v>86.82</v>
      </c>
      <c r="F1400" s="3">
        <v>29.36</v>
      </c>
      <c r="G1400" s="3">
        <v>493.4</v>
      </c>
      <c r="H1400" s="3">
        <v>2.0840000000000001</v>
      </c>
      <c r="I1400" s="13">
        <f t="shared" si="22"/>
        <v>2.9570844686648501</v>
      </c>
    </row>
    <row r="1401" spans="2:36">
      <c r="C1401" s="46">
        <v>1.125</v>
      </c>
      <c r="D1401" s="3">
        <v>111.7</v>
      </c>
      <c r="E1401" s="3">
        <v>86.13</v>
      </c>
      <c r="F1401" s="3">
        <v>28.86</v>
      </c>
      <c r="G1401" s="3">
        <v>505.1</v>
      </c>
      <c r="H1401" s="3">
        <v>1.857</v>
      </c>
      <c r="I1401" s="13">
        <f t="shared" si="22"/>
        <v>2.9844074844074844</v>
      </c>
    </row>
    <row r="1402" spans="2:36" s="35" customFormat="1">
      <c r="B1402" s="16">
        <v>71</v>
      </c>
      <c r="C1402" s="47">
        <v>2.5219999999999998</v>
      </c>
      <c r="D1402" s="16">
        <v>96.3</v>
      </c>
      <c r="E1402" s="16">
        <v>99.72</v>
      </c>
      <c r="F1402" s="16">
        <v>27.45</v>
      </c>
      <c r="G1402" s="16">
        <v>461.1</v>
      </c>
      <c r="H1402" s="16">
        <v>2.9950000000000001</v>
      </c>
      <c r="I1402" s="13">
        <f t="shared" si="22"/>
        <v>3.6327868852459018</v>
      </c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</row>
    <row r="1403" spans="2:36">
      <c r="C1403" s="46">
        <v>2.4729999999999999</v>
      </c>
      <c r="D1403" s="3">
        <v>117.8</v>
      </c>
      <c r="E1403" s="3">
        <v>100.8</v>
      </c>
      <c r="F1403" s="3">
        <v>27.82</v>
      </c>
      <c r="G1403" s="3">
        <v>461.9</v>
      </c>
      <c r="H1403" s="3">
        <v>2.4540000000000002</v>
      </c>
      <c r="I1403" s="13">
        <f t="shared" si="22"/>
        <v>3.623292595255212</v>
      </c>
    </row>
    <row r="1404" spans="2:36">
      <c r="C1404" s="46">
        <v>2.4700000000000002</v>
      </c>
      <c r="D1404" s="3">
        <v>99.4</v>
      </c>
      <c r="E1404" s="3">
        <v>101.3</v>
      </c>
      <c r="F1404" s="3">
        <v>27.77</v>
      </c>
      <c r="G1404" s="3">
        <v>462.4</v>
      </c>
      <c r="H1404" s="3">
        <v>2.363</v>
      </c>
      <c r="I1404" s="13">
        <f t="shared" si="22"/>
        <v>3.6478213899891969</v>
      </c>
    </row>
    <row r="1405" spans="2:36">
      <c r="C1405" s="46">
        <v>2.464</v>
      </c>
      <c r="D1405" s="3">
        <v>107</v>
      </c>
      <c r="E1405" s="3">
        <v>101.1</v>
      </c>
      <c r="F1405" s="3">
        <v>27.67</v>
      </c>
      <c r="G1405" s="3">
        <v>463.5</v>
      </c>
      <c r="H1405" s="3">
        <v>2.3610000000000002</v>
      </c>
      <c r="I1405" s="13">
        <f t="shared" si="22"/>
        <v>3.6537766534152509</v>
      </c>
    </row>
    <row r="1406" spans="2:36">
      <c r="C1406" s="46">
        <v>2.536</v>
      </c>
      <c r="D1406" s="3">
        <v>124.6</v>
      </c>
      <c r="E1406" s="3">
        <v>101.2</v>
      </c>
      <c r="F1406" s="3">
        <v>27.42</v>
      </c>
      <c r="G1406" s="3">
        <v>465.3</v>
      </c>
      <c r="H1406" s="3">
        <v>2.6269999999999998</v>
      </c>
      <c r="I1406" s="13">
        <f t="shared" si="22"/>
        <v>3.6907366885485047</v>
      </c>
    </row>
    <row r="1407" spans="2:36">
      <c r="C1407" s="46">
        <v>2.5299999999999998</v>
      </c>
      <c r="D1407" s="3">
        <v>105.5</v>
      </c>
      <c r="E1407" s="3">
        <v>100.7</v>
      </c>
      <c r="F1407" s="3">
        <v>27.9</v>
      </c>
      <c r="G1407" s="3">
        <v>464.7</v>
      </c>
      <c r="H1407" s="3">
        <v>2.7440000000000002</v>
      </c>
      <c r="I1407" s="13">
        <f t="shared" si="22"/>
        <v>3.6093189964157708</v>
      </c>
    </row>
    <row r="1408" spans="2:36">
      <c r="C1408" s="46">
        <v>2.4780000000000002</v>
      </c>
      <c r="D1408" s="3">
        <v>90.8</v>
      </c>
      <c r="E1408" s="3">
        <v>99.75</v>
      </c>
      <c r="F1408" s="3">
        <v>27.88</v>
      </c>
      <c r="G1408" s="3">
        <v>462.3</v>
      </c>
      <c r="H1408" s="3">
        <v>2.3879999999999999</v>
      </c>
      <c r="I1408" s="13">
        <f t="shared" si="22"/>
        <v>3.5778335724533719</v>
      </c>
    </row>
    <row r="1409" spans="2:36">
      <c r="C1409" s="46">
        <v>2.4729999999999999</v>
      </c>
      <c r="D1409" s="3">
        <v>85.2</v>
      </c>
      <c r="E1409" s="3">
        <v>100.5</v>
      </c>
      <c r="F1409" s="3">
        <v>27.76</v>
      </c>
      <c r="G1409" s="3">
        <v>460.8</v>
      </c>
      <c r="H1409" s="3">
        <v>2.7320000000000002</v>
      </c>
      <c r="I1409" s="13">
        <f t="shared" si="22"/>
        <v>3.6203170028818441</v>
      </c>
    </row>
    <row r="1410" spans="2:36">
      <c r="C1410" s="46">
        <v>2.34</v>
      </c>
      <c r="D1410" s="3">
        <v>90.6</v>
      </c>
      <c r="E1410" s="3">
        <v>100.3</v>
      </c>
      <c r="F1410" s="3">
        <v>27.81</v>
      </c>
      <c r="G1410" s="3">
        <v>462.1</v>
      </c>
      <c r="H1410" s="3">
        <v>2.8319999999999999</v>
      </c>
      <c r="I1410" s="13">
        <f t="shared" si="22"/>
        <v>3.6066163250629271</v>
      </c>
    </row>
    <row r="1411" spans="2:36">
      <c r="C1411" s="46">
        <v>2.3639999999999999</v>
      </c>
      <c r="D1411" s="3">
        <v>88.3</v>
      </c>
      <c r="E1411" s="3">
        <v>100.7</v>
      </c>
      <c r="F1411" s="3">
        <v>27.43</v>
      </c>
      <c r="G1411" s="3">
        <v>461</v>
      </c>
      <c r="H1411" s="3">
        <v>2.5619999999999998</v>
      </c>
      <c r="I1411" s="13">
        <f t="shared" si="22"/>
        <v>3.6711629602624867</v>
      </c>
    </row>
    <row r="1412" spans="2:36">
      <c r="C1412" s="46">
        <v>2.4700000000000002</v>
      </c>
      <c r="D1412" s="3">
        <v>113</v>
      </c>
      <c r="E1412" s="3">
        <v>100.2</v>
      </c>
      <c r="F1412" s="3">
        <v>27.38</v>
      </c>
      <c r="G1412" s="3">
        <v>461.1</v>
      </c>
      <c r="H1412" s="3">
        <v>2.4969999999999999</v>
      </c>
      <c r="I1412" s="13">
        <f t="shared" si="22"/>
        <v>3.6596055514974437</v>
      </c>
    </row>
    <row r="1413" spans="2:36">
      <c r="C1413" s="46">
        <v>2.5219999999999998</v>
      </c>
      <c r="D1413" s="3">
        <v>101.4</v>
      </c>
      <c r="E1413" s="3">
        <v>100.5</v>
      </c>
      <c r="F1413" s="3">
        <v>27.77</v>
      </c>
      <c r="G1413" s="3">
        <v>461.9</v>
      </c>
      <c r="H1413" s="3">
        <v>2.4750000000000001</v>
      </c>
      <c r="I1413" s="13">
        <f t="shared" si="22"/>
        <v>3.6190133237306448</v>
      </c>
    </row>
    <row r="1414" spans="2:36">
      <c r="C1414" s="46">
        <v>2.5299999999999998</v>
      </c>
      <c r="D1414" s="3">
        <v>110.6</v>
      </c>
      <c r="E1414" s="3">
        <v>100.9</v>
      </c>
      <c r="F1414" s="3">
        <v>27.96</v>
      </c>
      <c r="G1414" s="3">
        <v>462.4</v>
      </c>
      <c r="H1414" s="3">
        <v>2.56</v>
      </c>
      <c r="I1414" s="13">
        <f t="shared" si="22"/>
        <v>3.6087267525035767</v>
      </c>
    </row>
    <row r="1415" spans="2:36">
      <c r="C1415" s="46">
        <v>2.5110000000000001</v>
      </c>
      <c r="D1415" s="3">
        <v>84.6</v>
      </c>
      <c r="E1415" s="3">
        <v>100.3</v>
      </c>
      <c r="F1415" s="3">
        <v>27.88</v>
      </c>
      <c r="G1415" s="3">
        <v>465.4</v>
      </c>
      <c r="H1415" s="3">
        <v>2.7250000000000001</v>
      </c>
      <c r="I1415" s="13">
        <f t="shared" si="22"/>
        <v>3.5975609756097562</v>
      </c>
    </row>
    <row r="1416" spans="2:36">
      <c r="C1416" s="46">
        <v>2.4830000000000001</v>
      </c>
      <c r="D1416" s="3">
        <v>96</v>
      </c>
      <c r="E1416" s="3">
        <v>99.8</v>
      </c>
      <c r="F1416" s="3">
        <v>27.82</v>
      </c>
      <c r="G1416" s="3">
        <v>466.1</v>
      </c>
      <c r="H1416" s="3">
        <v>2.7160000000000002</v>
      </c>
      <c r="I1416" s="13">
        <f t="shared" si="22"/>
        <v>3.587347232207045</v>
      </c>
    </row>
    <row r="1417" spans="2:36">
      <c r="C1417" s="46">
        <v>2.4390000000000001</v>
      </c>
      <c r="D1417" s="3">
        <v>107.1</v>
      </c>
      <c r="E1417" s="3">
        <v>100.4</v>
      </c>
      <c r="F1417" s="3">
        <v>27.74</v>
      </c>
      <c r="G1417" s="3">
        <v>466.4</v>
      </c>
      <c r="H1417" s="3">
        <v>2.8679999999999999</v>
      </c>
      <c r="I1417" s="13">
        <f t="shared" si="22"/>
        <v>3.6193222782984864</v>
      </c>
    </row>
    <row r="1418" spans="2:36">
      <c r="C1418" s="46">
        <v>2.403</v>
      </c>
      <c r="D1418" s="3">
        <v>109.4</v>
      </c>
      <c r="E1418" s="3">
        <v>100.8</v>
      </c>
      <c r="F1418" s="3">
        <v>27.61</v>
      </c>
      <c r="G1418" s="3">
        <v>463.5</v>
      </c>
      <c r="H1418" s="3">
        <v>2.718</v>
      </c>
      <c r="I1418" s="13">
        <f t="shared" si="22"/>
        <v>3.6508511408909814</v>
      </c>
    </row>
    <row r="1419" spans="2:36">
      <c r="C1419" s="46">
        <v>2.3889999999999998</v>
      </c>
      <c r="D1419" s="3">
        <v>107.1</v>
      </c>
      <c r="E1419" s="3">
        <v>100.1</v>
      </c>
      <c r="F1419" s="3">
        <v>27.73</v>
      </c>
      <c r="G1419" s="3">
        <v>463.7</v>
      </c>
      <c r="H1419" s="3">
        <v>2.7719999999999998</v>
      </c>
      <c r="I1419" s="13">
        <f t="shared" si="22"/>
        <v>3.6098088712585645</v>
      </c>
    </row>
    <row r="1420" spans="2:36">
      <c r="C1420" s="46">
        <v>2.4409999999999998</v>
      </c>
      <c r="D1420" s="3">
        <v>109.9</v>
      </c>
      <c r="E1420" s="3">
        <v>99.95</v>
      </c>
      <c r="F1420" s="3">
        <v>27.74</v>
      </c>
      <c r="G1420" s="3">
        <v>463.1</v>
      </c>
      <c r="H1420" s="3">
        <v>2.58</v>
      </c>
      <c r="I1420" s="13">
        <f t="shared" si="22"/>
        <v>3.6031002162941603</v>
      </c>
    </row>
    <row r="1421" spans="2:36">
      <c r="C1421" s="46">
        <v>2.44</v>
      </c>
      <c r="D1421" s="3">
        <v>90.2</v>
      </c>
      <c r="E1421" s="3">
        <v>100.6</v>
      </c>
      <c r="F1421" s="3">
        <v>27.3</v>
      </c>
      <c r="G1421" s="3">
        <v>462.9</v>
      </c>
      <c r="H1421" s="3">
        <v>2.72</v>
      </c>
      <c r="I1421" s="13">
        <f t="shared" si="22"/>
        <v>3.6849816849816848</v>
      </c>
    </row>
    <row r="1422" spans="2:36" s="35" customFormat="1">
      <c r="B1422" s="16">
        <v>72</v>
      </c>
      <c r="C1422" s="47">
        <v>1.9670000000000001</v>
      </c>
      <c r="D1422" s="16">
        <v>100.2</v>
      </c>
      <c r="E1422" s="16">
        <v>117.4</v>
      </c>
      <c r="F1422" s="16">
        <v>31.26</v>
      </c>
      <c r="G1422" s="16">
        <v>477.7</v>
      </c>
      <c r="H1422" s="16">
        <v>4.3680000000000003</v>
      </c>
      <c r="I1422" s="13">
        <f t="shared" si="22"/>
        <v>3.7555982085732564</v>
      </c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</row>
    <row r="1423" spans="2:36">
      <c r="C1423" s="46">
        <v>1.9510000000000001</v>
      </c>
      <c r="D1423" s="3">
        <v>86.5</v>
      </c>
      <c r="E1423" s="3">
        <v>117.7</v>
      </c>
      <c r="F1423" s="3">
        <v>31.68</v>
      </c>
      <c r="G1423" s="3">
        <v>476.1</v>
      </c>
      <c r="H1423" s="3">
        <v>4.22</v>
      </c>
      <c r="I1423" s="13">
        <f t="shared" si="22"/>
        <v>3.7152777777777777</v>
      </c>
    </row>
    <row r="1424" spans="2:36">
      <c r="C1424" s="46">
        <v>1.927</v>
      </c>
      <c r="D1424" s="3">
        <v>91.9</v>
      </c>
      <c r="E1424" s="3">
        <v>118.1</v>
      </c>
      <c r="F1424" s="3">
        <v>31.58</v>
      </c>
      <c r="G1424" s="3">
        <v>481.1</v>
      </c>
      <c r="H1424" s="3">
        <v>4.4379999999999997</v>
      </c>
      <c r="I1424" s="13">
        <f t="shared" si="22"/>
        <v>3.7397086763774543</v>
      </c>
    </row>
    <row r="1425" spans="3:9">
      <c r="C1425" s="46">
        <v>1.9690000000000001</v>
      </c>
      <c r="D1425" s="3">
        <v>90.7</v>
      </c>
      <c r="E1425" s="3">
        <v>118.2</v>
      </c>
      <c r="F1425" s="3">
        <v>31.15</v>
      </c>
      <c r="G1425" s="3">
        <v>482.4</v>
      </c>
      <c r="H1425" s="3">
        <v>4.1829999999999998</v>
      </c>
      <c r="I1425" s="13">
        <f t="shared" si="22"/>
        <v>3.79454253611557</v>
      </c>
    </row>
    <row r="1426" spans="3:9">
      <c r="C1426" s="46">
        <v>1.927</v>
      </c>
      <c r="D1426" s="3">
        <v>104.9</v>
      </c>
      <c r="E1426" s="3">
        <v>118.3</v>
      </c>
      <c r="F1426" s="3">
        <v>31.37</v>
      </c>
      <c r="G1426" s="3">
        <v>485.4</v>
      </c>
      <c r="H1426" s="3">
        <v>4.3570000000000002</v>
      </c>
      <c r="I1426" s="13">
        <f t="shared" si="22"/>
        <v>3.7711189034109021</v>
      </c>
    </row>
    <row r="1427" spans="3:9">
      <c r="C1427" s="46">
        <v>1.931</v>
      </c>
      <c r="D1427" s="3">
        <v>120.1</v>
      </c>
      <c r="E1427" s="3">
        <v>117.7</v>
      </c>
      <c r="F1427" s="3">
        <v>31.04</v>
      </c>
      <c r="G1427" s="3">
        <v>483.6</v>
      </c>
      <c r="H1427" s="3">
        <v>4.2320000000000002</v>
      </c>
      <c r="I1427" s="13">
        <f t="shared" si="22"/>
        <v>3.7918814432989691</v>
      </c>
    </row>
    <row r="1428" spans="3:9">
      <c r="C1428" s="46">
        <v>1.8939999999999999</v>
      </c>
      <c r="D1428" s="3">
        <v>84.7</v>
      </c>
      <c r="E1428" s="3">
        <v>118.2</v>
      </c>
      <c r="F1428" s="3">
        <v>31.9</v>
      </c>
      <c r="G1428" s="3">
        <v>481.6</v>
      </c>
      <c r="H1428" s="3">
        <v>4.1929999999999996</v>
      </c>
      <c r="I1428" s="13">
        <f t="shared" si="22"/>
        <v>3.7053291536050161</v>
      </c>
    </row>
    <row r="1429" spans="3:9">
      <c r="C1429" s="46">
        <v>1.905</v>
      </c>
      <c r="D1429" s="3">
        <v>100.2</v>
      </c>
      <c r="E1429" s="3">
        <v>117.8</v>
      </c>
      <c r="F1429" s="3">
        <v>31.84</v>
      </c>
      <c r="G1429" s="3">
        <v>477.5</v>
      </c>
      <c r="H1429" s="3">
        <v>4.2039999999999997</v>
      </c>
      <c r="I1429" s="13">
        <f t="shared" si="22"/>
        <v>3.699748743718593</v>
      </c>
    </row>
    <row r="1430" spans="3:9">
      <c r="C1430" s="46">
        <v>1.9019999999999999</v>
      </c>
      <c r="D1430" s="3">
        <v>102.5</v>
      </c>
      <c r="E1430" s="3">
        <v>117.9</v>
      </c>
      <c r="F1430" s="3">
        <v>31.68</v>
      </c>
      <c r="G1430" s="3">
        <v>481.6</v>
      </c>
      <c r="H1430" s="3">
        <v>4.157</v>
      </c>
      <c r="I1430" s="13">
        <f t="shared" ref="I1430:I1493" si="23">E1430/F1430</f>
        <v>3.7215909090909092</v>
      </c>
    </row>
    <row r="1431" spans="3:9">
      <c r="C1431" s="46">
        <v>1.9279999999999999</v>
      </c>
      <c r="D1431" s="3">
        <v>104.5</v>
      </c>
      <c r="E1431" s="3">
        <v>117.7</v>
      </c>
      <c r="F1431" s="3">
        <v>31.52</v>
      </c>
      <c r="G1431" s="3">
        <v>479.6</v>
      </c>
      <c r="H1431" s="3">
        <v>4.0780000000000003</v>
      </c>
      <c r="I1431" s="13">
        <f t="shared" si="23"/>
        <v>3.7341370558375635</v>
      </c>
    </row>
    <row r="1432" spans="3:9">
      <c r="C1432" s="46">
        <v>1.9670000000000001</v>
      </c>
      <c r="D1432" s="3">
        <v>98.9</v>
      </c>
      <c r="E1432" s="3">
        <v>117.5</v>
      </c>
      <c r="F1432" s="3">
        <v>31.21</v>
      </c>
      <c r="G1432" s="3">
        <v>473.6</v>
      </c>
      <c r="H1432" s="3">
        <v>4.2569999999999997</v>
      </c>
      <c r="I1432" s="13">
        <f t="shared" si="23"/>
        <v>3.7648189682793975</v>
      </c>
    </row>
    <row r="1433" spans="3:9">
      <c r="C1433" s="46">
        <v>1.931</v>
      </c>
      <c r="D1433" s="3">
        <v>101.5</v>
      </c>
      <c r="E1433" s="3">
        <v>117</v>
      </c>
      <c r="F1433" s="3">
        <v>31.74</v>
      </c>
      <c r="G1433" s="3">
        <v>470.6</v>
      </c>
      <c r="H1433" s="3">
        <v>4.0810000000000004</v>
      </c>
      <c r="I1433" s="13">
        <f t="shared" si="23"/>
        <v>3.6862003780718338</v>
      </c>
    </row>
    <row r="1434" spans="3:9">
      <c r="C1434" s="46">
        <v>1.9319999999999999</v>
      </c>
      <c r="D1434" s="3">
        <v>122.6</v>
      </c>
      <c r="E1434" s="3">
        <v>117.2</v>
      </c>
      <c r="F1434" s="3">
        <v>31.42</v>
      </c>
      <c r="G1434" s="3">
        <v>480.9</v>
      </c>
      <c r="H1434" s="3">
        <v>4.2190000000000003</v>
      </c>
      <c r="I1434" s="13">
        <f t="shared" si="23"/>
        <v>3.7301082113303625</v>
      </c>
    </row>
    <row r="1435" spans="3:9">
      <c r="C1435" s="46">
        <v>1.865</v>
      </c>
      <c r="D1435" s="3">
        <v>98.9</v>
      </c>
      <c r="E1435" s="3">
        <v>117.4</v>
      </c>
      <c r="F1435" s="3">
        <v>31.11</v>
      </c>
      <c r="G1435" s="3">
        <v>478.9</v>
      </c>
      <c r="H1435" s="3">
        <v>4.2539999999999996</v>
      </c>
      <c r="I1435" s="13">
        <f t="shared" si="23"/>
        <v>3.7737062037929929</v>
      </c>
    </row>
    <row r="1436" spans="3:9">
      <c r="C1436" s="46">
        <v>1.9550000000000001</v>
      </c>
      <c r="D1436" s="3">
        <v>104.5</v>
      </c>
      <c r="E1436" s="3">
        <v>117.5</v>
      </c>
      <c r="F1436" s="3">
        <v>31.04</v>
      </c>
      <c r="G1436" s="3">
        <v>477.4</v>
      </c>
      <c r="H1436" s="3">
        <v>4.1900000000000004</v>
      </c>
      <c r="I1436" s="13">
        <f t="shared" si="23"/>
        <v>3.785438144329897</v>
      </c>
    </row>
    <row r="1437" spans="3:9">
      <c r="C1437" s="46">
        <v>1.9319999999999999</v>
      </c>
      <c r="D1437" s="3">
        <v>107.1</v>
      </c>
      <c r="E1437" s="3">
        <v>117.7</v>
      </c>
      <c r="F1437" s="3">
        <v>31.37</v>
      </c>
      <c r="G1437" s="3">
        <v>483.1</v>
      </c>
      <c r="H1437" s="3">
        <v>4.3949999999999996</v>
      </c>
      <c r="I1437" s="13">
        <f t="shared" si="23"/>
        <v>3.7519923493783871</v>
      </c>
    </row>
    <row r="1438" spans="3:9">
      <c r="C1438" s="46">
        <v>1.9690000000000001</v>
      </c>
      <c r="D1438" s="3">
        <v>101.5</v>
      </c>
      <c r="E1438" s="3">
        <v>117.4</v>
      </c>
      <c r="F1438" s="3">
        <v>31.4</v>
      </c>
      <c r="G1438" s="3">
        <v>495.4</v>
      </c>
      <c r="H1438" s="3">
        <v>4.2039999999999997</v>
      </c>
      <c r="I1438" s="13">
        <f t="shared" si="23"/>
        <v>3.7388535031847137</v>
      </c>
    </row>
    <row r="1439" spans="3:9">
      <c r="C1439" s="46">
        <v>1.95</v>
      </c>
      <c r="D1439" s="3">
        <v>102</v>
      </c>
      <c r="E1439" s="3">
        <v>117.5</v>
      </c>
      <c r="F1439" s="3">
        <v>31.5</v>
      </c>
      <c r="G1439" s="3">
        <v>476.3</v>
      </c>
      <c r="H1439" s="3">
        <v>4.1929999999999996</v>
      </c>
      <c r="I1439" s="13">
        <f t="shared" si="23"/>
        <v>3.7301587301587302</v>
      </c>
    </row>
    <row r="1440" spans="3:9">
      <c r="C1440" s="46">
        <v>1.845</v>
      </c>
      <c r="D1440" s="3">
        <v>91.1</v>
      </c>
      <c r="E1440" s="3">
        <v>117.7</v>
      </c>
      <c r="F1440" s="3">
        <v>31.6</v>
      </c>
      <c r="G1440" s="3">
        <v>479.7</v>
      </c>
      <c r="H1440" s="3">
        <v>4.2130000000000001</v>
      </c>
      <c r="I1440" s="13">
        <f t="shared" si="23"/>
        <v>3.7246835443037973</v>
      </c>
    </row>
    <row r="1441" spans="2:36">
      <c r="C1441" s="46">
        <v>1.9219999999999999</v>
      </c>
      <c r="D1441" s="3">
        <v>84.7</v>
      </c>
      <c r="E1441" s="3">
        <v>117.5</v>
      </c>
      <c r="F1441" s="3">
        <v>31.8</v>
      </c>
      <c r="G1441" s="3">
        <v>475.4</v>
      </c>
      <c r="H1441" s="3">
        <v>4.234</v>
      </c>
      <c r="I1441" s="13">
        <f t="shared" si="23"/>
        <v>3.6949685534591192</v>
      </c>
    </row>
    <row r="1442" spans="2:36" s="35" customFormat="1">
      <c r="B1442" s="16">
        <v>73</v>
      </c>
      <c r="C1442" s="47">
        <v>2.222</v>
      </c>
      <c r="D1442" s="16">
        <v>137.1</v>
      </c>
      <c r="E1442" s="16">
        <v>115.5</v>
      </c>
      <c r="F1442" s="16">
        <v>28.29</v>
      </c>
      <c r="G1442" s="16">
        <v>519.70000000000005</v>
      </c>
      <c r="H1442" s="16">
        <v>3.7530000000000001</v>
      </c>
      <c r="I1442" s="13">
        <f t="shared" si="23"/>
        <v>4.0827147401908803</v>
      </c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</row>
    <row r="1443" spans="2:36">
      <c r="C1443" s="46">
        <v>2.2250000000000001</v>
      </c>
      <c r="D1443" s="3">
        <v>134.80000000000001</v>
      </c>
      <c r="E1443" s="3">
        <v>115.2</v>
      </c>
      <c r="F1443" s="3">
        <v>28.93</v>
      </c>
      <c r="G1443" s="3">
        <v>518.79999999999995</v>
      </c>
      <c r="H1443" s="3">
        <v>3.9079999999999999</v>
      </c>
      <c r="I1443" s="13">
        <f t="shared" si="23"/>
        <v>3.982025578983754</v>
      </c>
    </row>
    <row r="1444" spans="2:36">
      <c r="C1444" s="46">
        <v>2.1970000000000001</v>
      </c>
      <c r="D1444" s="3">
        <v>133.4</v>
      </c>
      <c r="E1444" s="3">
        <v>115.7</v>
      </c>
      <c r="F1444" s="3">
        <v>28.26</v>
      </c>
      <c r="G1444" s="3">
        <v>511.1</v>
      </c>
      <c r="H1444" s="3">
        <v>4.0229999999999997</v>
      </c>
      <c r="I1444" s="13">
        <f t="shared" si="23"/>
        <v>4.0941259731068644</v>
      </c>
    </row>
    <row r="1445" spans="2:36">
      <c r="C1445" s="46">
        <v>2.1269999999999998</v>
      </c>
      <c r="D1445" s="3">
        <v>113.5</v>
      </c>
      <c r="E1445" s="3">
        <v>115.8</v>
      </c>
      <c r="F1445" s="3">
        <v>28.59</v>
      </c>
      <c r="G1445" s="3">
        <v>513.20000000000005</v>
      </c>
      <c r="H1445" s="3">
        <v>4.0940000000000003</v>
      </c>
      <c r="I1445" s="13">
        <f t="shared" si="23"/>
        <v>4.0503672612801678</v>
      </c>
    </row>
    <row r="1446" spans="2:36">
      <c r="C1446" s="46">
        <v>2.1509999999999998</v>
      </c>
      <c r="D1446" s="3">
        <v>97.9</v>
      </c>
      <c r="E1446" s="3">
        <v>115.9</v>
      </c>
      <c r="F1446" s="3">
        <v>28.49</v>
      </c>
      <c r="G1446" s="3">
        <v>521.70000000000005</v>
      </c>
      <c r="H1446" s="3">
        <v>3.7309999999999999</v>
      </c>
      <c r="I1446" s="13">
        <f t="shared" si="23"/>
        <v>4.0680940680940685</v>
      </c>
    </row>
    <row r="1447" spans="2:36">
      <c r="C1447" s="46">
        <v>2.258</v>
      </c>
      <c r="D1447" s="3">
        <v>122.3</v>
      </c>
      <c r="E1447" s="3">
        <v>115.1</v>
      </c>
      <c r="F1447" s="3">
        <v>28.41</v>
      </c>
      <c r="G1447" s="3">
        <v>522.4</v>
      </c>
      <c r="H1447" s="3">
        <v>3.8450000000000002</v>
      </c>
      <c r="I1447" s="13">
        <f t="shared" si="23"/>
        <v>4.0513903555086239</v>
      </c>
    </row>
    <row r="1448" spans="2:36">
      <c r="C1448" s="46">
        <v>2.2559999999999998</v>
      </c>
      <c r="D1448" s="3">
        <v>131.30000000000001</v>
      </c>
      <c r="E1448" s="3">
        <v>115.4</v>
      </c>
      <c r="F1448" s="3">
        <v>28.7</v>
      </c>
      <c r="G1448" s="3">
        <v>521.5</v>
      </c>
      <c r="H1448" s="3">
        <v>4.016</v>
      </c>
      <c r="I1448" s="13">
        <f t="shared" si="23"/>
        <v>4.020905923344948</v>
      </c>
    </row>
    <row r="1449" spans="2:36">
      <c r="C1449" s="46">
        <v>2.2450000000000001</v>
      </c>
      <c r="D1449" s="3">
        <v>137.80000000000001</v>
      </c>
      <c r="E1449" s="3">
        <v>115.3</v>
      </c>
      <c r="F1449" s="3">
        <v>28.4</v>
      </c>
      <c r="G1449" s="3">
        <v>519.70000000000005</v>
      </c>
      <c r="H1449" s="3">
        <v>3.8879999999999999</v>
      </c>
      <c r="I1449" s="13">
        <f t="shared" si="23"/>
        <v>4.0598591549295779</v>
      </c>
    </row>
    <row r="1450" spans="2:36">
      <c r="C1450" s="46">
        <v>2.2669999999999999</v>
      </c>
      <c r="D1450" s="3">
        <v>131.1</v>
      </c>
      <c r="E1450" s="3">
        <v>115.6</v>
      </c>
      <c r="F1450" s="3">
        <v>28.77</v>
      </c>
      <c r="G1450" s="3">
        <v>519.29999999999995</v>
      </c>
      <c r="H1450" s="3">
        <v>4.1109999999999998</v>
      </c>
      <c r="I1450" s="13">
        <f t="shared" si="23"/>
        <v>4.0180743830378862</v>
      </c>
    </row>
    <row r="1451" spans="2:36">
      <c r="C1451" s="46">
        <v>2.266</v>
      </c>
      <c r="D1451" s="3">
        <v>131.19999999999999</v>
      </c>
      <c r="E1451" s="3">
        <v>115.5</v>
      </c>
      <c r="F1451" s="3">
        <v>28.71</v>
      </c>
      <c r="G1451" s="3">
        <v>516.20000000000005</v>
      </c>
      <c r="H1451" s="3">
        <v>4.0149999999999997</v>
      </c>
      <c r="I1451" s="13">
        <f t="shared" si="23"/>
        <v>4.0229885057471266</v>
      </c>
    </row>
    <row r="1452" spans="2:36">
      <c r="C1452" s="46">
        <v>2.2559999999999998</v>
      </c>
      <c r="D1452" s="3">
        <v>140</v>
      </c>
      <c r="E1452" s="3">
        <v>115.3</v>
      </c>
      <c r="F1452" s="3">
        <v>28.58</v>
      </c>
      <c r="G1452" s="3">
        <v>513.5</v>
      </c>
      <c r="H1452" s="3">
        <v>3.7</v>
      </c>
      <c r="I1452" s="13">
        <f t="shared" si="23"/>
        <v>4.034289713086074</v>
      </c>
    </row>
    <row r="1453" spans="2:36">
      <c r="C1453" s="46">
        <v>2.2360000000000002</v>
      </c>
      <c r="D1453" s="3">
        <v>141</v>
      </c>
      <c r="E1453" s="3">
        <v>115.5</v>
      </c>
      <c r="F1453" s="3">
        <v>28.52</v>
      </c>
      <c r="G1453" s="3">
        <v>517.6</v>
      </c>
      <c r="H1453" s="3">
        <v>3.8119999999999998</v>
      </c>
      <c r="I1453" s="13">
        <f t="shared" si="23"/>
        <v>4.0497896213183733</v>
      </c>
    </row>
    <row r="1454" spans="2:36">
      <c r="C1454" s="46">
        <v>2.2250000000000001</v>
      </c>
      <c r="D1454" s="3">
        <v>149.69999999999999</v>
      </c>
      <c r="E1454" s="3">
        <v>115.6</v>
      </c>
      <c r="F1454" s="3">
        <v>28.67</v>
      </c>
      <c r="G1454" s="3">
        <v>519.70000000000005</v>
      </c>
      <c r="H1454" s="3">
        <v>4.0819999999999999</v>
      </c>
      <c r="I1454" s="13">
        <f t="shared" si="23"/>
        <v>4.0320892919427971</v>
      </c>
    </row>
    <row r="1455" spans="2:36">
      <c r="C1455" s="46">
        <v>2.1970000000000001</v>
      </c>
      <c r="D1455" s="3">
        <v>140.19999999999999</v>
      </c>
      <c r="E1455" s="3">
        <v>115</v>
      </c>
      <c r="F1455" s="3">
        <v>28.88</v>
      </c>
      <c r="G1455" s="3">
        <v>521.29999999999995</v>
      </c>
      <c r="H1455" s="3">
        <v>3.8959999999999999</v>
      </c>
      <c r="I1455" s="13">
        <f t="shared" si="23"/>
        <v>3.9819944598337953</v>
      </c>
    </row>
    <row r="1456" spans="2:36">
      <c r="C1456" s="46">
        <v>2.1880000000000002</v>
      </c>
      <c r="D1456" s="3">
        <v>139.4</v>
      </c>
      <c r="E1456" s="3">
        <v>115.4</v>
      </c>
      <c r="F1456" s="3">
        <v>28.19</v>
      </c>
      <c r="G1456" s="3">
        <v>520.29999999999995</v>
      </c>
      <c r="H1456" s="3">
        <v>3.7330000000000001</v>
      </c>
      <c r="I1456" s="13">
        <f t="shared" si="23"/>
        <v>4.093650230578219</v>
      </c>
    </row>
    <row r="1457" spans="2:36">
      <c r="C1457" s="46">
        <v>2.1339999999999999</v>
      </c>
      <c r="D1457" s="3">
        <v>142</v>
      </c>
      <c r="E1457" s="3">
        <v>115.2</v>
      </c>
      <c r="F1457" s="3">
        <v>28.87</v>
      </c>
      <c r="G1457" s="3">
        <v>519.9</v>
      </c>
      <c r="H1457" s="3">
        <v>4.0940000000000003</v>
      </c>
      <c r="I1457" s="13">
        <f t="shared" si="23"/>
        <v>3.9903013508832696</v>
      </c>
    </row>
    <row r="1458" spans="2:36">
      <c r="C1458" s="46">
        <v>2.1869999999999998</v>
      </c>
      <c r="D1458" s="3">
        <v>138.4</v>
      </c>
      <c r="E1458" s="3">
        <v>116</v>
      </c>
      <c r="F1458" s="3">
        <v>28.61</v>
      </c>
      <c r="G1458" s="3">
        <v>511.9</v>
      </c>
      <c r="H1458" s="3">
        <v>4.0199999999999996</v>
      </c>
      <c r="I1458" s="13">
        <f t="shared" si="23"/>
        <v>4.0545263893743444</v>
      </c>
    </row>
    <row r="1459" spans="2:36">
      <c r="C1459" s="46">
        <v>2.2250000000000001</v>
      </c>
      <c r="D1459" s="3">
        <v>140.80000000000001</v>
      </c>
      <c r="E1459" s="3">
        <v>115.8</v>
      </c>
      <c r="F1459" s="3">
        <v>28.54</v>
      </c>
      <c r="G1459" s="3">
        <v>513.5</v>
      </c>
      <c r="H1459" s="3">
        <v>3.7879999999999998</v>
      </c>
      <c r="I1459" s="13">
        <f t="shared" si="23"/>
        <v>4.0574632095304839</v>
      </c>
    </row>
    <row r="1460" spans="2:36">
      <c r="C1460" s="46">
        <v>2.234</v>
      </c>
      <c r="D1460" s="3">
        <v>130.6</v>
      </c>
      <c r="E1460" s="3">
        <v>115.7</v>
      </c>
      <c r="F1460" s="3">
        <v>28.27</v>
      </c>
      <c r="G1460" s="3">
        <v>516</v>
      </c>
      <c r="H1460" s="3">
        <v>4.109</v>
      </c>
      <c r="I1460" s="13">
        <f t="shared" si="23"/>
        <v>4.0926777502652989</v>
      </c>
    </row>
    <row r="1461" spans="2:36">
      <c r="C1461" s="46">
        <v>2.2639999999999998</v>
      </c>
      <c r="D1461" s="3">
        <v>123</v>
      </c>
      <c r="E1461" s="3">
        <v>115.2</v>
      </c>
      <c r="F1461" s="3">
        <v>28.49</v>
      </c>
      <c r="G1461" s="3">
        <v>521.70000000000005</v>
      </c>
      <c r="H1461" s="3">
        <v>4.125</v>
      </c>
      <c r="I1461" s="13">
        <f t="shared" si="23"/>
        <v>4.0435240435240436</v>
      </c>
    </row>
    <row r="1462" spans="2:36" s="35" customFormat="1">
      <c r="B1462" s="16">
        <v>74</v>
      </c>
      <c r="C1462" s="47">
        <v>2.3969999999999998</v>
      </c>
      <c r="D1462" s="16">
        <v>134.19999999999999</v>
      </c>
      <c r="E1462" s="16">
        <v>102.6</v>
      </c>
      <c r="F1462" s="16">
        <v>33.520000000000003</v>
      </c>
      <c r="G1462" s="16">
        <v>516.79999999999995</v>
      </c>
      <c r="H1462" s="16">
        <v>2.29</v>
      </c>
      <c r="I1462" s="13">
        <f t="shared" si="23"/>
        <v>3.0608591885441525</v>
      </c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</row>
    <row r="1463" spans="2:36">
      <c r="C1463" s="46">
        <v>2.3679999999999999</v>
      </c>
      <c r="D1463" s="3">
        <v>134</v>
      </c>
      <c r="E1463" s="3">
        <v>102.4</v>
      </c>
      <c r="F1463" s="3">
        <v>33.44</v>
      </c>
      <c r="G1463" s="3">
        <v>517.29999999999995</v>
      </c>
      <c r="H1463" s="3">
        <v>2.1779999999999999</v>
      </c>
      <c r="I1463" s="13">
        <f t="shared" si="23"/>
        <v>3.0622009569377995</v>
      </c>
    </row>
    <row r="1464" spans="2:36">
      <c r="C1464" s="46">
        <v>2.3210000000000002</v>
      </c>
      <c r="D1464" s="3">
        <v>156.30000000000001</v>
      </c>
      <c r="E1464" s="3">
        <v>102.8</v>
      </c>
      <c r="F1464" s="3">
        <v>33.42</v>
      </c>
      <c r="G1464" s="3">
        <v>518.29999999999995</v>
      </c>
      <c r="H1464" s="3">
        <v>2.1179999999999999</v>
      </c>
      <c r="I1464" s="13">
        <f t="shared" si="23"/>
        <v>3.0760023937761818</v>
      </c>
    </row>
    <row r="1465" spans="2:36">
      <c r="C1465" s="46">
        <v>2.2890000000000001</v>
      </c>
      <c r="D1465" s="3">
        <v>160.4</v>
      </c>
      <c r="E1465" s="3">
        <v>103</v>
      </c>
      <c r="F1465" s="3">
        <v>33.56</v>
      </c>
      <c r="G1465" s="3">
        <v>520.9</v>
      </c>
      <c r="H1465" s="3">
        <v>2.073</v>
      </c>
      <c r="I1465" s="13">
        <f t="shared" si="23"/>
        <v>3.0691299165673418</v>
      </c>
    </row>
    <row r="1466" spans="2:36">
      <c r="C1466" s="46">
        <v>2.3109999999999999</v>
      </c>
      <c r="D1466" s="3">
        <v>131.19999999999999</v>
      </c>
      <c r="E1466" s="3">
        <v>102.5</v>
      </c>
      <c r="F1466" s="3">
        <v>32.92</v>
      </c>
      <c r="G1466" s="3">
        <v>522.4</v>
      </c>
      <c r="H1466" s="3">
        <v>1.855</v>
      </c>
      <c r="I1466" s="13">
        <f t="shared" si="23"/>
        <v>3.1136087484811661</v>
      </c>
    </row>
    <row r="1467" spans="2:36">
      <c r="C1467" s="46">
        <v>2.327</v>
      </c>
      <c r="D1467" s="3">
        <v>138.80000000000001</v>
      </c>
      <c r="E1467" s="3">
        <v>102.6</v>
      </c>
      <c r="F1467" s="3">
        <v>33.1</v>
      </c>
      <c r="G1467" s="3">
        <v>518.9</v>
      </c>
      <c r="H1467" s="3">
        <v>1.97</v>
      </c>
      <c r="I1467" s="13">
        <f t="shared" si="23"/>
        <v>3.0996978851963743</v>
      </c>
    </row>
    <row r="1468" spans="2:36">
      <c r="C1468" s="46">
        <v>2.3679999999999999</v>
      </c>
      <c r="D1468" s="3">
        <v>157.6</v>
      </c>
      <c r="E1468" s="3">
        <v>102.4</v>
      </c>
      <c r="F1468" s="3">
        <v>33.04</v>
      </c>
      <c r="G1468" s="3">
        <v>515.70000000000005</v>
      </c>
      <c r="H1468" s="3">
        <v>2.0430000000000001</v>
      </c>
      <c r="I1468" s="13">
        <f t="shared" si="23"/>
        <v>3.0992736077481844</v>
      </c>
    </row>
    <row r="1469" spans="2:36">
      <c r="C1469" s="46">
        <v>2.3439999999999999</v>
      </c>
      <c r="D1469" s="3">
        <v>134</v>
      </c>
      <c r="E1469" s="3">
        <v>102.2</v>
      </c>
      <c r="F1469" s="3">
        <v>32.25</v>
      </c>
      <c r="G1469" s="3">
        <v>516.29999999999995</v>
      </c>
      <c r="H1469" s="3">
        <v>1.9610000000000001</v>
      </c>
      <c r="I1469" s="13">
        <f t="shared" si="23"/>
        <v>3.1689922480620156</v>
      </c>
    </row>
    <row r="1470" spans="2:36">
      <c r="C1470" s="46">
        <v>2.294</v>
      </c>
      <c r="D1470" s="3">
        <v>114.8</v>
      </c>
      <c r="E1470" s="3">
        <v>102.8</v>
      </c>
      <c r="F1470" s="3">
        <v>32.380000000000003</v>
      </c>
      <c r="G1470" s="3">
        <v>516.6</v>
      </c>
      <c r="H1470" s="3">
        <v>2.0579999999999998</v>
      </c>
      <c r="I1470" s="13">
        <f t="shared" si="23"/>
        <v>3.1747992588017291</v>
      </c>
    </row>
    <row r="1471" spans="2:36">
      <c r="C1471" s="46">
        <v>2.2890000000000001</v>
      </c>
      <c r="D1471" s="3">
        <v>121.5</v>
      </c>
      <c r="E1471" s="3">
        <v>103.1</v>
      </c>
      <c r="F1471" s="3">
        <v>32.950000000000003</v>
      </c>
      <c r="G1471" s="3">
        <v>513.1</v>
      </c>
      <c r="H1471" s="3">
        <v>2.1629999999999998</v>
      </c>
      <c r="I1471" s="13">
        <f t="shared" si="23"/>
        <v>3.1289833080424883</v>
      </c>
    </row>
    <row r="1472" spans="2:36">
      <c r="C1472" s="46">
        <v>2.323</v>
      </c>
      <c r="D1472" s="3">
        <v>139.80000000000001</v>
      </c>
      <c r="E1472" s="3">
        <v>102.8</v>
      </c>
      <c r="F1472" s="3">
        <v>32.99</v>
      </c>
      <c r="G1472" s="3">
        <v>514.5</v>
      </c>
      <c r="H1472" s="3">
        <v>2.1</v>
      </c>
      <c r="I1472" s="13">
        <f t="shared" si="23"/>
        <v>3.1160957866020005</v>
      </c>
    </row>
    <row r="1473" spans="2:36">
      <c r="C1473" s="46">
        <v>2.3610000000000002</v>
      </c>
      <c r="D1473" s="3">
        <v>159</v>
      </c>
      <c r="E1473" s="3">
        <v>103</v>
      </c>
      <c r="F1473" s="3">
        <v>32.71</v>
      </c>
      <c r="G1473" s="3">
        <v>515.4</v>
      </c>
      <c r="H1473" s="3">
        <v>2.0390000000000001</v>
      </c>
      <c r="I1473" s="13">
        <f t="shared" si="23"/>
        <v>3.148884133292571</v>
      </c>
    </row>
    <row r="1474" spans="2:36">
      <c r="C1474" s="46">
        <v>2.3479999999999999</v>
      </c>
      <c r="D1474" s="3">
        <v>156.30000000000001</v>
      </c>
      <c r="E1474" s="3">
        <v>102.3</v>
      </c>
      <c r="F1474" s="3">
        <v>32.619999999999997</v>
      </c>
      <c r="G1474" s="3">
        <v>515.70000000000005</v>
      </c>
      <c r="H1474" s="3">
        <v>2.0310000000000001</v>
      </c>
      <c r="I1474" s="13">
        <f t="shared" si="23"/>
        <v>3.1361128142244024</v>
      </c>
    </row>
    <row r="1475" spans="2:36">
      <c r="C1475" s="46">
        <v>2.3420000000000001</v>
      </c>
      <c r="D1475" s="3">
        <v>156.5</v>
      </c>
      <c r="E1475" s="3">
        <v>102.5</v>
      </c>
      <c r="F1475" s="3">
        <v>32.67</v>
      </c>
      <c r="G1475" s="3">
        <v>513</v>
      </c>
      <c r="H1475" s="3">
        <v>2.044</v>
      </c>
      <c r="I1475" s="13">
        <f t="shared" si="23"/>
        <v>3.1374349556167735</v>
      </c>
    </row>
    <row r="1476" spans="2:36">
      <c r="C1476" s="46">
        <v>2.3820000000000001</v>
      </c>
      <c r="D1476" s="3">
        <v>153.5</v>
      </c>
      <c r="E1476" s="3">
        <v>102.4</v>
      </c>
      <c r="F1476" s="3">
        <v>32.72</v>
      </c>
      <c r="G1476" s="3">
        <v>511.8</v>
      </c>
      <c r="H1476" s="3">
        <v>2.1709999999999998</v>
      </c>
      <c r="I1476" s="13">
        <f t="shared" si="23"/>
        <v>3.1295843520782398</v>
      </c>
    </row>
    <row r="1477" spans="2:36">
      <c r="C1477" s="46">
        <v>2.3610000000000002</v>
      </c>
      <c r="D1477" s="3">
        <v>144.19999999999999</v>
      </c>
      <c r="E1477" s="3">
        <v>102.5</v>
      </c>
      <c r="F1477" s="3">
        <v>32.950000000000003</v>
      </c>
      <c r="G1477" s="3">
        <v>510.7</v>
      </c>
      <c r="H1477" s="3">
        <v>2.1339999999999999</v>
      </c>
      <c r="I1477" s="13">
        <f t="shared" si="23"/>
        <v>3.1107738998482546</v>
      </c>
    </row>
    <row r="1478" spans="2:36">
      <c r="C1478" s="46">
        <v>2.3330000000000002</v>
      </c>
      <c r="D1478" s="3">
        <v>143.1</v>
      </c>
      <c r="E1478" s="3">
        <v>102.7</v>
      </c>
      <c r="F1478" s="3">
        <v>32.53</v>
      </c>
      <c r="G1478" s="3">
        <v>511.8</v>
      </c>
      <c r="H1478" s="3">
        <v>2.0289999999999999</v>
      </c>
      <c r="I1478" s="13">
        <f t="shared" si="23"/>
        <v>3.1570857669843222</v>
      </c>
    </row>
    <row r="1479" spans="2:36">
      <c r="C1479" s="46">
        <v>2.323</v>
      </c>
      <c r="D1479" s="3">
        <v>133.69999999999999</v>
      </c>
      <c r="E1479" s="3">
        <v>102.8</v>
      </c>
      <c r="F1479" s="3">
        <v>32.340000000000003</v>
      </c>
      <c r="G1479" s="3">
        <v>515</v>
      </c>
      <c r="H1479" s="3">
        <v>2.0489999999999999</v>
      </c>
      <c r="I1479" s="13">
        <f t="shared" si="23"/>
        <v>3.1787260358688925</v>
      </c>
    </row>
    <row r="1480" spans="2:36">
      <c r="C1480" s="46">
        <v>2.3439999999999999</v>
      </c>
      <c r="D1480" s="3">
        <v>136.1</v>
      </c>
      <c r="E1480" s="3">
        <v>102.2</v>
      </c>
      <c r="F1480" s="3">
        <v>32.159999999999997</v>
      </c>
      <c r="G1480" s="3">
        <v>513.79999999999995</v>
      </c>
      <c r="H1480" s="3">
        <v>2.1360000000000001</v>
      </c>
      <c r="I1480" s="13">
        <f t="shared" si="23"/>
        <v>3.1778606965174134</v>
      </c>
    </row>
    <row r="1481" spans="2:36">
      <c r="C1481" s="46">
        <v>2.294</v>
      </c>
      <c r="D1481" s="3">
        <v>147.9</v>
      </c>
      <c r="E1481" s="3">
        <v>102.5</v>
      </c>
      <c r="F1481" s="3">
        <v>32.74</v>
      </c>
      <c r="G1481" s="3">
        <v>514.9</v>
      </c>
      <c r="H1481" s="3">
        <v>2.0289999999999999</v>
      </c>
      <c r="I1481" s="13">
        <f t="shared" si="23"/>
        <v>3.1307269395235187</v>
      </c>
    </row>
    <row r="1482" spans="2:36" s="35" customFormat="1">
      <c r="B1482" s="16">
        <v>75</v>
      </c>
      <c r="C1482" s="47">
        <v>1.5620000000000001</v>
      </c>
      <c r="D1482" s="29">
        <v>118.11</v>
      </c>
      <c r="E1482" s="16">
        <v>116.3</v>
      </c>
      <c r="F1482" s="16">
        <v>28.97</v>
      </c>
      <c r="G1482" s="16">
        <v>516.70000000000005</v>
      </c>
      <c r="H1482" s="16">
        <v>1.2390000000000001</v>
      </c>
      <c r="I1482" s="13">
        <f t="shared" si="23"/>
        <v>4.0144977562996207</v>
      </c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</row>
    <row r="1483" spans="2:36">
      <c r="C1483" s="46">
        <v>1.577</v>
      </c>
      <c r="D1483" s="21">
        <v>120.86</v>
      </c>
      <c r="E1483" s="3">
        <v>116.6</v>
      </c>
      <c r="F1483" s="3">
        <v>29.02</v>
      </c>
      <c r="G1483" s="3">
        <v>535.4</v>
      </c>
      <c r="H1483" s="3">
        <v>1.282</v>
      </c>
      <c r="I1483" s="13">
        <f t="shared" si="23"/>
        <v>4.017918676774638</v>
      </c>
    </row>
    <row r="1484" spans="2:36">
      <c r="C1484" s="46">
        <v>1.613</v>
      </c>
      <c r="D1484" s="21">
        <v>120.26</v>
      </c>
      <c r="E1484" s="3">
        <v>116.7</v>
      </c>
      <c r="F1484" s="3">
        <v>29.32</v>
      </c>
      <c r="G1484" s="3">
        <v>535</v>
      </c>
      <c r="H1484" s="3">
        <v>1.206</v>
      </c>
      <c r="I1484" s="13">
        <f t="shared" si="23"/>
        <v>3.9802182810368349</v>
      </c>
    </row>
    <row r="1485" spans="2:36">
      <c r="C1485" s="46">
        <v>1.5940000000000001</v>
      </c>
      <c r="D1485" s="21">
        <v>123.59</v>
      </c>
      <c r="E1485" s="3">
        <v>116.2</v>
      </c>
      <c r="F1485" s="3">
        <v>29.48</v>
      </c>
      <c r="G1485" s="3">
        <v>532.5</v>
      </c>
      <c r="H1485" s="3">
        <v>1.18</v>
      </c>
      <c r="I1485" s="13">
        <f t="shared" si="23"/>
        <v>3.9416553595658073</v>
      </c>
    </row>
    <row r="1486" spans="2:36">
      <c r="C1486" s="46">
        <v>1.5760000000000001</v>
      </c>
      <c r="D1486" s="21">
        <v>125.89</v>
      </c>
      <c r="E1486" s="3">
        <v>116.4</v>
      </c>
      <c r="F1486" s="3">
        <v>29.65</v>
      </c>
      <c r="G1486" s="3">
        <v>509.1</v>
      </c>
      <c r="H1486" s="3">
        <v>1.2809999999999999</v>
      </c>
      <c r="I1486" s="13">
        <f t="shared" si="23"/>
        <v>3.9258010118043849</v>
      </c>
    </row>
    <row r="1487" spans="2:36">
      <c r="C1487" s="46">
        <v>1.595</v>
      </c>
      <c r="D1487" s="21">
        <v>120.62</v>
      </c>
      <c r="E1487" s="3">
        <v>116.2</v>
      </c>
      <c r="F1487" s="3">
        <v>29.52</v>
      </c>
      <c r="G1487" s="3">
        <v>515.1</v>
      </c>
      <c r="H1487" s="3">
        <v>1.226</v>
      </c>
      <c r="I1487" s="13">
        <f t="shared" si="23"/>
        <v>3.9363143631436315</v>
      </c>
    </row>
    <row r="1488" spans="2:36">
      <c r="C1488" s="46">
        <v>1.5569999999999999</v>
      </c>
      <c r="D1488" s="21">
        <v>121.56</v>
      </c>
      <c r="E1488" s="3">
        <v>116.7</v>
      </c>
      <c r="F1488" s="3">
        <v>29.16</v>
      </c>
      <c r="G1488" s="3">
        <v>525.79999999999995</v>
      </c>
      <c r="H1488" s="3">
        <v>1.274</v>
      </c>
      <c r="I1488" s="13">
        <f t="shared" si="23"/>
        <v>4.0020576131687244</v>
      </c>
    </row>
    <row r="1489" spans="2:36">
      <c r="C1489" s="46">
        <v>1.5189999999999999</v>
      </c>
      <c r="D1489" s="21">
        <v>120.89</v>
      </c>
      <c r="E1489" s="3">
        <v>115.8</v>
      </c>
      <c r="F1489" s="3">
        <v>29.28</v>
      </c>
      <c r="G1489" s="3">
        <v>520.79999999999995</v>
      </c>
      <c r="H1489" s="3">
        <v>1.173</v>
      </c>
      <c r="I1489" s="13">
        <f t="shared" si="23"/>
        <v>3.9549180327868849</v>
      </c>
    </row>
    <row r="1490" spans="2:36">
      <c r="C1490" s="46">
        <v>1.556</v>
      </c>
      <c r="D1490" s="21">
        <v>112.43</v>
      </c>
      <c r="E1490" s="3">
        <v>116.8</v>
      </c>
      <c r="F1490" s="3">
        <v>29.69</v>
      </c>
      <c r="G1490" s="3">
        <v>520.5</v>
      </c>
      <c r="H1490" s="3">
        <v>1.198</v>
      </c>
      <c r="I1490" s="13">
        <f t="shared" si="23"/>
        <v>3.9339845065678678</v>
      </c>
    </row>
    <row r="1491" spans="2:36">
      <c r="C1491" s="46">
        <v>1.538</v>
      </c>
      <c r="D1491" s="21">
        <v>113.49</v>
      </c>
      <c r="E1491" s="3">
        <v>116.4</v>
      </c>
      <c r="F1491" s="3">
        <v>29.65</v>
      </c>
      <c r="G1491" s="3">
        <v>510.1</v>
      </c>
      <c r="H1491" s="3">
        <v>1.2370000000000001</v>
      </c>
      <c r="I1491" s="13">
        <f t="shared" si="23"/>
        <v>3.9258010118043849</v>
      </c>
    </row>
    <row r="1492" spans="2:36">
      <c r="C1492" s="46">
        <v>1.494</v>
      </c>
      <c r="D1492" s="21">
        <v>109.96</v>
      </c>
      <c r="E1492" s="3">
        <v>115.9</v>
      </c>
      <c r="F1492" s="3">
        <v>29.58</v>
      </c>
      <c r="G1492" s="3">
        <v>509.8</v>
      </c>
      <c r="H1492" s="3">
        <v>1.36</v>
      </c>
      <c r="I1492" s="13">
        <f t="shared" si="23"/>
        <v>3.9181879648411093</v>
      </c>
    </row>
    <row r="1493" spans="2:36">
      <c r="C1493" s="46">
        <v>1.4650000000000001</v>
      </c>
      <c r="D1493" s="21">
        <v>120.04</v>
      </c>
      <c r="E1493" s="3">
        <v>116</v>
      </c>
      <c r="F1493" s="3">
        <v>29.41</v>
      </c>
      <c r="G1493" s="3">
        <v>515.1</v>
      </c>
      <c r="H1493" s="3">
        <v>1.3580000000000001</v>
      </c>
      <c r="I1493" s="13">
        <f t="shared" si="23"/>
        <v>3.9442366541992517</v>
      </c>
    </row>
    <row r="1494" spans="2:36">
      <c r="C1494" s="46">
        <v>1.514</v>
      </c>
      <c r="D1494" s="21">
        <v>123.41</v>
      </c>
      <c r="E1494" s="3">
        <v>116.2</v>
      </c>
      <c r="F1494" s="3">
        <v>29.24</v>
      </c>
      <c r="G1494" s="3">
        <v>529</v>
      </c>
      <c r="H1494" s="3">
        <v>1.226</v>
      </c>
      <c r="I1494" s="13">
        <f t="shared" ref="I1494:I1557" si="24">E1494/F1494</f>
        <v>3.9740082079343368</v>
      </c>
    </row>
    <row r="1495" spans="2:36">
      <c r="C1495" s="46">
        <v>1.5620000000000001</v>
      </c>
      <c r="D1495" s="21">
        <v>122.7</v>
      </c>
      <c r="E1495" s="3">
        <v>116.3</v>
      </c>
      <c r="F1495" s="3">
        <v>29.07</v>
      </c>
      <c r="G1495" s="3">
        <v>510.9</v>
      </c>
      <c r="H1495" s="3">
        <v>1.1539999999999999</v>
      </c>
      <c r="I1495" s="13">
        <f t="shared" si="24"/>
        <v>4.0006879944960438</v>
      </c>
    </row>
    <row r="1496" spans="2:36">
      <c r="C1496" s="46">
        <v>1.5569999999999999</v>
      </c>
      <c r="D1496" s="21">
        <v>120.08</v>
      </c>
      <c r="E1496" s="3">
        <v>116.6</v>
      </c>
      <c r="F1496" s="3">
        <v>29.19</v>
      </c>
      <c r="G1496" s="3">
        <v>542.29999999999995</v>
      </c>
      <c r="H1496" s="3">
        <v>1.177</v>
      </c>
      <c r="I1496" s="13">
        <f t="shared" si="24"/>
        <v>3.9945186707776634</v>
      </c>
    </row>
    <row r="1497" spans="2:36">
      <c r="C1497" s="46">
        <v>1.6359999999999999</v>
      </c>
      <c r="D1497" s="21">
        <v>130.38999999999999</v>
      </c>
      <c r="E1497" s="3">
        <v>116.1</v>
      </c>
      <c r="F1497" s="3">
        <v>29.17</v>
      </c>
      <c r="G1497" s="3">
        <v>536</v>
      </c>
      <c r="H1497" s="3">
        <v>1.169</v>
      </c>
      <c r="I1497" s="13">
        <f t="shared" si="24"/>
        <v>3.9801165581076443</v>
      </c>
    </row>
    <row r="1498" spans="2:36">
      <c r="C1498" s="46">
        <v>1.613</v>
      </c>
      <c r="D1498" s="21">
        <v>130.25</v>
      </c>
      <c r="E1498" s="3">
        <v>116.3</v>
      </c>
      <c r="F1498" s="3">
        <v>29.41</v>
      </c>
      <c r="G1498" s="3">
        <v>542.29999999999995</v>
      </c>
      <c r="H1498" s="3">
        <v>1.222</v>
      </c>
      <c r="I1498" s="13">
        <f t="shared" si="24"/>
        <v>3.9544372662359741</v>
      </c>
    </row>
    <row r="1499" spans="2:36">
      <c r="C1499" s="46">
        <v>1.5209999999999999</v>
      </c>
      <c r="D1499" s="21">
        <v>126.68</v>
      </c>
      <c r="E1499" s="3">
        <v>116.5</v>
      </c>
      <c r="F1499" s="3">
        <v>29.13</v>
      </c>
      <c r="G1499" s="3">
        <v>540.4</v>
      </c>
      <c r="H1499" s="3">
        <v>1.2010000000000001</v>
      </c>
      <c r="I1499" s="13">
        <f t="shared" si="24"/>
        <v>3.9993134225883971</v>
      </c>
    </row>
    <row r="1500" spans="2:36">
      <c r="C1500" s="46">
        <v>1.5329999999999999</v>
      </c>
      <c r="D1500" s="21">
        <v>122.51</v>
      </c>
      <c r="E1500" s="3">
        <v>116.6</v>
      </c>
      <c r="F1500" s="3">
        <v>29.25</v>
      </c>
      <c r="G1500" s="3">
        <v>530.1</v>
      </c>
      <c r="H1500" s="3">
        <v>1.173</v>
      </c>
      <c r="I1500" s="13">
        <f t="shared" si="24"/>
        <v>3.9863247863247859</v>
      </c>
    </row>
    <row r="1501" spans="2:36">
      <c r="C1501" s="46">
        <v>1.53</v>
      </c>
      <c r="D1501" s="21">
        <v>118.51</v>
      </c>
      <c r="E1501" s="3">
        <v>116.7</v>
      </c>
      <c r="F1501" s="3">
        <v>29.18</v>
      </c>
      <c r="G1501" s="3">
        <v>529.9</v>
      </c>
      <c r="H1501" s="3">
        <v>1.198</v>
      </c>
      <c r="I1501" s="13">
        <f t="shared" si="24"/>
        <v>3.9993145990404386</v>
      </c>
    </row>
    <row r="1502" spans="2:36" s="35" customFormat="1">
      <c r="B1502" s="16">
        <v>76</v>
      </c>
      <c r="C1502" s="47">
        <v>2.1160000000000001</v>
      </c>
      <c r="D1502" s="16">
        <v>114.2</v>
      </c>
      <c r="E1502" s="16">
        <v>128.4</v>
      </c>
      <c r="F1502" s="16">
        <v>24.32</v>
      </c>
      <c r="G1502" s="16">
        <v>534.20000000000005</v>
      </c>
      <c r="H1502" s="16">
        <v>1.633</v>
      </c>
      <c r="I1502" s="13">
        <f t="shared" si="24"/>
        <v>5.2796052631578947</v>
      </c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</row>
    <row r="1503" spans="2:36">
      <c r="C1503" s="46">
        <v>2.1349999999999998</v>
      </c>
      <c r="D1503" s="3">
        <v>137.1</v>
      </c>
      <c r="E1503" s="3">
        <v>128.6</v>
      </c>
      <c r="F1503" s="3">
        <v>24.6</v>
      </c>
      <c r="G1503" s="3">
        <v>530.5</v>
      </c>
      <c r="H1503" s="3">
        <v>1.7529999999999999</v>
      </c>
      <c r="I1503" s="13">
        <f t="shared" si="24"/>
        <v>5.2276422764227641</v>
      </c>
    </row>
    <row r="1504" spans="2:36">
      <c r="C1504" s="46">
        <v>1.121</v>
      </c>
      <c r="D1504" s="3">
        <v>155.9</v>
      </c>
      <c r="E1504" s="3">
        <v>128.5</v>
      </c>
      <c r="F1504" s="3">
        <v>24.83</v>
      </c>
      <c r="G1504" s="3">
        <v>530.29999999999995</v>
      </c>
      <c r="H1504" s="3">
        <v>1.804</v>
      </c>
      <c r="I1504" s="13">
        <f t="shared" si="24"/>
        <v>5.1751913008457517</v>
      </c>
    </row>
    <row r="1505" spans="3:9">
      <c r="C1505" s="46">
        <v>2.1190000000000002</v>
      </c>
      <c r="D1505" s="3">
        <v>122.2</v>
      </c>
      <c r="E1505" s="3">
        <v>127.9</v>
      </c>
      <c r="F1505" s="3">
        <v>24.76</v>
      </c>
      <c r="G1505" s="3">
        <v>533.20000000000005</v>
      </c>
      <c r="H1505" s="3">
        <v>1.704</v>
      </c>
      <c r="I1505" s="13">
        <f t="shared" si="24"/>
        <v>5.1655896607431337</v>
      </c>
    </row>
    <row r="1506" spans="3:9">
      <c r="C1506" s="46">
        <v>2.1040000000000001</v>
      </c>
      <c r="D1506" s="3">
        <v>99.97</v>
      </c>
      <c r="E1506" s="3">
        <v>128.69999999999999</v>
      </c>
      <c r="F1506" s="3">
        <v>24.75</v>
      </c>
      <c r="G1506" s="3">
        <v>531.79999999999995</v>
      </c>
      <c r="H1506" s="3">
        <v>1.581</v>
      </c>
      <c r="I1506" s="13">
        <f t="shared" si="24"/>
        <v>5.1999999999999993</v>
      </c>
    </row>
    <row r="1507" spans="3:9">
      <c r="C1507" s="46">
        <v>2.1059999999999999</v>
      </c>
      <c r="D1507" s="3">
        <v>126.2</v>
      </c>
      <c r="E1507" s="3">
        <v>128.5</v>
      </c>
      <c r="F1507" s="3">
        <v>24.09</v>
      </c>
      <c r="G1507" s="3">
        <v>532.70000000000005</v>
      </c>
      <c r="H1507" s="3">
        <v>1.3580000000000001</v>
      </c>
      <c r="I1507" s="13">
        <f t="shared" si="24"/>
        <v>5.3341635533416358</v>
      </c>
    </row>
    <row r="1508" spans="3:9">
      <c r="C1508" s="46">
        <v>2.117</v>
      </c>
      <c r="D1508" s="3">
        <v>124.9</v>
      </c>
      <c r="E1508" s="3">
        <v>128.4</v>
      </c>
      <c r="F1508" s="3">
        <v>24.48</v>
      </c>
      <c r="G1508" s="3">
        <v>526.20000000000005</v>
      </c>
      <c r="H1508" s="3">
        <v>1.1839999999999999</v>
      </c>
      <c r="I1508" s="13">
        <f t="shared" si="24"/>
        <v>5.2450980392156863</v>
      </c>
    </row>
    <row r="1509" spans="3:9">
      <c r="C1509" s="46">
        <v>2.1309999999999998</v>
      </c>
      <c r="D1509" s="3">
        <v>141.19999999999999</v>
      </c>
      <c r="E1509" s="3">
        <v>128.69999999999999</v>
      </c>
      <c r="F1509" s="3">
        <v>24.83</v>
      </c>
      <c r="G1509" s="3">
        <v>527.6</v>
      </c>
      <c r="H1509" s="3">
        <v>1.2829999999999999</v>
      </c>
      <c r="I1509" s="13">
        <f t="shared" si="24"/>
        <v>5.1832460732984291</v>
      </c>
    </row>
    <row r="1510" spans="3:9">
      <c r="C1510" s="46">
        <v>2.1259999999999999</v>
      </c>
      <c r="D1510" s="3">
        <v>120.2</v>
      </c>
      <c r="E1510" s="3">
        <v>128.1</v>
      </c>
      <c r="F1510" s="3">
        <v>24.19</v>
      </c>
      <c r="G1510" s="3">
        <v>534.79999999999995</v>
      </c>
      <c r="H1510" s="3">
        <v>1.129</v>
      </c>
      <c r="I1510" s="13">
        <f t="shared" si="24"/>
        <v>5.2955766845804044</v>
      </c>
    </row>
    <row r="1511" spans="3:9">
      <c r="C1511" s="46">
        <v>2.133</v>
      </c>
      <c r="D1511" s="3">
        <v>117</v>
      </c>
      <c r="E1511" s="3">
        <v>128.1</v>
      </c>
      <c r="F1511" s="3">
        <v>24.47</v>
      </c>
      <c r="G1511" s="3">
        <v>537.20000000000005</v>
      </c>
      <c r="H1511" s="3">
        <v>1.1779999999999999</v>
      </c>
      <c r="I1511" s="13">
        <f t="shared" si="24"/>
        <v>5.2349816101348594</v>
      </c>
    </row>
    <row r="1512" spans="3:9">
      <c r="C1512" s="46">
        <v>2.1320000000000001</v>
      </c>
      <c r="D1512" s="3">
        <v>127.5</v>
      </c>
      <c r="E1512" s="3">
        <v>128.4</v>
      </c>
      <c r="F1512" s="3">
        <v>24.11</v>
      </c>
      <c r="G1512" s="3">
        <v>537.6</v>
      </c>
      <c r="H1512" s="3">
        <v>1.377</v>
      </c>
      <c r="I1512" s="13">
        <f t="shared" si="24"/>
        <v>5.3255910410618004</v>
      </c>
    </row>
    <row r="1513" spans="3:9">
      <c r="C1513" s="46">
        <v>2.1280000000000001</v>
      </c>
      <c r="D1513" s="3">
        <v>122.6</v>
      </c>
      <c r="E1513" s="3">
        <v>128.19999999999999</v>
      </c>
      <c r="F1513" s="3">
        <v>24.6</v>
      </c>
      <c r="G1513" s="3">
        <v>533.20000000000005</v>
      </c>
      <c r="H1513" s="3">
        <v>1.2529999999999999</v>
      </c>
      <c r="I1513" s="13">
        <f t="shared" si="24"/>
        <v>5.2113821138211378</v>
      </c>
    </row>
    <row r="1514" spans="3:9">
      <c r="C1514" s="46">
        <v>2.1259999999999999</v>
      </c>
      <c r="D1514" s="3">
        <v>112.4</v>
      </c>
      <c r="E1514" s="3">
        <v>128.1</v>
      </c>
      <c r="F1514" s="3">
        <v>24.63</v>
      </c>
      <c r="G1514" s="3">
        <v>530.5</v>
      </c>
      <c r="H1514" s="3">
        <v>1.2789999999999999</v>
      </c>
      <c r="I1514" s="13">
        <f t="shared" si="24"/>
        <v>5.2009744214372713</v>
      </c>
    </row>
    <row r="1515" spans="3:9">
      <c r="C1515" s="46">
        <v>2.13</v>
      </c>
      <c r="D1515" s="3">
        <v>106</v>
      </c>
      <c r="E1515" s="3">
        <v>128.19999999999999</v>
      </c>
      <c r="F1515" s="3">
        <v>24.11</v>
      </c>
      <c r="G1515" s="3">
        <v>529.70000000000005</v>
      </c>
      <c r="H1515" s="3">
        <v>1.4630000000000001</v>
      </c>
      <c r="I1515" s="13">
        <f t="shared" si="24"/>
        <v>5.3172957279137281</v>
      </c>
    </row>
    <row r="1516" spans="3:9">
      <c r="C1516" s="46">
        <v>2.1190000000000002</v>
      </c>
      <c r="D1516" s="3">
        <v>105.3</v>
      </c>
      <c r="E1516" s="3">
        <v>128.5</v>
      </c>
      <c r="F1516" s="3">
        <v>24.07</v>
      </c>
      <c r="G1516" s="3">
        <v>528.20000000000005</v>
      </c>
      <c r="H1516" s="3">
        <v>1.377</v>
      </c>
      <c r="I1516" s="13">
        <f t="shared" si="24"/>
        <v>5.3385957623597839</v>
      </c>
    </row>
    <row r="1517" spans="3:9">
      <c r="C1517" s="46">
        <v>2.097</v>
      </c>
      <c r="D1517" s="3">
        <v>134.4</v>
      </c>
      <c r="E1517" s="3">
        <v>128.69999999999999</v>
      </c>
      <c r="F1517" s="3">
        <v>24.32</v>
      </c>
      <c r="G1517" s="3">
        <v>526.9</v>
      </c>
      <c r="H1517" s="3">
        <v>1.129</v>
      </c>
      <c r="I1517" s="13">
        <f t="shared" si="24"/>
        <v>5.2919407894736841</v>
      </c>
    </row>
    <row r="1518" spans="3:9">
      <c r="C1518" s="46">
        <v>2.0870000000000002</v>
      </c>
      <c r="D1518" s="3">
        <v>114.1</v>
      </c>
      <c r="E1518" s="3">
        <v>128.5</v>
      </c>
      <c r="F1518" s="3">
        <v>24.19</v>
      </c>
      <c r="G1518" s="3">
        <v>532.1</v>
      </c>
      <c r="H1518" s="3">
        <v>1.2010000000000001</v>
      </c>
      <c r="I1518" s="13">
        <f t="shared" si="24"/>
        <v>5.3121124431583295</v>
      </c>
    </row>
    <row r="1519" spans="3:9">
      <c r="C1519" s="46">
        <v>2.0830000000000002</v>
      </c>
      <c r="D1519" s="3">
        <v>123.5</v>
      </c>
      <c r="E1519" s="3">
        <v>128.4</v>
      </c>
      <c r="F1519" s="3">
        <v>24.67</v>
      </c>
      <c r="G1519" s="3">
        <v>535</v>
      </c>
      <c r="H1519" s="3">
        <v>1.1839999999999999</v>
      </c>
      <c r="I1519" s="13">
        <f t="shared" si="24"/>
        <v>5.2047020672882045</v>
      </c>
    </row>
    <row r="1520" spans="3:9">
      <c r="C1520" s="46">
        <v>2.1219999999999999</v>
      </c>
      <c r="D1520" s="3">
        <v>141.19999999999999</v>
      </c>
      <c r="E1520" s="3">
        <v>128.5</v>
      </c>
      <c r="F1520" s="3">
        <v>24.55</v>
      </c>
      <c r="G1520" s="3">
        <v>528.6</v>
      </c>
      <c r="H1520" s="3">
        <v>1.3109999999999999</v>
      </c>
      <c r="I1520" s="13">
        <f t="shared" si="24"/>
        <v>5.2342158859470471</v>
      </c>
    </row>
    <row r="1521" spans="2:36">
      <c r="C1521" s="46">
        <v>2.1259999999999999</v>
      </c>
      <c r="D1521" s="3">
        <v>124.9</v>
      </c>
      <c r="E1521" s="3">
        <v>127.9</v>
      </c>
      <c r="F1521" s="3">
        <v>24.27</v>
      </c>
      <c r="G1521" s="3">
        <v>532.5</v>
      </c>
      <c r="H1521" s="3">
        <v>1.2829999999999999</v>
      </c>
      <c r="I1521" s="13">
        <f t="shared" si="24"/>
        <v>5.2698805109188305</v>
      </c>
    </row>
    <row r="1522" spans="2:36" s="35" customFormat="1">
      <c r="B1522" s="16">
        <v>77</v>
      </c>
      <c r="C1522" s="47">
        <v>1.9650000000000001</v>
      </c>
      <c r="D1522" s="16">
        <v>94</v>
      </c>
      <c r="E1522" s="16">
        <v>124.9</v>
      </c>
      <c r="F1522" s="16">
        <v>24.23</v>
      </c>
      <c r="G1522" s="16">
        <v>505.1</v>
      </c>
      <c r="H1522" s="16">
        <v>2.1219999999999999</v>
      </c>
      <c r="I1522" s="13">
        <f t="shared" si="24"/>
        <v>5.1547668179942221</v>
      </c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</row>
    <row r="1523" spans="2:36">
      <c r="C1523" s="46">
        <v>1.9690000000000001</v>
      </c>
      <c r="D1523" s="3">
        <v>110.5</v>
      </c>
      <c r="E1523" s="3">
        <v>125.2</v>
      </c>
      <c r="F1523" s="3">
        <v>24.14</v>
      </c>
      <c r="G1523" s="3">
        <v>504.7</v>
      </c>
      <c r="H1523" s="3">
        <v>2.1019999999999999</v>
      </c>
      <c r="I1523" s="13">
        <f t="shared" si="24"/>
        <v>5.1864125932062963</v>
      </c>
    </row>
    <row r="1524" spans="2:36">
      <c r="C1524" s="46">
        <v>1.92</v>
      </c>
      <c r="D1524" s="3">
        <v>130.6</v>
      </c>
      <c r="E1524" s="3">
        <v>124.9</v>
      </c>
      <c r="F1524" s="3">
        <v>24.25</v>
      </c>
      <c r="G1524" s="3">
        <v>505.8</v>
      </c>
      <c r="H1524" s="3">
        <v>2.1429999999999998</v>
      </c>
      <c r="I1524" s="13">
        <f t="shared" si="24"/>
        <v>5.1505154639175261</v>
      </c>
    </row>
    <row r="1525" spans="2:36">
      <c r="C1525" s="46">
        <v>1.9830000000000001</v>
      </c>
      <c r="D1525" s="3">
        <v>110.2</v>
      </c>
      <c r="E1525" s="3">
        <v>124.6</v>
      </c>
      <c r="F1525" s="3">
        <v>24.33</v>
      </c>
      <c r="G1525" s="3">
        <v>505</v>
      </c>
      <c r="H1525" s="3">
        <v>2.2629999999999999</v>
      </c>
      <c r="I1525" s="13">
        <f t="shared" si="24"/>
        <v>5.1212494862309903</v>
      </c>
    </row>
    <row r="1526" spans="2:36">
      <c r="C1526" s="46">
        <v>1.9670000000000001</v>
      </c>
      <c r="D1526" s="3">
        <v>106.7</v>
      </c>
      <c r="E1526" s="3">
        <v>124.5</v>
      </c>
      <c r="F1526" s="3">
        <v>24.53</v>
      </c>
      <c r="G1526" s="3">
        <v>500.5</v>
      </c>
      <c r="H1526" s="3">
        <v>2.153</v>
      </c>
      <c r="I1526" s="13">
        <f t="shared" si="24"/>
        <v>5.0754178556869141</v>
      </c>
    </row>
    <row r="1527" spans="2:36">
      <c r="C1527" s="46">
        <v>1.9790000000000001</v>
      </c>
      <c r="D1527" s="3">
        <v>129.30000000000001</v>
      </c>
      <c r="E1527" s="3">
        <v>124.2</v>
      </c>
      <c r="F1527" s="3">
        <v>24.2</v>
      </c>
      <c r="G1527" s="3">
        <v>506.6</v>
      </c>
      <c r="H1527" s="3">
        <v>2.1549999999999998</v>
      </c>
      <c r="I1527" s="13">
        <f t="shared" si="24"/>
        <v>5.1322314049586781</v>
      </c>
    </row>
    <row r="1528" spans="2:36">
      <c r="C1528" s="46">
        <v>1.97</v>
      </c>
      <c r="D1528" s="3">
        <v>102.9</v>
      </c>
      <c r="E1528" s="3">
        <v>124</v>
      </c>
      <c r="F1528" s="3">
        <v>24.54</v>
      </c>
      <c r="G1528" s="3">
        <v>505.2</v>
      </c>
      <c r="H1528" s="3">
        <v>2.169</v>
      </c>
      <c r="I1528" s="13">
        <f t="shared" si="24"/>
        <v>5.0529747351263241</v>
      </c>
    </row>
    <row r="1529" spans="2:36">
      <c r="C1529" s="46">
        <v>1.956</v>
      </c>
      <c r="D1529" s="3">
        <v>94.3</v>
      </c>
      <c r="E1529" s="3">
        <v>124.5</v>
      </c>
      <c r="F1529" s="3">
        <v>24.42</v>
      </c>
      <c r="G1529" s="3">
        <v>500.1</v>
      </c>
      <c r="H1529" s="3">
        <v>2.1150000000000002</v>
      </c>
      <c r="I1529" s="13">
        <f t="shared" si="24"/>
        <v>5.0982800982800978</v>
      </c>
    </row>
    <row r="1530" spans="2:36">
      <c r="C1530" s="46">
        <v>1.94</v>
      </c>
      <c r="D1530" s="3">
        <v>96.6</v>
      </c>
      <c r="E1530" s="3">
        <v>124.6</v>
      </c>
      <c r="F1530" s="3">
        <v>24.31</v>
      </c>
      <c r="G1530" s="3">
        <v>507.1</v>
      </c>
      <c r="H1530" s="3">
        <v>2.17</v>
      </c>
      <c r="I1530" s="13">
        <f t="shared" si="24"/>
        <v>5.1254627725215958</v>
      </c>
    </row>
    <row r="1531" spans="2:36">
      <c r="C1531" s="46">
        <v>1.923</v>
      </c>
      <c r="D1531" s="3">
        <v>103.8</v>
      </c>
      <c r="E1531" s="3">
        <v>124.5</v>
      </c>
      <c r="F1531" s="3">
        <v>24.2</v>
      </c>
      <c r="G1531" s="3">
        <v>505.7</v>
      </c>
      <c r="H1531" s="3">
        <v>2.2519999999999998</v>
      </c>
      <c r="I1531" s="13">
        <f t="shared" si="24"/>
        <v>5.1446280991735538</v>
      </c>
    </row>
    <row r="1532" spans="2:36">
      <c r="C1532" s="46">
        <v>1.97</v>
      </c>
      <c r="D1532" s="3">
        <v>102.6</v>
      </c>
      <c r="E1532" s="3">
        <v>124.4</v>
      </c>
      <c r="F1532" s="3">
        <v>24.2</v>
      </c>
      <c r="G1532" s="3">
        <v>513.1</v>
      </c>
      <c r="H1532" s="3">
        <v>2.1749999999999998</v>
      </c>
      <c r="I1532" s="13">
        <f t="shared" si="24"/>
        <v>5.1404958677685952</v>
      </c>
    </row>
    <row r="1533" spans="2:36">
      <c r="C1533" s="46">
        <v>1.95</v>
      </c>
      <c r="D1533" s="3">
        <v>97.2</v>
      </c>
      <c r="E1533" s="3">
        <v>124.7</v>
      </c>
      <c r="F1533" s="3">
        <v>24.32</v>
      </c>
      <c r="G1533" s="3">
        <v>512.1</v>
      </c>
      <c r="H1533" s="3">
        <v>2.2429999999999999</v>
      </c>
      <c r="I1533" s="13">
        <f t="shared" si="24"/>
        <v>5.1274671052631575</v>
      </c>
    </row>
    <row r="1534" spans="2:36">
      <c r="C1534" s="46">
        <v>1.98</v>
      </c>
      <c r="D1534" s="3">
        <v>103.8</v>
      </c>
      <c r="E1534" s="3">
        <v>124.5</v>
      </c>
      <c r="F1534" s="3">
        <v>24.97</v>
      </c>
      <c r="G1534" s="3">
        <v>511.3</v>
      </c>
      <c r="H1534" s="3">
        <v>2.2599999999999998</v>
      </c>
      <c r="I1534" s="13">
        <f t="shared" si="24"/>
        <v>4.9859831798157792</v>
      </c>
    </row>
    <row r="1535" spans="2:36">
      <c r="C1535" s="46">
        <v>1.9810000000000001</v>
      </c>
      <c r="D1535" s="3">
        <v>90.8</v>
      </c>
      <c r="E1535" s="3">
        <v>124.9</v>
      </c>
      <c r="F1535" s="3">
        <v>24.75</v>
      </c>
      <c r="G1535" s="3">
        <v>504.4</v>
      </c>
      <c r="H1535" s="3">
        <v>2.2959999999999998</v>
      </c>
      <c r="I1535" s="13">
        <f t="shared" si="24"/>
        <v>5.0464646464646465</v>
      </c>
    </row>
    <row r="1536" spans="2:36">
      <c r="C1536" s="46">
        <v>1.966</v>
      </c>
      <c r="D1536" s="3">
        <v>106.7</v>
      </c>
      <c r="E1536" s="3">
        <v>124.7</v>
      </c>
      <c r="F1536" s="3">
        <v>24.62</v>
      </c>
      <c r="G1536" s="3">
        <v>503.5</v>
      </c>
      <c r="H1536" s="3">
        <v>2.1459999999999999</v>
      </c>
      <c r="I1536" s="13">
        <f t="shared" si="24"/>
        <v>5.064987814784728</v>
      </c>
    </row>
    <row r="1537" spans="2:36">
      <c r="C1537" s="46">
        <v>1.95</v>
      </c>
      <c r="D1537" s="3">
        <v>97.2</v>
      </c>
      <c r="E1537" s="3">
        <v>125.4</v>
      </c>
      <c r="F1537" s="3">
        <v>24.64</v>
      </c>
      <c r="G1537" s="3">
        <v>505.7</v>
      </c>
      <c r="H1537" s="3">
        <v>2.1019999999999999</v>
      </c>
      <c r="I1537" s="13">
        <f t="shared" si="24"/>
        <v>5.0892857142857144</v>
      </c>
    </row>
    <row r="1538" spans="2:36">
      <c r="C1538" s="46">
        <v>1.9650000000000001</v>
      </c>
      <c r="D1538" s="3">
        <v>118.6</v>
      </c>
      <c r="E1538" s="3">
        <v>125.1</v>
      </c>
      <c r="F1538" s="3">
        <v>24.2</v>
      </c>
      <c r="G1538" s="3">
        <v>513.20000000000005</v>
      </c>
      <c r="H1538" s="3">
        <v>2.125</v>
      </c>
      <c r="I1538" s="13">
        <f t="shared" si="24"/>
        <v>5.169421487603306</v>
      </c>
    </row>
    <row r="1539" spans="2:36">
      <c r="C1539" s="46">
        <v>1.98</v>
      </c>
      <c r="D1539" s="3">
        <v>102.9</v>
      </c>
      <c r="E1539" s="3">
        <v>124.5</v>
      </c>
      <c r="F1539" s="3">
        <v>24.22</v>
      </c>
      <c r="G1539" s="3">
        <v>514.6</v>
      </c>
      <c r="H1539" s="3">
        <v>2.1339999999999999</v>
      </c>
      <c r="I1539" s="13">
        <f t="shared" si="24"/>
        <v>5.1403798513625105</v>
      </c>
    </row>
    <row r="1540" spans="2:36">
      <c r="C1540" s="46">
        <v>1.946</v>
      </c>
      <c r="D1540" s="3">
        <v>105.1</v>
      </c>
      <c r="E1540" s="3">
        <v>125</v>
      </c>
      <c r="F1540" s="3">
        <v>24.86</v>
      </c>
      <c r="G1540" s="3">
        <v>518.70000000000005</v>
      </c>
      <c r="H1540" s="3">
        <v>2.214</v>
      </c>
      <c r="I1540" s="13">
        <f t="shared" si="24"/>
        <v>5.0281576830249399</v>
      </c>
    </row>
    <row r="1541" spans="2:36">
      <c r="C1541" s="46">
        <v>1.9570000000000001</v>
      </c>
      <c r="D1541" s="3">
        <v>97</v>
      </c>
      <c r="E1541" s="3">
        <v>125.1</v>
      </c>
      <c r="F1541" s="3">
        <v>24.75</v>
      </c>
      <c r="G1541" s="3">
        <v>516.1</v>
      </c>
      <c r="H1541" s="3">
        <v>2.2290000000000001</v>
      </c>
      <c r="I1541" s="13">
        <f t="shared" si="24"/>
        <v>5.0545454545454547</v>
      </c>
    </row>
    <row r="1542" spans="2:36" s="35" customFormat="1">
      <c r="B1542" s="16">
        <v>78</v>
      </c>
      <c r="C1542" s="47">
        <v>1.5760000000000001</v>
      </c>
      <c r="D1542" s="16">
        <v>91.47</v>
      </c>
      <c r="E1542" s="16">
        <v>97.12</v>
      </c>
      <c r="F1542" s="16">
        <v>22.79</v>
      </c>
      <c r="G1542" s="16">
        <v>479</v>
      </c>
      <c r="H1542" s="16">
        <v>0.90200000000000002</v>
      </c>
      <c r="I1542" s="13">
        <f t="shared" si="24"/>
        <v>4.2615182097411148</v>
      </c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</row>
    <row r="1543" spans="2:36">
      <c r="C1543" s="46">
        <v>1.5469999999999999</v>
      </c>
      <c r="D1543" s="3">
        <v>96.75</v>
      </c>
      <c r="E1543" s="3">
        <v>96.57</v>
      </c>
      <c r="F1543" s="3">
        <v>22.21</v>
      </c>
      <c r="G1543" s="3">
        <v>475.2</v>
      </c>
      <c r="H1543" s="3">
        <v>0.89</v>
      </c>
      <c r="I1543" s="13">
        <f t="shared" si="24"/>
        <v>4.3480414227825301</v>
      </c>
    </row>
    <row r="1544" spans="2:36">
      <c r="C1544" s="46">
        <v>1.51</v>
      </c>
      <c r="D1544" s="3">
        <v>115.4</v>
      </c>
      <c r="E1544" s="3">
        <v>97.58</v>
      </c>
      <c r="F1544" s="3">
        <v>22.73</v>
      </c>
      <c r="G1544" s="3">
        <v>472.1</v>
      </c>
      <c r="H1544" s="3">
        <v>0.86799999999999999</v>
      </c>
      <c r="I1544" s="13">
        <f t="shared" si="24"/>
        <v>4.2930048394192699</v>
      </c>
    </row>
    <row r="1545" spans="2:36">
      <c r="C1545" s="46">
        <v>1.556</v>
      </c>
      <c r="D1545" s="3">
        <v>88.99</v>
      </c>
      <c r="E1545" s="3">
        <v>97.43</v>
      </c>
      <c r="F1545" s="3">
        <v>22.51</v>
      </c>
      <c r="G1545" s="3">
        <v>473.1</v>
      </c>
      <c r="H1545" s="3">
        <v>0.83899999999999997</v>
      </c>
      <c r="I1545" s="13">
        <f t="shared" si="24"/>
        <v>4.3282985339848956</v>
      </c>
    </row>
    <row r="1546" spans="2:36">
      <c r="C1546" s="46">
        <v>1.587</v>
      </c>
      <c r="D1546" s="3">
        <v>108.1</v>
      </c>
      <c r="E1546" s="3">
        <v>97.14</v>
      </c>
      <c r="F1546" s="3">
        <v>22.4</v>
      </c>
      <c r="G1546" s="3">
        <v>475.9</v>
      </c>
      <c r="H1546" s="3">
        <v>0.82</v>
      </c>
      <c r="I1546" s="13">
        <f t="shared" si="24"/>
        <v>4.3366071428571429</v>
      </c>
    </row>
    <row r="1547" spans="2:36">
      <c r="C1547" s="46">
        <v>1.579</v>
      </c>
      <c r="D1547" s="3">
        <v>93.07</v>
      </c>
      <c r="E1547" s="3">
        <v>96.13</v>
      </c>
      <c r="F1547" s="3">
        <v>22.33</v>
      </c>
      <c r="G1547" s="3">
        <v>478</v>
      </c>
      <c r="H1547" s="3">
        <v>0.85099999999999998</v>
      </c>
      <c r="I1547" s="13">
        <f t="shared" si="24"/>
        <v>4.3049708911777875</v>
      </c>
    </row>
    <row r="1548" spans="2:36">
      <c r="C1548" s="46">
        <v>1.6060000000000001</v>
      </c>
      <c r="D1548" s="3">
        <v>103.9</v>
      </c>
      <c r="E1548" s="3">
        <v>96.58</v>
      </c>
      <c r="F1548" s="3">
        <v>22.4</v>
      </c>
      <c r="G1548" s="3">
        <v>483.9</v>
      </c>
      <c r="H1548" s="3">
        <v>0.88</v>
      </c>
      <c r="I1548" s="13">
        <f t="shared" si="24"/>
        <v>4.3116071428571434</v>
      </c>
    </row>
    <row r="1549" spans="2:36">
      <c r="C1549" s="46">
        <v>1.607</v>
      </c>
      <c r="D1549" s="3">
        <v>108.1</v>
      </c>
      <c r="E1549" s="3">
        <v>96.99</v>
      </c>
      <c r="F1549" s="3">
        <v>22.53</v>
      </c>
      <c r="G1549" s="3">
        <v>483.7</v>
      </c>
      <c r="H1549" s="3">
        <v>0.85399999999999998</v>
      </c>
      <c r="I1549" s="13">
        <f t="shared" si="24"/>
        <v>4.3049267643142475</v>
      </c>
    </row>
    <row r="1550" spans="2:36">
      <c r="C1550" s="46">
        <v>1.581</v>
      </c>
      <c r="D1550" s="3">
        <v>96.75</v>
      </c>
      <c r="E1550" s="3">
        <v>97.72</v>
      </c>
      <c r="F1550" s="3">
        <v>22.57</v>
      </c>
      <c r="G1550" s="3">
        <v>476.5</v>
      </c>
      <c r="H1550" s="3">
        <v>0.89</v>
      </c>
      <c r="I1550" s="13">
        <f t="shared" si="24"/>
        <v>4.3296411165263624</v>
      </c>
    </row>
    <row r="1551" spans="2:36">
      <c r="C1551" s="46">
        <v>1.573</v>
      </c>
      <c r="D1551" s="3">
        <v>76.66</v>
      </c>
      <c r="E1551" s="3">
        <v>97.57</v>
      </c>
      <c r="F1551" s="3">
        <v>22.55</v>
      </c>
      <c r="G1551" s="3">
        <v>475.6</v>
      </c>
      <c r="H1551" s="3">
        <v>0.82199999999999995</v>
      </c>
      <c r="I1551" s="13">
        <f t="shared" si="24"/>
        <v>4.3268292682926823</v>
      </c>
    </row>
    <row r="1552" spans="2:36">
      <c r="C1552" s="46">
        <v>1.5609999999999999</v>
      </c>
      <c r="D1552" s="3">
        <v>70.28</v>
      </c>
      <c r="E1552" s="3">
        <v>97.15</v>
      </c>
      <c r="F1552" s="3">
        <v>22.83</v>
      </c>
      <c r="G1552" s="3">
        <v>474.3</v>
      </c>
      <c r="H1552" s="3">
        <v>0.84</v>
      </c>
      <c r="I1552" s="13">
        <f t="shared" si="24"/>
        <v>4.2553657468243546</v>
      </c>
    </row>
    <row r="1553" spans="2:36">
      <c r="C1553" s="46">
        <v>1.55</v>
      </c>
      <c r="D1553" s="3">
        <v>72.64</v>
      </c>
      <c r="E1553" s="3">
        <v>97.14</v>
      </c>
      <c r="F1553" s="3">
        <v>22.27</v>
      </c>
      <c r="G1553" s="3">
        <v>473.5</v>
      </c>
      <c r="H1553" s="3">
        <v>0.871</v>
      </c>
      <c r="I1553" s="13">
        <f t="shared" si="24"/>
        <v>4.3619218679838347</v>
      </c>
    </row>
    <row r="1554" spans="2:36">
      <c r="C1554" s="46">
        <v>1.534</v>
      </c>
      <c r="D1554" s="3">
        <v>75.040000000000006</v>
      </c>
      <c r="E1554" s="3">
        <v>97.12</v>
      </c>
      <c r="F1554" s="3">
        <v>22.44</v>
      </c>
      <c r="G1554" s="3">
        <v>475</v>
      </c>
      <c r="H1554" s="3">
        <v>0.86899999999999999</v>
      </c>
      <c r="I1554" s="13">
        <f t="shared" si="24"/>
        <v>4.3279857397504458</v>
      </c>
    </row>
    <row r="1555" spans="2:36">
      <c r="C1555" s="46">
        <v>1.524</v>
      </c>
      <c r="D1555" s="3">
        <v>84.28</v>
      </c>
      <c r="E1555" s="3">
        <v>97.28</v>
      </c>
      <c r="F1555" s="3">
        <v>22.01</v>
      </c>
      <c r="G1555" s="3">
        <v>473.3</v>
      </c>
      <c r="H1555" s="3">
        <v>0.89600000000000002</v>
      </c>
      <c r="I1555" s="13">
        <f t="shared" si="24"/>
        <v>4.419809177646524</v>
      </c>
    </row>
    <row r="1556" spans="2:36">
      <c r="C1556" s="46">
        <v>1.53</v>
      </c>
      <c r="D1556" s="3">
        <v>88.99</v>
      </c>
      <c r="E1556" s="3">
        <v>96.65</v>
      </c>
      <c r="F1556" s="3">
        <v>22.12</v>
      </c>
      <c r="G1556" s="3">
        <v>470.7</v>
      </c>
      <c r="H1556" s="3">
        <v>0.872</v>
      </c>
      <c r="I1556" s="13">
        <f t="shared" si="24"/>
        <v>4.3693490054249544</v>
      </c>
    </row>
    <row r="1557" spans="2:36">
      <c r="C1557" s="46">
        <v>1.55</v>
      </c>
      <c r="D1557" s="3">
        <v>103.4</v>
      </c>
      <c r="E1557" s="3">
        <v>96.85</v>
      </c>
      <c r="F1557" s="3">
        <v>22.22</v>
      </c>
      <c r="G1557" s="3">
        <v>470</v>
      </c>
      <c r="H1557" s="3">
        <v>0.84899999999999998</v>
      </c>
      <c r="I1557" s="13">
        <f t="shared" si="24"/>
        <v>4.3586858685868588</v>
      </c>
    </row>
    <row r="1558" spans="2:36">
      <c r="C1558" s="46">
        <v>1.5720000000000001</v>
      </c>
      <c r="D1558" s="3">
        <v>101.7</v>
      </c>
      <c r="E1558" s="3">
        <v>97.01</v>
      </c>
      <c r="F1558" s="3">
        <v>22.36</v>
      </c>
      <c r="G1558" s="3">
        <v>468.5</v>
      </c>
      <c r="H1558" s="3">
        <v>0.88300000000000001</v>
      </c>
      <c r="I1558" s="13">
        <f t="shared" ref="I1558:I1621" si="25">E1558/F1558</f>
        <v>4.3385509838998217</v>
      </c>
    </row>
    <row r="1559" spans="2:36">
      <c r="C1559" s="46">
        <v>1.589</v>
      </c>
      <c r="D1559" s="3">
        <v>105.5</v>
      </c>
      <c r="E1559" s="3">
        <v>97.03</v>
      </c>
      <c r="F1559" s="3">
        <v>22.68</v>
      </c>
      <c r="G1559" s="3">
        <v>472</v>
      </c>
      <c r="H1559" s="3">
        <v>0.872</v>
      </c>
      <c r="I1559" s="13">
        <f t="shared" si="25"/>
        <v>4.2782186948853616</v>
      </c>
    </row>
    <row r="1560" spans="2:36">
      <c r="C1560" s="46">
        <v>1.6040000000000001</v>
      </c>
      <c r="D1560" s="3">
        <v>71.13</v>
      </c>
      <c r="E1560" s="3">
        <v>97.47</v>
      </c>
      <c r="F1560" s="3">
        <v>22.5</v>
      </c>
      <c r="G1560" s="3">
        <v>474.8</v>
      </c>
      <c r="H1560" s="3">
        <v>0.88</v>
      </c>
      <c r="I1560" s="13">
        <f t="shared" si="25"/>
        <v>4.3319999999999999</v>
      </c>
    </row>
    <row r="1561" spans="2:36">
      <c r="C1561" s="46">
        <v>1.585</v>
      </c>
      <c r="D1561" s="3">
        <v>96.75</v>
      </c>
      <c r="E1561" s="3">
        <v>97.72</v>
      </c>
      <c r="F1561" s="3">
        <v>22.61</v>
      </c>
      <c r="G1561" s="3">
        <v>472.3</v>
      </c>
      <c r="H1561" s="3">
        <v>0.873</v>
      </c>
      <c r="I1561" s="13">
        <f t="shared" si="25"/>
        <v>4.321981424148607</v>
      </c>
    </row>
    <row r="1562" spans="2:36" s="35" customFormat="1">
      <c r="B1562" s="16">
        <v>79</v>
      </c>
      <c r="C1562" s="47">
        <v>2.5819999999999999</v>
      </c>
      <c r="D1562" s="16">
        <v>109.5</v>
      </c>
      <c r="E1562" s="16">
        <v>96.43</v>
      </c>
      <c r="F1562" s="16">
        <v>34.369999999999997</v>
      </c>
      <c r="G1562" s="30">
        <v>463.3</v>
      </c>
      <c r="H1562" s="16">
        <v>3.5710000000000002</v>
      </c>
      <c r="I1562" s="13">
        <f t="shared" si="25"/>
        <v>2.8056444573756187</v>
      </c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</row>
    <row r="1563" spans="2:36">
      <c r="C1563" s="46">
        <v>2.5139999999999998</v>
      </c>
      <c r="D1563" s="3">
        <v>89.91</v>
      </c>
      <c r="E1563" s="3">
        <v>96.81</v>
      </c>
      <c r="F1563" s="3">
        <v>34.44</v>
      </c>
      <c r="G1563" s="30">
        <v>465.7</v>
      </c>
      <c r="H1563" s="3">
        <v>3.6560000000000001</v>
      </c>
      <c r="I1563" s="13">
        <f t="shared" si="25"/>
        <v>2.8109756097560976</v>
      </c>
    </row>
    <row r="1564" spans="2:36">
      <c r="C1564" s="46">
        <v>2.605</v>
      </c>
      <c r="D1564" s="3">
        <v>88.2</v>
      </c>
      <c r="E1564" s="3">
        <v>96.89</v>
      </c>
      <c r="F1564" s="3">
        <v>34.700000000000003</v>
      </c>
      <c r="G1564" s="30">
        <v>460</v>
      </c>
      <c r="H1564" s="3">
        <v>3.0950000000000002</v>
      </c>
      <c r="I1564" s="13">
        <f t="shared" si="25"/>
        <v>2.7922190201729102</v>
      </c>
    </row>
    <row r="1565" spans="2:36">
      <c r="C1565" s="46">
        <v>2.6059999999999999</v>
      </c>
      <c r="D1565" s="3">
        <v>125.3</v>
      </c>
      <c r="E1565" s="3">
        <v>96.8</v>
      </c>
      <c r="F1565" s="3">
        <v>33.44</v>
      </c>
      <c r="G1565" s="30">
        <v>456.9</v>
      </c>
      <c r="H1565" s="3">
        <v>3.7189999999999999</v>
      </c>
      <c r="I1565" s="13">
        <f t="shared" si="25"/>
        <v>2.8947368421052633</v>
      </c>
    </row>
    <row r="1566" spans="2:36">
      <c r="C1566" s="46">
        <v>2.601</v>
      </c>
      <c r="D1566" s="3">
        <v>87.25</v>
      </c>
      <c r="E1566" s="3">
        <v>96.46</v>
      </c>
      <c r="F1566" s="3">
        <v>33.630000000000003</v>
      </c>
      <c r="G1566" s="30">
        <v>459.1</v>
      </c>
      <c r="H1566" s="3">
        <v>3.6110000000000002</v>
      </c>
      <c r="I1566" s="13">
        <f t="shared" si="25"/>
        <v>2.8682723758548909</v>
      </c>
    </row>
    <row r="1567" spans="2:36">
      <c r="C1567" s="46">
        <v>2.609</v>
      </c>
      <c r="D1567" s="3">
        <v>85.55</v>
      </c>
      <c r="E1567" s="3">
        <v>96.36</v>
      </c>
      <c r="F1567" s="3">
        <v>33.549999999999997</v>
      </c>
      <c r="G1567" s="30">
        <v>459.4</v>
      </c>
      <c r="H1567" s="3">
        <v>3.62</v>
      </c>
      <c r="I1567" s="13">
        <f t="shared" si="25"/>
        <v>2.8721311475409839</v>
      </c>
    </row>
    <row r="1568" spans="2:36">
      <c r="C1568" s="46">
        <v>2.5990000000000002</v>
      </c>
      <c r="D1568" s="3">
        <v>130.5</v>
      </c>
      <c r="E1568" s="3">
        <v>96.61</v>
      </c>
      <c r="F1568" s="3">
        <v>33.450000000000003</v>
      </c>
      <c r="G1568" s="30">
        <v>460.2</v>
      </c>
      <c r="H1568" s="3">
        <v>3.6059999999999999</v>
      </c>
      <c r="I1568" s="13">
        <f t="shared" si="25"/>
        <v>2.8881913303437963</v>
      </c>
    </row>
    <row r="1569" spans="2:36">
      <c r="C1569" s="46">
        <v>2.5819999999999999</v>
      </c>
      <c r="D1569" s="3">
        <v>125</v>
      </c>
      <c r="E1569" s="3">
        <v>96.71</v>
      </c>
      <c r="F1569" s="3">
        <v>34.35</v>
      </c>
      <c r="G1569" s="30">
        <v>459.1</v>
      </c>
      <c r="H1569" s="3">
        <v>3.27</v>
      </c>
      <c r="I1569" s="13">
        <f t="shared" si="25"/>
        <v>2.8154294032023288</v>
      </c>
    </row>
    <row r="1570" spans="2:36">
      <c r="C1570" s="46">
        <v>2.58</v>
      </c>
      <c r="D1570" s="3">
        <v>108.1</v>
      </c>
      <c r="E1570" s="3">
        <v>96.92</v>
      </c>
      <c r="F1570" s="3">
        <v>34.119999999999997</v>
      </c>
      <c r="G1570" s="30">
        <v>456.3</v>
      </c>
      <c r="H1570" s="3">
        <v>3.5329999999999999</v>
      </c>
      <c r="I1570" s="13">
        <f t="shared" si="25"/>
        <v>2.8405627198124268</v>
      </c>
    </row>
    <row r="1571" spans="2:36">
      <c r="C1571" s="46">
        <v>2.605</v>
      </c>
      <c r="D1571" s="3">
        <v>132.4</v>
      </c>
      <c r="E1571" s="3">
        <v>96.58</v>
      </c>
      <c r="F1571" s="3">
        <v>33.97</v>
      </c>
      <c r="G1571" s="30">
        <v>461.6</v>
      </c>
      <c r="H1571" s="3">
        <v>3.649</v>
      </c>
      <c r="I1571" s="13">
        <f t="shared" si="25"/>
        <v>2.8430968501619076</v>
      </c>
    </row>
    <row r="1572" spans="2:36">
      <c r="C1572" s="46">
        <v>2.5390000000000001</v>
      </c>
      <c r="D1572" s="3">
        <v>100.4</v>
      </c>
      <c r="E1572" s="3">
        <v>96.76</v>
      </c>
      <c r="F1572" s="3">
        <v>33.82</v>
      </c>
      <c r="G1572" s="30">
        <v>465.8</v>
      </c>
      <c r="H1572" s="3">
        <v>3.5329999999999999</v>
      </c>
      <c r="I1572" s="13">
        <f t="shared" si="25"/>
        <v>2.8610289769367241</v>
      </c>
    </row>
    <row r="1573" spans="2:36">
      <c r="C1573" s="46">
        <v>2.544</v>
      </c>
      <c r="D1573" s="3">
        <v>94.7</v>
      </c>
      <c r="E1573" s="3">
        <v>96.7</v>
      </c>
      <c r="F1573" s="3">
        <v>34.01</v>
      </c>
      <c r="G1573" s="30">
        <v>469.4</v>
      </c>
      <c r="H1573" s="3">
        <v>3.85</v>
      </c>
      <c r="I1573" s="13">
        <f t="shared" si="25"/>
        <v>2.8432813878271097</v>
      </c>
    </row>
    <row r="1574" spans="2:36">
      <c r="C1574" s="46">
        <v>2.5409999999999999</v>
      </c>
      <c r="D1574" s="3">
        <v>130.5</v>
      </c>
      <c r="E1574" s="3">
        <v>96.22</v>
      </c>
      <c r="F1574" s="3">
        <v>33.75</v>
      </c>
      <c r="G1574" s="30">
        <v>476.4</v>
      </c>
      <c r="H1574" s="3">
        <v>3.6110000000000002</v>
      </c>
      <c r="I1574" s="13">
        <f t="shared" si="25"/>
        <v>2.8509629629629631</v>
      </c>
    </row>
    <row r="1575" spans="2:36">
      <c r="C1575" s="46">
        <v>2.609</v>
      </c>
      <c r="D1575" s="3">
        <v>84.46</v>
      </c>
      <c r="E1575" s="3">
        <v>96.45</v>
      </c>
      <c r="F1575" s="3">
        <v>33.49</v>
      </c>
      <c r="G1575" s="30">
        <v>475.3</v>
      </c>
      <c r="H1575" s="3">
        <v>3.7189999999999999</v>
      </c>
      <c r="I1575" s="13">
        <f t="shared" si="25"/>
        <v>2.8799641684084802</v>
      </c>
    </row>
    <row r="1576" spans="2:36">
      <c r="C1576" s="46">
        <v>2.593</v>
      </c>
      <c r="D1576" s="3">
        <v>96.41</v>
      </c>
      <c r="E1576" s="3">
        <v>96.22</v>
      </c>
      <c r="F1576" s="3">
        <v>33.67</v>
      </c>
      <c r="G1576" s="30">
        <v>467.4</v>
      </c>
      <c r="H1576" s="3">
        <v>3.27</v>
      </c>
      <c r="I1576" s="13">
        <f t="shared" si="25"/>
        <v>2.8577368577368576</v>
      </c>
    </row>
    <row r="1577" spans="2:36">
      <c r="C1577" s="46">
        <v>2.5870000000000002</v>
      </c>
      <c r="D1577" s="3">
        <v>86.81</v>
      </c>
      <c r="E1577" s="3">
        <v>96.88</v>
      </c>
      <c r="F1577" s="3">
        <v>33.86</v>
      </c>
      <c r="G1577" s="30">
        <v>464.7</v>
      </c>
      <c r="H1577" s="3">
        <v>3.5310000000000001</v>
      </c>
      <c r="I1577" s="13">
        <f t="shared" si="25"/>
        <v>2.8611931482575308</v>
      </c>
    </row>
    <row r="1578" spans="2:36">
      <c r="C1578" s="46">
        <v>2.6059999999999999</v>
      </c>
      <c r="D1578" s="3">
        <v>87.25</v>
      </c>
      <c r="E1578" s="3">
        <v>96.83</v>
      </c>
      <c r="F1578" s="3">
        <v>33.39</v>
      </c>
      <c r="G1578" s="30">
        <v>459.7</v>
      </c>
      <c r="H1578" s="3">
        <v>3.6469999999999998</v>
      </c>
      <c r="I1578" s="13">
        <f t="shared" si="25"/>
        <v>2.899970050913447</v>
      </c>
    </row>
    <row r="1579" spans="2:36">
      <c r="C1579" s="46">
        <v>2.605</v>
      </c>
      <c r="D1579" s="3">
        <v>112</v>
      </c>
      <c r="E1579" s="3">
        <v>96.74</v>
      </c>
      <c r="F1579" s="3">
        <v>33.450000000000003</v>
      </c>
      <c r="G1579" s="30">
        <v>461.3</v>
      </c>
      <c r="H1579" s="3">
        <v>3.27</v>
      </c>
      <c r="I1579" s="13">
        <f t="shared" si="25"/>
        <v>2.892077727952167</v>
      </c>
    </row>
    <row r="1580" spans="2:36">
      <c r="C1580" s="46">
        <v>2.5819999999999999</v>
      </c>
      <c r="D1580" s="3">
        <v>108</v>
      </c>
      <c r="E1580" s="3">
        <v>96.32</v>
      </c>
      <c r="F1580" s="3">
        <v>33.14</v>
      </c>
      <c r="G1580" s="30">
        <v>455</v>
      </c>
      <c r="H1580" s="3">
        <v>3.6669999999999998</v>
      </c>
      <c r="I1580" s="13">
        <f t="shared" si="25"/>
        <v>2.9064574532287262</v>
      </c>
    </row>
    <row r="1581" spans="2:36">
      <c r="C1581" s="46">
        <v>2.5710000000000002</v>
      </c>
      <c r="D1581" s="3">
        <v>100.3</v>
      </c>
      <c r="E1581" s="3">
        <v>96</v>
      </c>
      <c r="F1581" s="3">
        <v>33.33</v>
      </c>
      <c r="G1581" s="30">
        <v>463.3</v>
      </c>
      <c r="H1581" s="3">
        <v>3.5720000000000001</v>
      </c>
      <c r="I1581" s="13">
        <f t="shared" si="25"/>
        <v>2.8802880288028803</v>
      </c>
    </row>
    <row r="1582" spans="2:36" s="35" customFormat="1">
      <c r="B1582" s="16">
        <v>80</v>
      </c>
      <c r="C1582" s="47">
        <v>1.7390000000000001</v>
      </c>
      <c r="D1582" s="16">
        <v>96.88</v>
      </c>
      <c r="E1582" s="16">
        <v>106.6</v>
      </c>
      <c r="F1582" s="16">
        <v>30.76</v>
      </c>
      <c r="G1582" s="30">
        <v>529.70000000000005</v>
      </c>
      <c r="H1582" s="16">
        <v>2.7770000000000001</v>
      </c>
      <c r="I1582" s="13">
        <f t="shared" si="25"/>
        <v>3.465539661898569</v>
      </c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</row>
    <row r="1583" spans="2:36">
      <c r="C1583" s="46">
        <v>1.726</v>
      </c>
      <c r="D1583" s="3">
        <v>99.73</v>
      </c>
      <c r="E1583" s="3">
        <v>106.2</v>
      </c>
      <c r="F1583" s="3">
        <v>30.68</v>
      </c>
      <c r="G1583" s="30">
        <v>529.4</v>
      </c>
      <c r="H1583" s="3">
        <v>2.7650000000000001</v>
      </c>
      <c r="I1583" s="13">
        <f t="shared" si="25"/>
        <v>3.4615384615384617</v>
      </c>
    </row>
    <row r="1584" spans="2:36">
      <c r="C1584" s="46">
        <v>1.7030000000000001</v>
      </c>
      <c r="D1584" s="3">
        <v>96.88</v>
      </c>
      <c r="E1584" s="3">
        <v>105.7</v>
      </c>
      <c r="F1584" s="3">
        <v>30.29</v>
      </c>
      <c r="G1584" s="30">
        <v>531.20000000000005</v>
      </c>
      <c r="H1584" s="3">
        <v>2.9820000000000002</v>
      </c>
      <c r="I1584" s="13">
        <f t="shared" si="25"/>
        <v>3.4896005282271378</v>
      </c>
    </row>
    <row r="1585" spans="3:9">
      <c r="C1585" s="46">
        <v>1.6890000000000001</v>
      </c>
      <c r="D1585" s="3">
        <v>93.54</v>
      </c>
      <c r="E1585" s="3">
        <v>105.6</v>
      </c>
      <c r="F1585" s="3">
        <v>30.43</v>
      </c>
      <c r="G1585" s="30">
        <v>524.79999999999995</v>
      </c>
      <c r="H1585" s="3">
        <v>2.887</v>
      </c>
      <c r="I1585" s="13">
        <f t="shared" si="25"/>
        <v>3.470259612224778</v>
      </c>
    </row>
    <row r="1586" spans="3:9">
      <c r="C1586" s="46">
        <v>1.734</v>
      </c>
      <c r="D1586" s="3">
        <v>95.39</v>
      </c>
      <c r="E1586" s="3">
        <v>105.4</v>
      </c>
      <c r="F1586" s="3">
        <v>30.47</v>
      </c>
      <c r="G1586" s="30">
        <v>529.70000000000005</v>
      </c>
      <c r="H1586" s="3">
        <v>2.82</v>
      </c>
      <c r="I1586" s="13">
        <f t="shared" si="25"/>
        <v>3.4591401378404991</v>
      </c>
    </row>
    <row r="1587" spans="3:9">
      <c r="C1587" s="46">
        <v>1.7390000000000001</v>
      </c>
      <c r="D1587" s="3">
        <v>90.62</v>
      </c>
      <c r="E1587" s="3">
        <v>106</v>
      </c>
      <c r="F1587" s="3">
        <v>30.27</v>
      </c>
      <c r="G1587" s="30">
        <v>523</v>
      </c>
      <c r="H1587" s="3">
        <v>3.0920000000000001</v>
      </c>
      <c r="I1587" s="13">
        <f t="shared" si="25"/>
        <v>3.5018169805087545</v>
      </c>
    </row>
    <row r="1588" spans="3:9">
      <c r="C1588" s="46">
        <v>1.7270000000000001</v>
      </c>
      <c r="D1588" s="3">
        <v>92.87</v>
      </c>
      <c r="E1588" s="3">
        <v>105.6</v>
      </c>
      <c r="F1588" s="3">
        <v>30.59</v>
      </c>
      <c r="G1588" s="30">
        <v>521.4</v>
      </c>
      <c r="H1588" s="3">
        <v>2.7650000000000001</v>
      </c>
      <c r="I1588" s="13">
        <f t="shared" si="25"/>
        <v>3.4521085322000653</v>
      </c>
    </row>
    <row r="1589" spans="3:9">
      <c r="C1589" s="46">
        <v>1.732</v>
      </c>
      <c r="D1589" s="3">
        <v>90.95</v>
      </c>
      <c r="E1589" s="3">
        <v>105.3</v>
      </c>
      <c r="F1589" s="3">
        <v>30.65</v>
      </c>
      <c r="G1589" s="30">
        <v>515.9</v>
      </c>
      <c r="H1589" s="3">
        <v>3.0510000000000002</v>
      </c>
      <c r="I1589" s="13">
        <f t="shared" si="25"/>
        <v>3.435562805872757</v>
      </c>
    </row>
    <row r="1590" spans="3:9">
      <c r="C1590" s="46">
        <v>1.718</v>
      </c>
      <c r="D1590" s="3">
        <v>94.37</v>
      </c>
      <c r="E1590" s="3">
        <v>105.8</v>
      </c>
      <c r="F1590" s="3">
        <v>30.82</v>
      </c>
      <c r="G1590" s="30">
        <v>523.1</v>
      </c>
      <c r="H1590" s="3">
        <v>3.22</v>
      </c>
      <c r="I1590" s="13">
        <f t="shared" si="25"/>
        <v>3.4328358208955221</v>
      </c>
    </row>
    <row r="1591" spans="3:9">
      <c r="C1591" s="46">
        <v>1.6890000000000001</v>
      </c>
      <c r="D1591" s="3">
        <v>99.38</v>
      </c>
      <c r="E1591" s="3">
        <v>105.4</v>
      </c>
      <c r="F1591" s="3">
        <v>30.26</v>
      </c>
      <c r="G1591" s="30">
        <v>520</v>
      </c>
      <c r="H1591" s="3">
        <v>2.8380000000000001</v>
      </c>
      <c r="I1591" s="13">
        <f t="shared" si="25"/>
        <v>3.4831460674157304</v>
      </c>
    </row>
    <row r="1592" spans="3:9">
      <c r="C1592" s="46">
        <v>1.716</v>
      </c>
      <c r="D1592" s="3">
        <v>104.5</v>
      </c>
      <c r="E1592" s="3">
        <v>105.2</v>
      </c>
      <c r="F1592" s="3">
        <v>30.14</v>
      </c>
      <c r="G1592" s="30">
        <v>522.6</v>
      </c>
      <c r="H1592" s="3">
        <v>3.1280000000000001</v>
      </c>
      <c r="I1592" s="13">
        <f t="shared" si="25"/>
        <v>3.4903782349037824</v>
      </c>
    </row>
    <row r="1593" spans="3:9">
      <c r="C1593" s="46">
        <v>1.7150000000000001</v>
      </c>
      <c r="D1593" s="3">
        <v>99.81</v>
      </c>
      <c r="E1593" s="3">
        <v>105.1</v>
      </c>
      <c r="F1593" s="3">
        <v>30.2</v>
      </c>
      <c r="G1593" s="30">
        <v>524.5</v>
      </c>
      <c r="H1593" s="3">
        <v>2.9159999999999999</v>
      </c>
      <c r="I1593" s="13">
        <f t="shared" si="25"/>
        <v>3.4801324503311255</v>
      </c>
    </row>
    <row r="1594" spans="3:9">
      <c r="C1594" s="46">
        <v>1.72</v>
      </c>
      <c r="D1594" s="3">
        <v>98.99</v>
      </c>
      <c r="E1594" s="3">
        <v>105.3</v>
      </c>
      <c r="F1594" s="3">
        <v>30.26</v>
      </c>
      <c r="G1594" s="30">
        <v>530</v>
      </c>
      <c r="H1594" s="3">
        <v>2.7629999999999999</v>
      </c>
      <c r="I1594" s="13">
        <f t="shared" si="25"/>
        <v>3.4798413747521479</v>
      </c>
    </row>
    <row r="1595" spans="3:9">
      <c r="C1595" s="46">
        <v>1.73</v>
      </c>
      <c r="D1595" s="3">
        <v>125.3</v>
      </c>
      <c r="E1595" s="3">
        <v>104.9</v>
      </c>
      <c r="F1595" s="3">
        <v>30.45</v>
      </c>
      <c r="G1595" s="30">
        <v>530.1</v>
      </c>
      <c r="H1595" s="3">
        <v>2.8439999999999999</v>
      </c>
      <c r="I1595" s="13">
        <f t="shared" si="25"/>
        <v>3.4449917898193765</v>
      </c>
    </row>
    <row r="1596" spans="3:9">
      <c r="C1596" s="46">
        <v>1.7430000000000001</v>
      </c>
      <c r="D1596" s="3">
        <v>99.81</v>
      </c>
      <c r="E1596" s="3">
        <v>105.4</v>
      </c>
      <c r="F1596" s="3">
        <v>30.65</v>
      </c>
      <c r="G1596" s="30">
        <v>528.79999999999995</v>
      </c>
      <c r="H1596" s="3">
        <v>2.7519999999999998</v>
      </c>
      <c r="I1596" s="13">
        <f t="shared" si="25"/>
        <v>3.4388254486133771</v>
      </c>
    </row>
    <row r="1597" spans="3:9">
      <c r="C1597" s="46">
        <v>1.7150000000000001</v>
      </c>
      <c r="D1597" s="3">
        <v>121.5</v>
      </c>
      <c r="E1597" s="3">
        <v>105.5</v>
      </c>
      <c r="F1597" s="3">
        <v>30.54</v>
      </c>
      <c r="G1597" s="30">
        <v>531.1</v>
      </c>
      <c r="H1597" s="3">
        <v>3.0219999999999998</v>
      </c>
      <c r="I1597" s="13">
        <f t="shared" si="25"/>
        <v>3.4544859201047808</v>
      </c>
    </row>
    <row r="1598" spans="3:9">
      <c r="C1598" s="46">
        <v>1.734</v>
      </c>
      <c r="D1598" s="3">
        <v>96.88</v>
      </c>
      <c r="E1598" s="3">
        <v>105.6</v>
      </c>
      <c r="F1598" s="3">
        <v>30.34</v>
      </c>
      <c r="G1598" s="30">
        <v>525.9</v>
      </c>
      <c r="H1598" s="3">
        <v>2.778</v>
      </c>
      <c r="I1598" s="13">
        <f t="shared" si="25"/>
        <v>3.4805537244561635</v>
      </c>
    </row>
    <row r="1599" spans="3:9">
      <c r="C1599" s="46">
        <v>1.7070000000000001</v>
      </c>
      <c r="D1599" s="3">
        <v>107.2</v>
      </c>
      <c r="E1599" s="3">
        <v>106.1</v>
      </c>
      <c r="F1599" s="3">
        <v>30.43</v>
      </c>
      <c r="G1599" s="30">
        <v>522</v>
      </c>
      <c r="H1599" s="3">
        <v>2.7130000000000001</v>
      </c>
      <c r="I1599" s="13">
        <f t="shared" si="25"/>
        <v>3.4866907656917516</v>
      </c>
    </row>
    <row r="1600" spans="3:9">
      <c r="C1600" s="46">
        <v>1.663</v>
      </c>
      <c r="D1600" s="3">
        <v>89.78</v>
      </c>
      <c r="E1600" s="3">
        <v>105.3</v>
      </c>
      <c r="F1600" s="3">
        <v>30.5</v>
      </c>
      <c r="G1600" s="30">
        <v>536.4</v>
      </c>
      <c r="H1600" s="3">
        <v>2.6589999999999998</v>
      </c>
      <c r="I1600" s="13">
        <f t="shared" si="25"/>
        <v>3.4524590163934423</v>
      </c>
    </row>
    <row r="1601" spans="2:36">
      <c r="C1601" s="46">
        <v>1.637</v>
      </c>
      <c r="D1601" s="3">
        <v>89.14</v>
      </c>
      <c r="E1601" s="3">
        <v>105.2</v>
      </c>
      <c r="F1601" s="3">
        <v>30.72</v>
      </c>
      <c r="G1601" s="30">
        <v>537.29999999999995</v>
      </c>
      <c r="H1601" s="3">
        <v>2.7490000000000001</v>
      </c>
      <c r="I1601" s="13">
        <f t="shared" si="25"/>
        <v>3.424479166666667</v>
      </c>
    </row>
    <row r="1602" spans="2:36" s="35" customFormat="1">
      <c r="B1602" s="16">
        <v>81</v>
      </c>
      <c r="C1602" s="47">
        <v>2.0179999999999998</v>
      </c>
      <c r="D1602" s="16">
        <v>126.4</v>
      </c>
      <c r="E1602" s="16">
        <v>110.2</v>
      </c>
      <c r="F1602" s="16">
        <v>23.86</v>
      </c>
      <c r="G1602" s="16">
        <v>478.2</v>
      </c>
      <c r="H1602" s="16">
        <v>1.5049999999999999</v>
      </c>
      <c r="I1602" s="13">
        <f t="shared" si="25"/>
        <v>4.6186085498742671</v>
      </c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</row>
    <row r="1603" spans="2:36">
      <c r="C1603" s="46">
        <v>1.9670000000000001</v>
      </c>
      <c r="D1603" s="3">
        <v>110.4</v>
      </c>
      <c r="E1603" s="3">
        <v>109.2</v>
      </c>
      <c r="F1603" s="3">
        <v>24.01</v>
      </c>
      <c r="G1603" s="3">
        <v>471.5</v>
      </c>
      <c r="H1603" s="3">
        <v>1.4550000000000001</v>
      </c>
      <c r="I1603" s="13">
        <f t="shared" si="25"/>
        <v>4.5481049562682214</v>
      </c>
    </row>
    <row r="1604" spans="2:36">
      <c r="C1604" s="46">
        <v>1.9970000000000001</v>
      </c>
      <c r="D1604" s="3">
        <v>129.4</v>
      </c>
      <c r="E1604" s="3">
        <v>109.7</v>
      </c>
      <c r="F1604" s="3">
        <v>24.23</v>
      </c>
      <c r="G1604" s="3">
        <v>477.6</v>
      </c>
      <c r="H1604" s="3">
        <v>1.446</v>
      </c>
      <c r="I1604" s="13">
        <f t="shared" si="25"/>
        <v>4.5274453157243091</v>
      </c>
    </row>
    <row r="1605" spans="2:36">
      <c r="C1605" s="46">
        <v>1.9690000000000001</v>
      </c>
      <c r="D1605" s="3">
        <v>120.7</v>
      </c>
      <c r="E1605" s="3">
        <v>110.3</v>
      </c>
      <c r="F1605" s="3">
        <v>23.97</v>
      </c>
      <c r="G1605" s="3">
        <v>471</v>
      </c>
      <c r="H1605" s="3">
        <v>1.4</v>
      </c>
      <c r="I1605" s="13">
        <f t="shared" si="25"/>
        <v>4.6015853149770551</v>
      </c>
    </row>
    <row r="1606" spans="2:36">
      <c r="C1606" s="46">
        <v>2.0129999999999999</v>
      </c>
      <c r="D1606" s="3">
        <v>129.80000000000001</v>
      </c>
      <c r="E1606" s="3">
        <v>109.9</v>
      </c>
      <c r="F1606" s="3">
        <v>24.07</v>
      </c>
      <c r="G1606" s="3">
        <v>472</v>
      </c>
      <c r="H1606" s="3">
        <v>1.5449999999999999</v>
      </c>
      <c r="I1606" s="13">
        <f t="shared" si="25"/>
        <v>4.5658496053178235</v>
      </c>
    </row>
    <row r="1607" spans="2:36">
      <c r="C1607" s="46">
        <v>2.0070000000000001</v>
      </c>
      <c r="D1607" s="3">
        <v>123.8</v>
      </c>
      <c r="E1607" s="3">
        <v>110</v>
      </c>
      <c r="F1607" s="3">
        <v>24.25</v>
      </c>
      <c r="G1607" s="3">
        <v>469.9</v>
      </c>
      <c r="H1607" s="3">
        <v>1.41</v>
      </c>
      <c r="I1607" s="13">
        <f t="shared" si="25"/>
        <v>4.536082474226804</v>
      </c>
    </row>
    <row r="1608" spans="2:36">
      <c r="C1608" s="46">
        <v>2.028</v>
      </c>
      <c r="D1608" s="3">
        <v>139</v>
      </c>
      <c r="E1608" s="3">
        <v>110.6</v>
      </c>
      <c r="F1608" s="3">
        <v>24.23</v>
      </c>
      <c r="G1608" s="3">
        <v>474.1</v>
      </c>
      <c r="H1608" s="3">
        <v>1.732</v>
      </c>
      <c r="I1608" s="13">
        <f t="shared" si="25"/>
        <v>4.5645893520429217</v>
      </c>
    </row>
    <row r="1609" spans="2:36">
      <c r="C1609" s="46">
        <v>2.0299999999999998</v>
      </c>
      <c r="D1609" s="3">
        <v>119.1</v>
      </c>
      <c r="E1609" s="3">
        <v>110.5</v>
      </c>
      <c r="F1609" s="3">
        <v>24.17</v>
      </c>
      <c r="G1609" s="3">
        <v>471.3</v>
      </c>
      <c r="H1609" s="3">
        <v>1.867</v>
      </c>
      <c r="I1609" s="13">
        <f t="shared" si="25"/>
        <v>4.5717832023169214</v>
      </c>
    </row>
    <row r="1610" spans="2:36">
      <c r="C1610" s="46">
        <v>1.9339999999999999</v>
      </c>
      <c r="D1610" s="3">
        <v>123.9</v>
      </c>
      <c r="E1610" s="3">
        <v>109.4</v>
      </c>
      <c r="F1610" s="3">
        <v>24.54</v>
      </c>
      <c r="G1610" s="3">
        <v>469.4</v>
      </c>
      <c r="H1610" s="3">
        <v>1.7889999999999999</v>
      </c>
      <c r="I1610" s="13">
        <f t="shared" si="25"/>
        <v>4.4580277098614509</v>
      </c>
    </row>
    <row r="1611" spans="2:36">
      <c r="C1611" s="46">
        <v>1.899</v>
      </c>
      <c r="D1611" s="3">
        <v>117.9</v>
      </c>
      <c r="E1611" s="3">
        <v>109.8</v>
      </c>
      <c r="F1611" s="3">
        <v>24.5</v>
      </c>
      <c r="G1611" s="3">
        <v>465.1</v>
      </c>
      <c r="H1611" s="3">
        <v>1.4</v>
      </c>
      <c r="I1611" s="13">
        <f t="shared" si="25"/>
        <v>4.481632653061224</v>
      </c>
    </row>
    <row r="1612" spans="2:36">
      <c r="C1612" s="46">
        <v>1.9470000000000001</v>
      </c>
      <c r="D1612" s="3">
        <v>124</v>
      </c>
      <c r="E1612" s="3">
        <v>110.2</v>
      </c>
      <c r="F1612" s="3">
        <v>24.09</v>
      </c>
      <c r="G1612" s="3">
        <v>466.9</v>
      </c>
      <c r="H1612" s="3">
        <v>1.3380000000000001</v>
      </c>
      <c r="I1612" s="13">
        <f t="shared" si="25"/>
        <v>4.5745122457451224</v>
      </c>
    </row>
    <row r="1613" spans="2:36">
      <c r="C1613" s="46">
        <v>1.9750000000000001</v>
      </c>
      <c r="D1613" s="3">
        <v>136.6</v>
      </c>
      <c r="E1613" s="3">
        <v>110.7</v>
      </c>
      <c r="F1613" s="3">
        <v>24.24</v>
      </c>
      <c r="G1613" s="3">
        <v>470.2</v>
      </c>
      <c r="H1613" s="3">
        <v>1.4219999999999999</v>
      </c>
      <c r="I1613" s="13">
        <f t="shared" si="25"/>
        <v>4.5668316831683171</v>
      </c>
    </row>
    <row r="1614" spans="2:36">
      <c r="C1614" s="46">
        <v>2.0179999999999998</v>
      </c>
      <c r="D1614" s="3">
        <v>123.2</v>
      </c>
      <c r="E1614" s="3">
        <v>110.3</v>
      </c>
      <c r="F1614" s="3">
        <v>23.96</v>
      </c>
      <c r="G1614" s="3">
        <v>472.3</v>
      </c>
      <c r="H1614" s="3">
        <v>1.6</v>
      </c>
      <c r="I1614" s="13">
        <f t="shared" si="25"/>
        <v>4.6035058430717859</v>
      </c>
    </row>
    <row r="1615" spans="2:36">
      <c r="C1615" s="46">
        <v>2.0289999999999999</v>
      </c>
      <c r="D1615" s="3">
        <v>114.5</v>
      </c>
      <c r="E1615" s="3">
        <v>110.9</v>
      </c>
      <c r="F1615" s="3">
        <v>24.43</v>
      </c>
      <c r="G1615" s="3">
        <v>471.2</v>
      </c>
      <c r="H1615" s="3">
        <v>1.833</v>
      </c>
      <c r="I1615" s="13">
        <f t="shared" si="25"/>
        <v>4.5395006139991816</v>
      </c>
    </row>
    <row r="1616" spans="2:36">
      <c r="C1616" s="46">
        <v>2.0129999999999999</v>
      </c>
      <c r="D1616" s="3">
        <v>114.9</v>
      </c>
      <c r="E1616" s="3">
        <v>110.7</v>
      </c>
      <c r="F1616" s="3">
        <v>23.75</v>
      </c>
      <c r="G1616" s="3">
        <v>475.5</v>
      </c>
      <c r="H1616" s="3">
        <v>1.2949999999999999</v>
      </c>
      <c r="I1616" s="13">
        <f t="shared" si="25"/>
        <v>4.6610526315789471</v>
      </c>
    </row>
    <row r="1617" spans="2:36">
      <c r="C1617" s="46">
        <v>2.012</v>
      </c>
      <c r="D1617" s="3">
        <v>117.2</v>
      </c>
      <c r="E1617" s="3">
        <v>110.6</v>
      </c>
      <c r="F1617" s="3">
        <v>23.88</v>
      </c>
      <c r="G1617" s="3">
        <v>474.5</v>
      </c>
      <c r="H1617" s="3">
        <v>1.921</v>
      </c>
      <c r="I1617" s="13">
        <f t="shared" si="25"/>
        <v>4.6314907872696818</v>
      </c>
    </row>
    <row r="1618" spans="2:36">
      <c r="C1618" s="46">
        <v>1.9339999999999999</v>
      </c>
      <c r="D1618" s="3">
        <v>157.80000000000001</v>
      </c>
      <c r="E1618" s="3">
        <v>110.8</v>
      </c>
      <c r="F1618" s="3">
        <v>24.14</v>
      </c>
      <c r="G1618" s="3">
        <v>471.3</v>
      </c>
      <c r="H1618" s="3">
        <v>1.764</v>
      </c>
      <c r="I1618" s="13">
        <f t="shared" si="25"/>
        <v>4.5898922949461474</v>
      </c>
    </row>
    <row r="1619" spans="2:36">
      <c r="C1619" s="46">
        <v>2.028</v>
      </c>
      <c r="D1619" s="3">
        <v>173.5</v>
      </c>
      <c r="E1619" s="3">
        <v>109.5</v>
      </c>
      <c r="F1619" s="3">
        <v>24.17</v>
      </c>
      <c r="G1619" s="3">
        <v>474.1</v>
      </c>
      <c r="H1619" s="3">
        <v>1.3360000000000001</v>
      </c>
      <c r="I1619" s="13">
        <f t="shared" si="25"/>
        <v>4.5304095986760444</v>
      </c>
    </row>
    <row r="1620" spans="2:36">
      <c r="C1620" s="46">
        <v>1.9770000000000001</v>
      </c>
      <c r="D1620" s="3">
        <v>155.30000000000001</v>
      </c>
      <c r="E1620" s="3">
        <v>109.5</v>
      </c>
      <c r="F1620" s="3">
        <v>24.26</v>
      </c>
      <c r="G1620" s="3">
        <v>475.8</v>
      </c>
      <c r="H1620" s="3">
        <v>1.401</v>
      </c>
      <c r="I1620" s="13">
        <f t="shared" si="25"/>
        <v>4.5136026380873862</v>
      </c>
    </row>
    <row r="1621" spans="2:36">
      <c r="C1621" s="46">
        <v>2</v>
      </c>
      <c r="D1621" s="3">
        <v>166.9</v>
      </c>
      <c r="E1621" s="3">
        <v>109.2</v>
      </c>
      <c r="F1621" s="3">
        <v>24.22</v>
      </c>
      <c r="G1621" s="3">
        <v>473.3</v>
      </c>
      <c r="H1621" s="3">
        <v>1.381</v>
      </c>
      <c r="I1621" s="13">
        <f t="shared" si="25"/>
        <v>4.5086705202312141</v>
      </c>
    </row>
    <row r="1622" spans="2:36" s="35" customFormat="1">
      <c r="B1622" s="16">
        <v>82</v>
      </c>
      <c r="C1622" s="47">
        <v>2.0699999999999998</v>
      </c>
      <c r="D1622" s="16">
        <v>90.44</v>
      </c>
      <c r="E1622" s="16">
        <v>121.9</v>
      </c>
      <c r="F1622" s="16">
        <v>26.97</v>
      </c>
      <c r="G1622" s="16">
        <v>515.4</v>
      </c>
      <c r="H1622" s="16">
        <v>2.0609999999999999</v>
      </c>
      <c r="I1622" s="13">
        <f t="shared" ref="I1622:I1685" si="26">E1622/F1622</f>
        <v>4.5198368557656661</v>
      </c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</row>
    <row r="1623" spans="2:36">
      <c r="C1623" s="46">
        <v>2.0710000000000002</v>
      </c>
      <c r="D1623" s="3">
        <v>92</v>
      </c>
      <c r="E1623" s="3">
        <v>121.7</v>
      </c>
      <c r="F1623" s="3">
        <v>26.52</v>
      </c>
      <c r="G1623" s="3">
        <v>516.29999999999995</v>
      </c>
      <c r="H1623" s="3">
        <v>1.982</v>
      </c>
      <c r="I1623" s="13">
        <f t="shared" si="26"/>
        <v>4.588989441930619</v>
      </c>
    </row>
    <row r="1624" spans="2:36">
      <c r="C1624" s="46">
        <v>2.0640000000000001</v>
      </c>
      <c r="D1624" s="3">
        <v>82.65</v>
      </c>
      <c r="E1624" s="3">
        <v>121.5</v>
      </c>
      <c r="F1624" s="3">
        <v>26.25</v>
      </c>
      <c r="G1624" s="3">
        <v>517.4</v>
      </c>
      <c r="H1624" s="3">
        <v>2.069</v>
      </c>
      <c r="I1624" s="13">
        <f t="shared" si="26"/>
        <v>4.628571428571429</v>
      </c>
    </row>
    <row r="1625" spans="2:36">
      <c r="C1625" s="46">
        <v>2.0609999999999999</v>
      </c>
      <c r="D1625" s="3">
        <v>85.45</v>
      </c>
      <c r="E1625" s="3">
        <v>121.4</v>
      </c>
      <c r="F1625" s="3">
        <v>26.11</v>
      </c>
      <c r="G1625" s="3">
        <v>515.5</v>
      </c>
      <c r="H1625" s="3">
        <v>2.2850000000000001</v>
      </c>
      <c r="I1625" s="13">
        <f t="shared" si="26"/>
        <v>4.6495595557257756</v>
      </c>
    </row>
    <row r="1626" spans="2:36">
      <c r="C1626" s="46">
        <v>2.0470000000000002</v>
      </c>
      <c r="D1626" s="3">
        <v>134.19999999999999</v>
      </c>
      <c r="E1626" s="3">
        <v>121.7</v>
      </c>
      <c r="F1626" s="3">
        <v>26.81</v>
      </c>
      <c r="G1626" s="3">
        <v>505.7</v>
      </c>
      <c r="H1626" s="3">
        <v>2.2629999999999999</v>
      </c>
      <c r="I1626" s="13">
        <f t="shared" si="26"/>
        <v>4.5393509884371506</v>
      </c>
    </row>
    <row r="1627" spans="2:36">
      <c r="C1627" s="46">
        <v>1.9530000000000001</v>
      </c>
      <c r="D1627" s="3">
        <v>112</v>
      </c>
      <c r="E1627" s="3">
        <v>122</v>
      </c>
      <c r="F1627" s="3">
        <v>26.26</v>
      </c>
      <c r="G1627" s="3">
        <v>505.1</v>
      </c>
      <c r="H1627" s="3">
        <v>2.0779999999999998</v>
      </c>
      <c r="I1627" s="13">
        <f t="shared" si="26"/>
        <v>4.6458492003046459</v>
      </c>
    </row>
    <row r="1628" spans="2:36">
      <c r="C1628" s="46">
        <v>2.06</v>
      </c>
      <c r="D1628" s="3">
        <v>103.6</v>
      </c>
      <c r="E1628" s="3">
        <v>121.8</v>
      </c>
      <c r="F1628" s="3">
        <v>26.24</v>
      </c>
      <c r="G1628" s="3">
        <v>504.5</v>
      </c>
      <c r="H1628" s="3">
        <v>2.0659999999999998</v>
      </c>
      <c r="I1628" s="13">
        <f t="shared" si="26"/>
        <v>4.6417682926829267</v>
      </c>
    </row>
    <row r="1629" spans="2:36">
      <c r="C1629" s="46">
        <v>2.0720000000000001</v>
      </c>
      <c r="D1629" s="3">
        <v>82.65</v>
      </c>
      <c r="E1629" s="3">
        <v>121.4</v>
      </c>
      <c r="F1629" s="3">
        <v>26.79</v>
      </c>
      <c r="G1629" s="3">
        <v>509.1</v>
      </c>
      <c r="H1629" s="3">
        <v>2.0369999999999999</v>
      </c>
      <c r="I1629" s="13">
        <f t="shared" si="26"/>
        <v>4.5315416200074656</v>
      </c>
    </row>
    <row r="1630" spans="2:36">
      <c r="C1630" s="46">
        <v>2.0699999999999998</v>
      </c>
      <c r="D1630" s="3">
        <v>75.650000000000006</v>
      </c>
      <c r="E1630" s="3">
        <v>121.3</v>
      </c>
      <c r="F1630" s="3">
        <v>26.38</v>
      </c>
      <c r="G1630" s="3">
        <v>510.9</v>
      </c>
      <c r="H1630" s="3">
        <v>2.101</v>
      </c>
      <c r="I1630" s="13">
        <f t="shared" si="26"/>
        <v>4.5981804397270656</v>
      </c>
    </row>
    <row r="1631" spans="2:36">
      <c r="C1631" s="46">
        <v>2.056</v>
      </c>
      <c r="D1631" s="3">
        <v>98.39</v>
      </c>
      <c r="E1631" s="3">
        <v>121.5</v>
      </c>
      <c r="F1631" s="3">
        <v>26.93</v>
      </c>
      <c r="G1631" s="3">
        <v>512.29999999999995</v>
      </c>
      <c r="H1631" s="3">
        <v>2.141</v>
      </c>
      <c r="I1631" s="13">
        <f t="shared" si="26"/>
        <v>4.5116969922020056</v>
      </c>
    </row>
    <row r="1632" spans="2:36">
      <c r="C1632" s="46">
        <v>2.0030000000000001</v>
      </c>
      <c r="D1632" s="3">
        <v>117</v>
      </c>
      <c r="E1632" s="3">
        <v>122.3</v>
      </c>
      <c r="F1632" s="3">
        <v>26.24</v>
      </c>
      <c r="G1632" s="3">
        <v>513.9</v>
      </c>
      <c r="H1632" s="3">
        <v>1.986</v>
      </c>
      <c r="I1632" s="13">
        <f t="shared" si="26"/>
        <v>4.6608231707317076</v>
      </c>
    </row>
    <row r="1633" spans="2:36">
      <c r="C1633" s="46">
        <v>1.9650000000000001</v>
      </c>
      <c r="D1633" s="3">
        <v>95.71</v>
      </c>
      <c r="E1633" s="3">
        <v>122</v>
      </c>
      <c r="F1633" s="3">
        <v>26.38</v>
      </c>
      <c r="G1633" s="3">
        <v>513.1</v>
      </c>
      <c r="H1633" s="3">
        <v>1.875</v>
      </c>
      <c r="I1633" s="13">
        <f t="shared" si="26"/>
        <v>4.6247156937073539</v>
      </c>
    </row>
    <row r="1634" spans="2:36">
      <c r="C1634" s="46">
        <v>1.927</v>
      </c>
      <c r="D1634" s="3">
        <v>92</v>
      </c>
      <c r="E1634" s="3">
        <v>121.7</v>
      </c>
      <c r="F1634" s="3">
        <v>26.5</v>
      </c>
      <c r="G1634" s="3">
        <v>524.6</v>
      </c>
      <c r="H1634" s="3">
        <v>1.8220000000000001</v>
      </c>
      <c r="I1634" s="13">
        <f t="shared" si="26"/>
        <v>4.5924528301886793</v>
      </c>
    </row>
    <row r="1635" spans="2:36">
      <c r="C1635" s="46">
        <v>2.0499999999999998</v>
      </c>
      <c r="D1635" s="3">
        <v>104.7</v>
      </c>
      <c r="E1635" s="3">
        <v>121.8</v>
      </c>
      <c r="F1635" s="3">
        <v>26.52</v>
      </c>
      <c r="G1635" s="3">
        <v>518.4</v>
      </c>
      <c r="H1635" s="3">
        <v>1.915</v>
      </c>
      <c r="I1635" s="13">
        <f t="shared" si="26"/>
        <v>4.5927601809954748</v>
      </c>
    </row>
    <row r="1636" spans="2:36">
      <c r="C1636" s="46">
        <v>2.0640000000000001</v>
      </c>
      <c r="D1636" s="3">
        <v>85.46</v>
      </c>
      <c r="E1636" s="3">
        <v>121.9</v>
      </c>
      <c r="F1636" s="3">
        <v>26.11</v>
      </c>
      <c r="G1636" s="3">
        <v>523.9</v>
      </c>
      <c r="H1636" s="3">
        <v>2.0270000000000001</v>
      </c>
      <c r="I1636" s="13">
        <f t="shared" si="26"/>
        <v>4.6687093067790126</v>
      </c>
    </row>
    <row r="1637" spans="2:36">
      <c r="C1637" s="46">
        <v>2.0619999999999998</v>
      </c>
      <c r="D1637" s="3">
        <v>106.2</v>
      </c>
      <c r="E1637" s="3">
        <v>122</v>
      </c>
      <c r="F1637" s="3">
        <v>26.39</v>
      </c>
      <c r="G1637" s="3">
        <v>512.4</v>
      </c>
      <c r="H1637" s="3">
        <v>2.375</v>
      </c>
      <c r="I1637" s="13">
        <f t="shared" si="26"/>
        <v>4.6229632436528991</v>
      </c>
    </row>
    <row r="1638" spans="2:36">
      <c r="C1638" s="46">
        <v>2.02</v>
      </c>
      <c r="D1638" s="3">
        <v>103.6</v>
      </c>
      <c r="E1638" s="3">
        <v>121.8</v>
      </c>
      <c r="F1638" s="3">
        <v>25.84</v>
      </c>
      <c r="G1638" s="3">
        <v>507.6</v>
      </c>
      <c r="H1638" s="3">
        <v>2.38</v>
      </c>
      <c r="I1638" s="13">
        <f t="shared" si="26"/>
        <v>4.7136222910216716</v>
      </c>
    </row>
    <row r="1639" spans="2:36">
      <c r="C1639" s="46">
        <v>1.9530000000000001</v>
      </c>
      <c r="D1639" s="3">
        <v>106.2</v>
      </c>
      <c r="E1639" s="3">
        <v>122.2</v>
      </c>
      <c r="F1639" s="3">
        <v>26.66</v>
      </c>
      <c r="G1639" s="3">
        <v>508.1</v>
      </c>
      <c r="H1639" s="3">
        <v>2.069</v>
      </c>
      <c r="I1639" s="13">
        <f t="shared" si="26"/>
        <v>4.5836459114778698</v>
      </c>
    </row>
    <row r="1640" spans="2:36">
      <c r="C1640" s="46">
        <v>2.0699999999999998</v>
      </c>
      <c r="D1640" s="3">
        <v>75.650000000000006</v>
      </c>
      <c r="E1640" s="3">
        <v>121.5</v>
      </c>
      <c r="F1640" s="3">
        <v>26.8</v>
      </c>
      <c r="G1640" s="3">
        <v>507.6</v>
      </c>
      <c r="H1640" s="3">
        <v>2.0819999999999999</v>
      </c>
      <c r="I1640" s="13">
        <f t="shared" si="26"/>
        <v>4.5335820895522385</v>
      </c>
    </row>
    <row r="1641" spans="2:36">
      <c r="C1641" s="46">
        <v>2.0680000000000001</v>
      </c>
      <c r="D1641" s="3">
        <v>139</v>
      </c>
      <c r="E1641" s="3">
        <v>121.7</v>
      </c>
      <c r="F1641" s="3">
        <v>26.53</v>
      </c>
      <c r="G1641" s="3">
        <v>513</v>
      </c>
      <c r="H1641" s="3">
        <v>1.982</v>
      </c>
      <c r="I1641" s="13">
        <f t="shared" si="26"/>
        <v>4.5872597059932154</v>
      </c>
    </row>
    <row r="1642" spans="2:36" s="35" customFormat="1">
      <c r="B1642" s="16">
        <v>83</v>
      </c>
      <c r="C1642" s="47">
        <v>1.972</v>
      </c>
      <c r="D1642" s="16">
        <v>135</v>
      </c>
      <c r="E1642" s="16">
        <v>112.5</v>
      </c>
      <c r="F1642" s="16">
        <v>29.96</v>
      </c>
      <c r="G1642" s="16">
        <v>497.1</v>
      </c>
      <c r="H1642" s="16">
        <v>2.044</v>
      </c>
      <c r="I1642" s="13">
        <f t="shared" si="26"/>
        <v>3.7550066755674232</v>
      </c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</row>
    <row r="1643" spans="2:36">
      <c r="C1643" s="46">
        <v>1.976</v>
      </c>
      <c r="D1643" s="3">
        <v>102.4</v>
      </c>
      <c r="E1643" s="3">
        <v>111.5</v>
      </c>
      <c r="F1643" s="3">
        <v>30.45</v>
      </c>
      <c r="G1643" s="3">
        <v>497.2</v>
      </c>
      <c r="H1643" s="3">
        <v>2.2069999999999999</v>
      </c>
      <c r="I1643" s="13">
        <f t="shared" si="26"/>
        <v>3.6617405582922826</v>
      </c>
    </row>
    <row r="1644" spans="2:36">
      <c r="C1644" s="46">
        <v>1.978</v>
      </c>
      <c r="D1644" s="3">
        <v>90.5</v>
      </c>
      <c r="E1644" s="3">
        <v>111.3</v>
      </c>
      <c r="F1644" s="3">
        <v>29.86</v>
      </c>
      <c r="G1644" s="3">
        <v>495.1</v>
      </c>
      <c r="H1644" s="3">
        <v>2.1459999999999999</v>
      </c>
      <c r="I1644" s="13">
        <f t="shared" si="26"/>
        <v>3.7273945077026123</v>
      </c>
    </row>
    <row r="1645" spans="2:36">
      <c r="C1645" s="46">
        <v>1.9690000000000001</v>
      </c>
      <c r="D1645" s="3">
        <v>84.72</v>
      </c>
      <c r="E1645" s="3">
        <v>112.2</v>
      </c>
      <c r="F1645" s="3">
        <v>30.46</v>
      </c>
      <c r="G1645" s="3">
        <v>498.5</v>
      </c>
      <c r="H1645" s="3">
        <v>2.512</v>
      </c>
      <c r="I1645" s="13">
        <f t="shared" si="26"/>
        <v>3.6835193696651345</v>
      </c>
    </row>
    <row r="1646" spans="2:36">
      <c r="C1646" s="46">
        <v>1.9610000000000001</v>
      </c>
      <c r="D1646" s="3">
        <v>125</v>
      </c>
      <c r="E1646" s="3">
        <v>111.5</v>
      </c>
      <c r="F1646" s="3">
        <v>29.2</v>
      </c>
      <c r="G1646" s="3">
        <v>497.5</v>
      </c>
      <c r="H1646" s="3">
        <v>2.4079999999999999</v>
      </c>
      <c r="I1646" s="13">
        <f t="shared" si="26"/>
        <v>3.8184931506849318</v>
      </c>
    </row>
    <row r="1647" spans="2:36">
      <c r="C1647" s="46">
        <v>1.9590000000000001</v>
      </c>
      <c r="D1647" s="3">
        <v>117.7</v>
      </c>
      <c r="E1647" s="3">
        <v>112</v>
      </c>
      <c r="F1647" s="3">
        <v>30.26</v>
      </c>
      <c r="G1647" s="3">
        <v>497.2</v>
      </c>
      <c r="H1647" s="3">
        <v>2.38</v>
      </c>
      <c r="I1647" s="13">
        <f t="shared" si="26"/>
        <v>3.7012557832121611</v>
      </c>
    </row>
    <row r="1648" spans="2:36">
      <c r="C1648" s="46">
        <v>1.9770000000000001</v>
      </c>
      <c r="D1648" s="3">
        <v>105.8</v>
      </c>
      <c r="E1648" s="3">
        <v>111.5</v>
      </c>
      <c r="F1648" s="3">
        <v>28.6</v>
      </c>
      <c r="G1648" s="3">
        <v>497.1</v>
      </c>
      <c r="H1648" s="3">
        <v>2.4319999999999999</v>
      </c>
      <c r="I1648" s="13">
        <f t="shared" si="26"/>
        <v>3.8986013986013983</v>
      </c>
    </row>
    <row r="1649" spans="2:36">
      <c r="C1649" s="46">
        <v>1.984</v>
      </c>
      <c r="D1649" s="3">
        <v>101.3</v>
      </c>
      <c r="E1649" s="3">
        <v>111.3</v>
      </c>
      <c r="F1649" s="3">
        <v>29.11</v>
      </c>
      <c r="G1649" s="3">
        <v>502.1</v>
      </c>
      <c r="H1649" s="3">
        <v>2.706</v>
      </c>
      <c r="I1649" s="13">
        <f t="shared" si="26"/>
        <v>3.8234283751288216</v>
      </c>
    </row>
    <row r="1650" spans="2:36">
      <c r="C1650" s="46">
        <v>1.9810000000000001</v>
      </c>
      <c r="D1650" s="3">
        <v>107.2</v>
      </c>
      <c r="E1650" s="3">
        <v>112.2</v>
      </c>
      <c r="F1650" s="3">
        <v>29.32</v>
      </c>
      <c r="G1650" s="3">
        <v>498.3</v>
      </c>
      <c r="H1650" s="3">
        <v>2.8370000000000002</v>
      </c>
      <c r="I1650" s="13">
        <f t="shared" si="26"/>
        <v>3.8267394270122783</v>
      </c>
    </row>
    <row r="1651" spans="2:36">
      <c r="C1651" s="46">
        <v>1.9610000000000001</v>
      </c>
      <c r="D1651" s="3">
        <v>124.2</v>
      </c>
      <c r="E1651" s="3">
        <v>112.4</v>
      </c>
      <c r="F1651" s="3">
        <v>29.51</v>
      </c>
      <c r="G1651" s="3">
        <v>497.4</v>
      </c>
      <c r="H1651" s="3">
        <v>2.96</v>
      </c>
      <c r="I1651" s="13">
        <f t="shared" si="26"/>
        <v>3.8088783463232803</v>
      </c>
    </row>
    <row r="1652" spans="2:36">
      <c r="C1652" s="46">
        <v>1.931</v>
      </c>
      <c r="D1652" s="3">
        <v>95.87</v>
      </c>
      <c r="E1652" s="3">
        <v>112.2</v>
      </c>
      <c r="F1652" s="3">
        <v>29.1</v>
      </c>
      <c r="G1652" s="3">
        <v>502.8</v>
      </c>
      <c r="H1652" s="3">
        <v>2</v>
      </c>
      <c r="I1652" s="13">
        <f t="shared" si="26"/>
        <v>3.8556701030927836</v>
      </c>
    </row>
    <row r="1653" spans="2:36">
      <c r="C1653" s="46">
        <v>1.9670000000000001</v>
      </c>
      <c r="D1653" s="3">
        <v>113.8</v>
      </c>
      <c r="E1653" s="3">
        <v>111.5</v>
      </c>
      <c r="F1653" s="3">
        <v>29.23</v>
      </c>
      <c r="G1653" s="3">
        <v>506.4</v>
      </c>
      <c r="H1653" s="3">
        <v>1.9430000000000001</v>
      </c>
      <c r="I1653" s="13">
        <f t="shared" si="26"/>
        <v>3.8145740677386248</v>
      </c>
    </row>
    <row r="1654" spans="2:36">
      <c r="C1654" s="46">
        <v>1.972</v>
      </c>
      <c r="D1654" s="3">
        <v>101.5</v>
      </c>
      <c r="E1654" s="3">
        <v>112</v>
      </c>
      <c r="F1654" s="3">
        <v>29.48</v>
      </c>
      <c r="G1654" s="3">
        <v>500.5</v>
      </c>
      <c r="H1654" s="3">
        <v>1.802</v>
      </c>
      <c r="I1654" s="13">
        <f t="shared" si="26"/>
        <v>3.7991858887381276</v>
      </c>
    </row>
    <row r="1655" spans="2:36">
      <c r="C1655" s="46">
        <v>1.9730000000000001</v>
      </c>
      <c r="D1655" s="3">
        <v>108</v>
      </c>
      <c r="E1655" s="3">
        <v>111.3</v>
      </c>
      <c r="F1655" s="3">
        <v>29.51</v>
      </c>
      <c r="G1655" s="3">
        <v>497.8</v>
      </c>
      <c r="H1655" s="3">
        <v>1.958</v>
      </c>
      <c r="I1655" s="13">
        <f t="shared" si="26"/>
        <v>3.7716028464927138</v>
      </c>
    </row>
    <row r="1656" spans="2:36">
      <c r="C1656" s="46">
        <v>1.9810000000000001</v>
      </c>
      <c r="D1656" s="3">
        <v>107.2</v>
      </c>
      <c r="E1656" s="3">
        <v>110.5</v>
      </c>
      <c r="F1656" s="3">
        <v>29.35</v>
      </c>
      <c r="G1656" s="3">
        <v>496.9</v>
      </c>
      <c r="H1656" s="3">
        <v>2.2850000000000001</v>
      </c>
      <c r="I1656" s="13">
        <f t="shared" si="26"/>
        <v>3.7649063032367973</v>
      </c>
    </row>
    <row r="1657" spans="2:36">
      <c r="C1657" s="46">
        <v>1.98</v>
      </c>
      <c r="D1657" s="3">
        <v>102.4</v>
      </c>
      <c r="E1657" s="3">
        <v>112.4</v>
      </c>
      <c r="F1657" s="3">
        <v>29.32</v>
      </c>
      <c r="G1657" s="3">
        <v>494.1</v>
      </c>
      <c r="H1657" s="3">
        <v>2.4159999999999999</v>
      </c>
      <c r="I1657" s="13">
        <f t="shared" si="26"/>
        <v>3.8335607094133697</v>
      </c>
    </row>
    <row r="1658" spans="2:36">
      <c r="C1658" s="46">
        <v>1.9750000000000001</v>
      </c>
      <c r="D1658" s="3">
        <v>105.8</v>
      </c>
      <c r="E1658" s="3">
        <v>111.5</v>
      </c>
      <c r="F1658" s="3">
        <v>29.5</v>
      </c>
      <c r="G1658" s="3">
        <v>496.9</v>
      </c>
      <c r="H1658" s="3">
        <v>2.2970000000000002</v>
      </c>
      <c r="I1658" s="13">
        <f t="shared" si="26"/>
        <v>3.7796610169491527</v>
      </c>
    </row>
    <row r="1659" spans="2:36">
      <c r="C1659" s="46">
        <v>1.952</v>
      </c>
      <c r="D1659" s="3">
        <v>117</v>
      </c>
      <c r="E1659" s="3">
        <v>111.7</v>
      </c>
      <c r="F1659" s="3">
        <v>29.63</v>
      </c>
      <c r="G1659" s="3">
        <v>496.4</v>
      </c>
      <c r="H1659" s="3">
        <v>2.21</v>
      </c>
      <c r="I1659" s="13">
        <f t="shared" si="26"/>
        <v>3.7698278771515357</v>
      </c>
    </row>
    <row r="1660" spans="2:36">
      <c r="C1660" s="46">
        <v>1.948</v>
      </c>
      <c r="D1660" s="3">
        <v>122.7</v>
      </c>
      <c r="E1660" s="3">
        <v>112</v>
      </c>
      <c r="F1660" s="3">
        <v>29.89</v>
      </c>
      <c r="G1660" s="3">
        <v>499.4</v>
      </c>
      <c r="H1660" s="3">
        <v>2.113</v>
      </c>
      <c r="I1660" s="13">
        <f t="shared" si="26"/>
        <v>3.7470725995316156</v>
      </c>
    </row>
    <row r="1661" spans="2:36">
      <c r="C1661" s="46">
        <v>1.9570000000000001</v>
      </c>
      <c r="D1661" s="3">
        <v>95.19</v>
      </c>
      <c r="E1661" s="3">
        <v>111.6</v>
      </c>
      <c r="F1661" s="3">
        <v>29.36</v>
      </c>
      <c r="G1661" s="3">
        <v>502.9</v>
      </c>
      <c r="H1661" s="3">
        <v>2.3370000000000002</v>
      </c>
      <c r="I1661" s="13">
        <f t="shared" si="26"/>
        <v>3.8010899182561309</v>
      </c>
    </row>
    <row r="1662" spans="2:36" s="35" customFormat="1">
      <c r="B1662" s="16">
        <v>84</v>
      </c>
      <c r="C1662" s="47">
        <v>3.089</v>
      </c>
      <c r="D1662" s="16">
        <v>69.37</v>
      </c>
      <c r="E1662" s="16">
        <v>98.75</v>
      </c>
      <c r="F1662" s="16">
        <v>36.69</v>
      </c>
      <c r="G1662" s="29">
        <v>478.8</v>
      </c>
      <c r="H1662" s="16">
        <v>5.399</v>
      </c>
      <c r="I1662" s="13">
        <f t="shared" si="26"/>
        <v>2.6914690651403652</v>
      </c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</row>
    <row r="1663" spans="2:36">
      <c r="C1663" s="46">
        <v>3.0609999999999999</v>
      </c>
      <c r="D1663" s="3">
        <v>62.16</v>
      </c>
      <c r="E1663" s="3">
        <v>98.68</v>
      </c>
      <c r="F1663" s="3">
        <v>36.72</v>
      </c>
      <c r="G1663" s="21">
        <v>479.6</v>
      </c>
      <c r="H1663" s="3">
        <v>5.4930000000000003</v>
      </c>
      <c r="I1663" s="13">
        <f t="shared" si="26"/>
        <v>2.687363834422658</v>
      </c>
    </row>
    <row r="1664" spans="2:36">
      <c r="C1664" s="46">
        <v>3.1120000000000001</v>
      </c>
      <c r="D1664" s="3">
        <v>64.37</v>
      </c>
      <c r="E1664" s="3">
        <v>98.34</v>
      </c>
      <c r="F1664" s="3">
        <v>36.549999999999997</v>
      </c>
      <c r="G1664" s="21">
        <v>478.1</v>
      </c>
      <c r="H1664" s="3">
        <v>5.399</v>
      </c>
      <c r="I1664" s="13">
        <f t="shared" si="26"/>
        <v>2.6905608755129964</v>
      </c>
    </row>
    <row r="1665" spans="3:9">
      <c r="C1665" s="46">
        <v>3.16</v>
      </c>
      <c r="D1665" s="3">
        <v>64</v>
      </c>
      <c r="E1665" s="3">
        <v>99.01</v>
      </c>
      <c r="F1665" s="3">
        <v>36.369999999999997</v>
      </c>
      <c r="G1665" s="21">
        <v>485</v>
      </c>
      <c r="H1665" s="3">
        <v>5.226</v>
      </c>
      <c r="I1665" s="13">
        <f t="shared" si="26"/>
        <v>2.7222985977453948</v>
      </c>
    </row>
    <row r="1666" spans="3:9">
      <c r="C1666" s="46">
        <v>3.18</v>
      </c>
      <c r="D1666" s="3">
        <v>67.22</v>
      </c>
      <c r="E1666" s="3">
        <v>98.68</v>
      </c>
      <c r="F1666" s="3">
        <v>36.92</v>
      </c>
      <c r="G1666" s="21">
        <v>490.6</v>
      </c>
      <c r="H1666" s="3">
        <v>6.0739999999999998</v>
      </c>
      <c r="I1666" s="13">
        <f t="shared" si="26"/>
        <v>2.6728060671722642</v>
      </c>
    </row>
    <row r="1667" spans="3:9">
      <c r="C1667" s="46">
        <v>3.1949999999999998</v>
      </c>
      <c r="D1667" s="3">
        <v>69.36</v>
      </c>
      <c r="E1667" s="3">
        <v>98.38</v>
      </c>
      <c r="F1667" s="3">
        <v>36.53</v>
      </c>
      <c r="G1667" s="21">
        <v>493.2</v>
      </c>
      <c r="H1667" s="3">
        <v>6.1420000000000003</v>
      </c>
      <c r="I1667" s="13">
        <f t="shared" si="26"/>
        <v>2.6931289351218175</v>
      </c>
    </row>
    <row r="1668" spans="3:9">
      <c r="C1668" s="46">
        <v>3.0550000000000002</v>
      </c>
      <c r="D1668" s="3">
        <v>82.16</v>
      </c>
      <c r="E1668" s="3">
        <v>98.41</v>
      </c>
      <c r="F1668" s="3">
        <v>36.54</v>
      </c>
      <c r="G1668" s="21">
        <v>492.1</v>
      </c>
      <c r="H1668" s="3">
        <v>5.1040000000000001</v>
      </c>
      <c r="I1668" s="13">
        <f t="shared" si="26"/>
        <v>2.6932129173508486</v>
      </c>
    </row>
    <row r="1669" spans="3:9">
      <c r="C1669" s="46">
        <v>3.0270000000000001</v>
      </c>
      <c r="D1669" s="3">
        <v>91.16</v>
      </c>
      <c r="E1669" s="3">
        <v>98.78</v>
      </c>
      <c r="F1669" s="3">
        <v>36.15</v>
      </c>
      <c r="G1669" s="21">
        <v>492</v>
      </c>
      <c r="H1669" s="3">
        <v>5.3529999999999998</v>
      </c>
      <c r="I1669" s="13">
        <f t="shared" si="26"/>
        <v>2.7325034578146612</v>
      </c>
    </row>
    <row r="1670" spans="3:9">
      <c r="C1670" s="46">
        <v>3.0470000000000002</v>
      </c>
      <c r="D1670" s="3">
        <v>82.62</v>
      </c>
      <c r="E1670" s="3">
        <v>99.05</v>
      </c>
      <c r="F1670" s="3">
        <v>36.340000000000003</v>
      </c>
      <c r="G1670" s="21">
        <v>494</v>
      </c>
      <c r="H1670" s="3">
        <v>5.6710000000000003</v>
      </c>
      <c r="I1670" s="13">
        <f t="shared" si="26"/>
        <v>2.7256466703357178</v>
      </c>
    </row>
    <row r="1671" spans="3:9">
      <c r="C1671" s="46">
        <v>3.133</v>
      </c>
      <c r="D1671" s="3">
        <v>82.16</v>
      </c>
      <c r="E1671" s="3">
        <v>99.04</v>
      </c>
      <c r="F1671" s="3">
        <v>36.54</v>
      </c>
      <c r="G1671" s="21">
        <v>495.1</v>
      </c>
      <c r="H1671" s="3">
        <v>5.15</v>
      </c>
      <c r="I1671" s="13">
        <f t="shared" si="26"/>
        <v>2.7104542966611933</v>
      </c>
    </row>
    <row r="1672" spans="3:9">
      <c r="C1672" s="46">
        <v>3.1019999999999999</v>
      </c>
      <c r="D1672" s="3">
        <v>79.64</v>
      </c>
      <c r="E1672" s="3">
        <v>98.67</v>
      </c>
      <c r="F1672" s="3">
        <v>36.53</v>
      </c>
      <c r="G1672" s="21">
        <v>488.6</v>
      </c>
      <c r="H1672" s="3">
        <v>6.0149999999999997</v>
      </c>
      <c r="I1672" s="13">
        <f t="shared" si="26"/>
        <v>2.7010676156583631</v>
      </c>
    </row>
    <row r="1673" spans="3:9">
      <c r="C1673" s="46">
        <v>3.073</v>
      </c>
      <c r="D1673" s="3">
        <v>73.72</v>
      </c>
      <c r="E1673" s="3">
        <v>99.01</v>
      </c>
      <c r="F1673" s="3">
        <v>36.340000000000003</v>
      </c>
      <c r="G1673" s="21">
        <v>492</v>
      </c>
      <c r="H1673" s="3">
        <v>5.2919999999999998</v>
      </c>
      <c r="I1673" s="13">
        <f t="shared" si="26"/>
        <v>2.7245459548706656</v>
      </c>
    </row>
    <row r="1674" spans="3:9">
      <c r="C1674" s="46">
        <v>2.9740000000000002</v>
      </c>
      <c r="D1674" s="3">
        <v>70.12</v>
      </c>
      <c r="E1674" s="3">
        <v>99</v>
      </c>
      <c r="F1674" s="3">
        <v>36.72</v>
      </c>
      <c r="G1674" s="21">
        <v>491.6</v>
      </c>
      <c r="H1674" s="3">
        <v>5.2919999999999998</v>
      </c>
      <c r="I1674" s="13">
        <f t="shared" si="26"/>
        <v>2.6960784313725492</v>
      </c>
    </row>
    <row r="1675" spans="3:9">
      <c r="C1675" s="46">
        <v>3.0539999999999998</v>
      </c>
      <c r="D1675" s="3">
        <v>65</v>
      </c>
      <c r="E1675" s="3">
        <v>98.67</v>
      </c>
      <c r="F1675" s="3">
        <v>36.75</v>
      </c>
      <c r="G1675" s="21">
        <v>489</v>
      </c>
      <c r="H1675" s="3">
        <v>5.2229999999999999</v>
      </c>
      <c r="I1675" s="13">
        <f t="shared" si="26"/>
        <v>2.6848979591836737</v>
      </c>
    </row>
    <row r="1676" spans="3:9">
      <c r="C1676" s="46">
        <v>3.044</v>
      </c>
      <c r="D1676" s="3">
        <v>68.05</v>
      </c>
      <c r="E1676" s="3">
        <v>98.34</v>
      </c>
      <c r="F1676" s="3">
        <v>36.979999999999997</v>
      </c>
      <c r="G1676" s="21">
        <v>483.3</v>
      </c>
      <c r="H1676" s="3">
        <v>6.0679999999999996</v>
      </c>
      <c r="I1676" s="13">
        <f t="shared" si="26"/>
        <v>2.6592752839372635</v>
      </c>
    </row>
    <row r="1677" spans="3:9">
      <c r="C1677" s="46">
        <v>2.867</v>
      </c>
      <c r="D1677" s="3">
        <v>91.2</v>
      </c>
      <c r="E1677" s="3">
        <v>99.01</v>
      </c>
      <c r="F1677" s="3">
        <v>36.53</v>
      </c>
      <c r="G1677" s="21">
        <v>483.5</v>
      </c>
      <c r="H1677" s="3">
        <v>6.0149999999999997</v>
      </c>
      <c r="I1677" s="13">
        <f t="shared" si="26"/>
        <v>2.7103750342184507</v>
      </c>
    </row>
    <row r="1678" spans="3:9">
      <c r="C1678" s="46">
        <v>3.0609999999999999</v>
      </c>
      <c r="D1678" s="3">
        <v>81.53</v>
      </c>
      <c r="E1678" s="3">
        <v>99.34</v>
      </c>
      <c r="F1678" s="3">
        <v>36.35</v>
      </c>
      <c r="G1678" s="21">
        <v>483.5</v>
      </c>
      <c r="H1678" s="3">
        <v>5.15</v>
      </c>
      <c r="I1678" s="13">
        <f t="shared" si="26"/>
        <v>2.7328748280605226</v>
      </c>
    </row>
    <row r="1679" spans="3:9">
      <c r="C1679" s="46">
        <v>3.1320000000000001</v>
      </c>
      <c r="D1679" s="3">
        <v>78.44</v>
      </c>
      <c r="E1679" s="3">
        <v>99.36</v>
      </c>
      <c r="F1679" s="3">
        <v>36.94</v>
      </c>
      <c r="G1679" s="21">
        <v>482</v>
      </c>
      <c r="H1679" s="3">
        <v>5.1040000000000001</v>
      </c>
      <c r="I1679" s="13">
        <f t="shared" si="26"/>
        <v>2.6897671900378994</v>
      </c>
    </row>
    <row r="1680" spans="3:9">
      <c r="C1680" s="46">
        <v>3.165</v>
      </c>
      <c r="D1680" s="3">
        <v>70.28</v>
      </c>
      <c r="E1680" s="3">
        <v>98.38</v>
      </c>
      <c r="F1680" s="3">
        <v>36.4</v>
      </c>
      <c r="G1680" s="21">
        <v>487.9</v>
      </c>
      <c r="H1680" s="3">
        <v>5.2229999999999999</v>
      </c>
      <c r="I1680" s="13">
        <f t="shared" si="26"/>
        <v>2.7027472527472529</v>
      </c>
    </row>
    <row r="1681" spans="2:36">
      <c r="C1681" s="46">
        <v>3.19</v>
      </c>
      <c r="D1681" s="3">
        <v>72.53</v>
      </c>
      <c r="E1681" s="3">
        <v>98.4</v>
      </c>
      <c r="F1681" s="3">
        <v>36.6</v>
      </c>
      <c r="G1681" s="21">
        <v>481.6</v>
      </c>
      <c r="H1681" s="3">
        <v>5.226</v>
      </c>
      <c r="I1681" s="13">
        <f t="shared" si="26"/>
        <v>2.6885245901639343</v>
      </c>
    </row>
    <row r="1682" spans="2:36" s="35" customFormat="1">
      <c r="B1682" s="16">
        <v>85</v>
      </c>
      <c r="C1682" s="47">
        <v>2.4740000000000002</v>
      </c>
      <c r="D1682" s="16">
        <v>74.2</v>
      </c>
      <c r="E1682" s="16">
        <v>103.5</v>
      </c>
      <c r="F1682" s="16">
        <v>32.44</v>
      </c>
      <c r="G1682" s="16">
        <v>504.2</v>
      </c>
      <c r="H1682" s="16">
        <v>2.7989999999999999</v>
      </c>
      <c r="I1682" s="13">
        <f t="shared" si="26"/>
        <v>3.1905055487053025</v>
      </c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</row>
    <row r="1683" spans="2:36">
      <c r="C1683" s="46">
        <v>2.4580000000000002</v>
      </c>
      <c r="D1683" s="3">
        <v>107.6</v>
      </c>
      <c r="E1683" s="3">
        <v>103.6</v>
      </c>
      <c r="F1683" s="3">
        <v>32.64</v>
      </c>
      <c r="G1683" s="3">
        <v>494.1</v>
      </c>
      <c r="H1683" s="3">
        <v>2.8010000000000002</v>
      </c>
      <c r="I1683" s="13">
        <f t="shared" si="26"/>
        <v>3.1740196078431371</v>
      </c>
    </row>
    <row r="1684" spans="2:36">
      <c r="C1684" s="46">
        <v>2.5049999999999999</v>
      </c>
      <c r="D1684" s="3">
        <v>72.78</v>
      </c>
      <c r="E1684" s="3">
        <v>103.2</v>
      </c>
      <c r="F1684" s="3">
        <v>32.51</v>
      </c>
      <c r="G1684" s="3">
        <v>494.4</v>
      </c>
      <c r="H1684" s="3">
        <v>2.85</v>
      </c>
      <c r="I1684" s="13">
        <f t="shared" si="26"/>
        <v>3.174407874500154</v>
      </c>
    </row>
    <row r="1685" spans="2:36">
      <c r="C1685" s="46">
        <v>2.5169999999999999</v>
      </c>
      <c r="D1685" s="3">
        <v>86.43</v>
      </c>
      <c r="E1685" s="3">
        <v>102.6</v>
      </c>
      <c r="F1685" s="3">
        <v>32.25</v>
      </c>
      <c r="G1685" s="3">
        <v>503.8</v>
      </c>
      <c r="H1685" s="3">
        <v>2.9239999999999999</v>
      </c>
      <c r="I1685" s="13">
        <f t="shared" si="26"/>
        <v>3.1813953488372091</v>
      </c>
    </row>
    <row r="1686" spans="2:36">
      <c r="C1686" s="46">
        <v>2.5339999999999998</v>
      </c>
      <c r="D1686" s="3">
        <v>72.38</v>
      </c>
      <c r="E1686" s="3">
        <v>102.8</v>
      </c>
      <c r="F1686" s="3">
        <v>32.06</v>
      </c>
      <c r="G1686" s="3">
        <v>521.1</v>
      </c>
      <c r="H1686" s="3">
        <v>2.9620000000000002</v>
      </c>
      <c r="I1686" s="13">
        <f t="shared" ref="I1686:I1749" si="27">E1686/F1686</f>
        <v>3.2064878353087956</v>
      </c>
    </row>
    <row r="1687" spans="2:36">
      <c r="C1687" s="46">
        <v>2.5249999999999999</v>
      </c>
      <c r="D1687" s="3">
        <v>61.78</v>
      </c>
      <c r="E1687" s="3">
        <v>103.2</v>
      </c>
      <c r="F1687" s="3">
        <v>32.950000000000003</v>
      </c>
      <c r="G1687" s="3">
        <v>509.1</v>
      </c>
      <c r="H1687" s="3">
        <v>2.8780000000000001</v>
      </c>
      <c r="I1687" s="13">
        <f t="shared" si="27"/>
        <v>3.1320182094081939</v>
      </c>
    </row>
    <row r="1688" spans="2:36">
      <c r="C1688" s="46">
        <v>2.552</v>
      </c>
      <c r="D1688" s="3">
        <v>62.43</v>
      </c>
      <c r="E1688" s="3">
        <v>103.4</v>
      </c>
      <c r="F1688" s="3">
        <v>32.57</v>
      </c>
      <c r="G1688" s="3">
        <v>506.9</v>
      </c>
      <c r="H1688" s="3">
        <v>2.8010000000000002</v>
      </c>
      <c r="I1688" s="13">
        <f t="shared" si="27"/>
        <v>3.1747006447651214</v>
      </c>
    </row>
    <row r="1689" spans="2:36">
      <c r="C1689" s="46">
        <v>2.5569999999999999</v>
      </c>
      <c r="D1689" s="3">
        <v>57.54</v>
      </c>
      <c r="E1689" s="3">
        <v>103.6</v>
      </c>
      <c r="F1689" s="3">
        <v>32.26</v>
      </c>
      <c r="G1689" s="3">
        <v>511</v>
      </c>
      <c r="H1689" s="3">
        <v>2.8940000000000001</v>
      </c>
      <c r="I1689" s="13">
        <f t="shared" si="27"/>
        <v>3.2114073155610665</v>
      </c>
    </row>
    <row r="1690" spans="2:36">
      <c r="C1690" s="46">
        <v>2.5459999999999998</v>
      </c>
      <c r="D1690" s="3">
        <v>48.49</v>
      </c>
      <c r="E1690" s="3">
        <v>103.5</v>
      </c>
      <c r="F1690" s="3">
        <v>32.630000000000003</v>
      </c>
      <c r="G1690" s="3">
        <v>508.6</v>
      </c>
      <c r="H1690" s="3">
        <v>3.3460000000000001</v>
      </c>
      <c r="I1690" s="13">
        <f t="shared" si="27"/>
        <v>3.1719276739197055</v>
      </c>
    </row>
    <row r="1691" spans="2:36">
      <c r="C1691" s="46">
        <v>2.5409999999999999</v>
      </c>
      <c r="D1691" s="3">
        <v>55.39</v>
      </c>
      <c r="E1691" s="3">
        <v>102.8</v>
      </c>
      <c r="F1691" s="3">
        <v>32.46</v>
      </c>
      <c r="G1691" s="3">
        <v>509.8</v>
      </c>
      <c r="H1691" s="3">
        <v>3.1419999999999999</v>
      </c>
      <c r="I1691" s="13">
        <f t="shared" si="27"/>
        <v>3.1669747381392481</v>
      </c>
    </row>
    <row r="1692" spans="2:36">
      <c r="C1692" s="46">
        <v>2.5059999999999998</v>
      </c>
      <c r="D1692" s="3">
        <v>70.44</v>
      </c>
      <c r="E1692" s="3">
        <v>103.4</v>
      </c>
      <c r="F1692" s="3">
        <v>32.590000000000003</v>
      </c>
      <c r="G1692" s="3">
        <v>503.4</v>
      </c>
      <c r="H1692" s="3">
        <v>3.0939999999999999</v>
      </c>
      <c r="I1692" s="13">
        <f t="shared" si="27"/>
        <v>3.1727523780300704</v>
      </c>
    </row>
    <row r="1693" spans="2:36">
      <c r="C1693" s="46">
        <v>2.4830000000000001</v>
      </c>
      <c r="D1693" s="3">
        <v>58.69</v>
      </c>
      <c r="E1693" s="3">
        <v>103.3</v>
      </c>
      <c r="F1693" s="3">
        <v>31.96</v>
      </c>
      <c r="G1693" s="3">
        <v>501.3</v>
      </c>
      <c r="H1693" s="3">
        <v>2.9860000000000002</v>
      </c>
      <c r="I1693" s="13">
        <f t="shared" si="27"/>
        <v>3.2321652065081352</v>
      </c>
    </row>
    <row r="1694" spans="2:36">
      <c r="C1694" s="46">
        <v>2.548</v>
      </c>
      <c r="D1694" s="3">
        <v>49.1</v>
      </c>
      <c r="E1694" s="3">
        <v>103.2</v>
      </c>
      <c r="F1694" s="3">
        <v>32.39</v>
      </c>
      <c r="G1694" s="3">
        <v>494.1</v>
      </c>
      <c r="H1694" s="3">
        <v>2.9369999999999998</v>
      </c>
      <c r="I1694" s="13">
        <f t="shared" si="27"/>
        <v>3.1861685705464651</v>
      </c>
    </row>
    <row r="1695" spans="2:36">
      <c r="C1695" s="46">
        <v>2.5449999999999999</v>
      </c>
      <c r="D1695" s="3">
        <v>52.19</v>
      </c>
      <c r="E1695" s="3">
        <v>103.1</v>
      </c>
      <c r="F1695" s="3">
        <v>31.62</v>
      </c>
      <c r="G1695" s="3">
        <v>494.4</v>
      </c>
      <c r="H1695" s="3">
        <v>3.0790000000000002</v>
      </c>
      <c r="I1695" s="13">
        <f t="shared" si="27"/>
        <v>3.2605945604048068</v>
      </c>
    </row>
    <row r="1696" spans="2:36">
      <c r="C1696" s="46">
        <v>2.5219999999999998</v>
      </c>
      <c r="D1696" s="3">
        <v>95.91</v>
      </c>
      <c r="E1696" s="3">
        <v>103</v>
      </c>
      <c r="F1696" s="3">
        <v>31.87</v>
      </c>
      <c r="G1696" s="3">
        <v>481.3</v>
      </c>
      <c r="H1696" s="3">
        <v>3.036</v>
      </c>
      <c r="I1696" s="13">
        <f t="shared" si="27"/>
        <v>3.2318795105114528</v>
      </c>
    </row>
    <row r="1697" spans="2:36">
      <c r="C1697" s="46">
        <v>2.4990000000000001</v>
      </c>
      <c r="D1697" s="3">
        <v>51.86</v>
      </c>
      <c r="E1697" s="3">
        <v>103.4</v>
      </c>
      <c r="F1697" s="3">
        <v>32</v>
      </c>
      <c r="G1697" s="3">
        <v>474.1</v>
      </c>
      <c r="H1697" s="3">
        <v>2.8940000000000001</v>
      </c>
      <c r="I1697" s="13">
        <f t="shared" si="27"/>
        <v>3.2312500000000002</v>
      </c>
    </row>
    <row r="1698" spans="2:36">
      <c r="C1698" s="46">
        <v>2.4740000000000002</v>
      </c>
      <c r="D1698" s="3">
        <v>107.22</v>
      </c>
      <c r="E1698" s="3">
        <v>103.6</v>
      </c>
      <c r="F1698" s="3">
        <v>31.94</v>
      </c>
      <c r="G1698" s="3">
        <v>480.9</v>
      </c>
      <c r="H1698" s="3">
        <v>2.8959999999999999</v>
      </c>
      <c r="I1698" s="13">
        <f t="shared" si="27"/>
        <v>3.2435817157169691</v>
      </c>
    </row>
    <row r="1699" spans="2:36">
      <c r="C1699" s="46">
        <v>2.444</v>
      </c>
      <c r="D1699" s="3">
        <v>61.63</v>
      </c>
      <c r="E1699" s="3">
        <v>103.1</v>
      </c>
      <c r="F1699" s="3">
        <v>32.020000000000003</v>
      </c>
      <c r="G1699" s="3">
        <v>469.7</v>
      </c>
      <c r="H1699" s="3">
        <v>3.1819999999999999</v>
      </c>
      <c r="I1699" s="13">
        <f t="shared" si="27"/>
        <v>3.2198625858838219</v>
      </c>
    </row>
    <row r="1700" spans="2:36">
      <c r="C1700" s="46">
        <v>2.4769999999999999</v>
      </c>
      <c r="D1700" s="3">
        <v>65.41</v>
      </c>
      <c r="E1700" s="3">
        <v>103</v>
      </c>
      <c r="F1700" s="3">
        <v>32.43</v>
      </c>
      <c r="G1700" s="3">
        <v>472.2</v>
      </c>
      <c r="H1700" s="3">
        <v>3.1459999999999999</v>
      </c>
      <c r="I1700" s="13">
        <f t="shared" si="27"/>
        <v>3.1760715386987357</v>
      </c>
    </row>
    <row r="1701" spans="2:36">
      <c r="C1701" s="46">
        <v>2.5150000000000001</v>
      </c>
      <c r="D1701" s="3">
        <v>72.78</v>
      </c>
      <c r="E1701" s="3">
        <v>103.8</v>
      </c>
      <c r="F1701" s="3">
        <v>32.4</v>
      </c>
      <c r="G1701" s="3">
        <v>477.9</v>
      </c>
      <c r="H1701" s="3">
        <v>3.0790000000000002</v>
      </c>
      <c r="I1701" s="13">
        <f t="shared" si="27"/>
        <v>3.2037037037037037</v>
      </c>
    </row>
    <row r="1702" spans="2:36" s="35" customFormat="1">
      <c r="B1702" s="16">
        <v>86</v>
      </c>
      <c r="C1702" s="47">
        <v>1.3779999999999999</v>
      </c>
      <c r="D1702" s="16">
        <v>124</v>
      </c>
      <c r="E1702" s="16">
        <v>117</v>
      </c>
      <c r="F1702" s="16">
        <v>32.32</v>
      </c>
      <c r="G1702" s="16">
        <v>494.3</v>
      </c>
      <c r="H1702" s="16">
        <v>2.7250000000000001</v>
      </c>
      <c r="I1702" s="13">
        <f t="shared" si="27"/>
        <v>3.620049504950495</v>
      </c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</row>
    <row r="1703" spans="2:36">
      <c r="C1703" s="46">
        <v>1.365</v>
      </c>
      <c r="D1703" s="3">
        <v>111</v>
      </c>
      <c r="E1703" s="3">
        <v>116.8</v>
      </c>
      <c r="F1703" s="3">
        <v>32.549999999999997</v>
      </c>
      <c r="G1703" s="3">
        <v>501.4</v>
      </c>
      <c r="H1703" s="3">
        <v>2.7160000000000002</v>
      </c>
      <c r="I1703" s="13">
        <f t="shared" si="27"/>
        <v>3.5883256528417822</v>
      </c>
    </row>
    <row r="1704" spans="2:36">
      <c r="C1704" s="46">
        <v>1.33</v>
      </c>
      <c r="D1704" s="3">
        <v>115.2</v>
      </c>
      <c r="E1704" s="3">
        <v>116.3</v>
      </c>
      <c r="F1704" s="3">
        <v>32.47</v>
      </c>
      <c r="G1704" s="3">
        <v>498</v>
      </c>
      <c r="H1704" s="3">
        <v>2.82</v>
      </c>
      <c r="I1704" s="13">
        <f t="shared" si="27"/>
        <v>3.5817677856482906</v>
      </c>
    </row>
    <row r="1705" spans="2:36">
      <c r="C1705" s="46">
        <v>1.294</v>
      </c>
      <c r="D1705" s="3">
        <v>125.2</v>
      </c>
      <c r="E1705" s="3">
        <v>116.6</v>
      </c>
      <c r="F1705" s="3">
        <v>32.270000000000003</v>
      </c>
      <c r="G1705" s="3">
        <v>498.7</v>
      </c>
      <c r="H1705" s="3">
        <v>2.9929999999999999</v>
      </c>
      <c r="I1705" s="13">
        <f t="shared" si="27"/>
        <v>3.6132630926557168</v>
      </c>
    </row>
    <row r="1706" spans="2:36">
      <c r="C1706" s="46">
        <v>1.3069999999999999</v>
      </c>
      <c r="D1706" s="3">
        <v>126.7</v>
      </c>
      <c r="E1706" s="3">
        <v>116.9</v>
      </c>
      <c r="F1706" s="3">
        <v>32.659999999999997</v>
      </c>
      <c r="G1706" s="3">
        <v>501.7</v>
      </c>
      <c r="H1706" s="3">
        <v>3.6</v>
      </c>
      <c r="I1706" s="13">
        <f t="shared" si="27"/>
        <v>3.5793018983466021</v>
      </c>
    </row>
    <row r="1707" spans="2:36">
      <c r="C1707" s="46">
        <v>1.345</v>
      </c>
      <c r="D1707" s="3">
        <v>135.6</v>
      </c>
      <c r="E1707" s="3">
        <v>117.4</v>
      </c>
      <c r="F1707" s="3">
        <v>32.21</v>
      </c>
      <c r="G1707" s="3">
        <v>502.7</v>
      </c>
      <c r="H1707" s="3">
        <v>3.4249999999999998</v>
      </c>
      <c r="I1707" s="13">
        <f t="shared" si="27"/>
        <v>3.6448307978888543</v>
      </c>
    </row>
    <row r="1708" spans="2:36">
      <c r="C1708" s="46">
        <v>1.3740000000000001</v>
      </c>
      <c r="D1708" s="3">
        <v>113</v>
      </c>
      <c r="E1708" s="3">
        <v>116.3</v>
      </c>
      <c r="F1708" s="3">
        <v>32.58</v>
      </c>
      <c r="G1708" s="3">
        <v>507.5</v>
      </c>
      <c r="H1708" s="3">
        <v>3.085</v>
      </c>
      <c r="I1708" s="13">
        <f t="shared" si="27"/>
        <v>3.5696746470227136</v>
      </c>
    </row>
    <row r="1709" spans="2:36">
      <c r="C1709" s="46">
        <v>1.377</v>
      </c>
      <c r="D1709" s="3">
        <v>119.9</v>
      </c>
      <c r="E1709" s="3">
        <v>116.5</v>
      </c>
      <c r="F1709" s="3">
        <v>32.909999999999997</v>
      </c>
      <c r="G1709" s="3">
        <v>518.4</v>
      </c>
      <c r="H1709" s="3">
        <v>2.8759999999999999</v>
      </c>
      <c r="I1709" s="13">
        <f t="shared" si="27"/>
        <v>3.5399574597386816</v>
      </c>
    </row>
    <row r="1710" spans="2:36">
      <c r="C1710" s="46">
        <v>1.373</v>
      </c>
      <c r="D1710" s="3">
        <v>132.80000000000001</v>
      </c>
      <c r="E1710" s="3">
        <v>116.7</v>
      </c>
      <c r="F1710" s="3">
        <v>32.630000000000003</v>
      </c>
      <c r="G1710" s="3">
        <v>510.5</v>
      </c>
      <c r="H1710" s="3">
        <v>2.7589999999999999</v>
      </c>
      <c r="I1710" s="13">
        <f t="shared" si="27"/>
        <v>3.5764633772601897</v>
      </c>
    </row>
    <row r="1711" spans="2:36">
      <c r="C1711" s="46">
        <v>1.3069999999999999</v>
      </c>
      <c r="D1711" s="3">
        <v>122.8</v>
      </c>
      <c r="E1711" s="3">
        <v>117.1</v>
      </c>
      <c r="F1711" s="3">
        <v>32.799999999999997</v>
      </c>
      <c r="G1711" s="3">
        <v>503.9</v>
      </c>
      <c r="H1711" s="3">
        <v>2.9929999999999999</v>
      </c>
      <c r="I1711" s="13">
        <f t="shared" si="27"/>
        <v>3.5701219512195124</v>
      </c>
    </row>
    <row r="1712" spans="2:36">
      <c r="C1712" s="46">
        <v>1.325</v>
      </c>
      <c r="D1712" s="3">
        <v>149.69999999999999</v>
      </c>
      <c r="E1712" s="3">
        <v>116.3</v>
      </c>
      <c r="F1712" s="3">
        <v>32.979999999999997</v>
      </c>
      <c r="G1712" s="3">
        <v>505.8</v>
      </c>
      <c r="H1712" s="3">
        <v>2.9790000000000001</v>
      </c>
      <c r="I1712" s="13">
        <f t="shared" si="27"/>
        <v>3.5263796240145546</v>
      </c>
    </row>
    <row r="1713" spans="2:36">
      <c r="C1713" s="46">
        <v>1.377</v>
      </c>
      <c r="D1713" s="3">
        <v>143.4</v>
      </c>
      <c r="E1713" s="3">
        <v>116.4</v>
      </c>
      <c r="F1713" s="3">
        <v>32.840000000000003</v>
      </c>
      <c r="G1713" s="3">
        <v>506.4</v>
      </c>
      <c r="H1713" s="3">
        <v>2.7250000000000001</v>
      </c>
      <c r="I1713" s="13">
        <f t="shared" si="27"/>
        <v>3.5444579780755174</v>
      </c>
    </row>
    <row r="1714" spans="2:36">
      <c r="C1714" s="46">
        <v>1.3879999999999999</v>
      </c>
      <c r="D1714" s="3">
        <v>150.9</v>
      </c>
      <c r="E1714" s="3">
        <v>116</v>
      </c>
      <c r="F1714" s="3">
        <v>32.43</v>
      </c>
      <c r="G1714" s="3">
        <v>501.9</v>
      </c>
      <c r="H1714" s="3">
        <v>2.6669999999999998</v>
      </c>
      <c r="I1714" s="13">
        <f t="shared" si="27"/>
        <v>3.5769349367869259</v>
      </c>
    </row>
    <row r="1715" spans="2:36">
      <c r="C1715" s="46">
        <v>1.349</v>
      </c>
      <c r="D1715" s="3">
        <v>132.80000000000001</v>
      </c>
      <c r="E1715" s="3">
        <v>115.8</v>
      </c>
      <c r="F1715" s="3">
        <v>32.17</v>
      </c>
      <c r="G1715" s="3">
        <v>496.8</v>
      </c>
      <c r="H1715" s="3">
        <v>2.8069999999999999</v>
      </c>
      <c r="I1715" s="13">
        <f t="shared" si="27"/>
        <v>3.5996269816599313</v>
      </c>
    </row>
    <row r="1716" spans="2:36">
      <c r="C1716" s="46">
        <v>1.294</v>
      </c>
      <c r="D1716" s="3">
        <v>125.2</v>
      </c>
      <c r="E1716" s="3">
        <v>116.8</v>
      </c>
      <c r="F1716" s="3">
        <v>32.19</v>
      </c>
      <c r="G1716" s="3">
        <v>494.8</v>
      </c>
      <c r="H1716" s="3">
        <v>2.86</v>
      </c>
      <c r="I1716" s="13">
        <f t="shared" si="27"/>
        <v>3.6284560422491459</v>
      </c>
    </row>
    <row r="1717" spans="2:36">
      <c r="C1717" s="46">
        <v>1.306</v>
      </c>
      <c r="D1717" s="3">
        <v>115.2</v>
      </c>
      <c r="E1717" s="3">
        <v>117.1</v>
      </c>
      <c r="F1717" s="3">
        <v>32.450000000000003</v>
      </c>
      <c r="G1717" s="3">
        <v>497.7</v>
      </c>
      <c r="H1717" s="3">
        <v>3.0489999999999999</v>
      </c>
      <c r="I1717" s="13">
        <f t="shared" si="27"/>
        <v>3.6086286594761168</v>
      </c>
    </row>
    <row r="1718" spans="2:36">
      <c r="C1718" s="46">
        <v>1.3320000000000001</v>
      </c>
      <c r="D1718" s="3">
        <v>136.30000000000001</v>
      </c>
      <c r="E1718" s="3">
        <v>116.5</v>
      </c>
      <c r="F1718" s="3">
        <v>32.6</v>
      </c>
      <c r="G1718" s="3">
        <v>494.9</v>
      </c>
      <c r="H1718" s="3">
        <v>3.1520000000000001</v>
      </c>
      <c r="I1718" s="13">
        <f t="shared" si="27"/>
        <v>3.5736196319018405</v>
      </c>
    </row>
    <row r="1719" spans="2:36">
      <c r="C1719" s="46">
        <v>1.373</v>
      </c>
      <c r="D1719" s="3">
        <v>138.80000000000001</v>
      </c>
      <c r="E1719" s="3">
        <v>116.8</v>
      </c>
      <c r="F1719" s="3">
        <v>32.520000000000003</v>
      </c>
      <c r="G1719" s="3">
        <v>497.7</v>
      </c>
      <c r="H1719" s="3">
        <v>2.9929999999999999</v>
      </c>
      <c r="I1719" s="13">
        <f t="shared" si="27"/>
        <v>3.5916359163591633</v>
      </c>
    </row>
    <row r="1720" spans="2:36">
      <c r="C1720" s="46">
        <v>1.3839999999999999</v>
      </c>
      <c r="D1720" s="3">
        <v>124</v>
      </c>
      <c r="E1720" s="3">
        <v>116.4</v>
      </c>
      <c r="F1720" s="3">
        <v>32.799999999999997</v>
      </c>
      <c r="G1720" s="3">
        <v>494.3</v>
      </c>
      <c r="H1720" s="3">
        <v>2.8759999999999999</v>
      </c>
      <c r="I1720" s="13">
        <f t="shared" si="27"/>
        <v>3.5487804878048785</v>
      </c>
    </row>
    <row r="1721" spans="2:36">
      <c r="C1721" s="46">
        <v>1.385</v>
      </c>
      <c r="D1721" s="3">
        <v>161.9</v>
      </c>
      <c r="E1721" s="3">
        <v>116.7</v>
      </c>
      <c r="F1721" s="3">
        <v>32.590000000000003</v>
      </c>
      <c r="G1721" s="3">
        <v>499.4</v>
      </c>
      <c r="H1721" s="3">
        <v>2.88</v>
      </c>
      <c r="I1721" s="13">
        <f t="shared" si="27"/>
        <v>3.5808530223995088</v>
      </c>
    </row>
    <row r="1722" spans="2:36" s="35" customFormat="1">
      <c r="B1722" s="16">
        <v>87</v>
      </c>
      <c r="C1722" s="47">
        <v>2.6989999999999998</v>
      </c>
      <c r="D1722" s="16">
        <v>93.08</v>
      </c>
      <c r="E1722" s="16">
        <v>107.7</v>
      </c>
      <c r="F1722" s="16">
        <v>30.66</v>
      </c>
      <c r="G1722" s="16">
        <v>490.6</v>
      </c>
      <c r="H1722" s="16">
        <v>3.206</v>
      </c>
      <c r="I1722" s="13">
        <f t="shared" si="27"/>
        <v>3.5127201565557731</v>
      </c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</row>
    <row r="1723" spans="2:36">
      <c r="C1723" s="46">
        <v>2.7730000000000001</v>
      </c>
      <c r="D1723" s="3">
        <v>97.14</v>
      </c>
      <c r="E1723" s="3">
        <v>107.3</v>
      </c>
      <c r="F1723" s="3">
        <v>30.15</v>
      </c>
      <c r="G1723" s="3">
        <v>492.2</v>
      </c>
      <c r="H1723" s="3">
        <v>2.835</v>
      </c>
      <c r="I1723" s="13">
        <f t="shared" si="27"/>
        <v>3.5588723051409619</v>
      </c>
    </row>
    <row r="1724" spans="2:36">
      <c r="C1724" s="46">
        <v>2.81</v>
      </c>
      <c r="D1724" s="3">
        <v>105.8</v>
      </c>
      <c r="E1724" s="3">
        <v>107.9</v>
      </c>
      <c r="F1724" s="3">
        <v>30.94</v>
      </c>
      <c r="G1724" s="3">
        <v>501.4</v>
      </c>
      <c r="H1724" s="3">
        <v>2.0720000000000001</v>
      </c>
      <c r="I1724" s="13">
        <f t="shared" si="27"/>
        <v>3.4873949579831933</v>
      </c>
    </row>
    <row r="1725" spans="2:36">
      <c r="C1725" s="46">
        <v>2.786</v>
      </c>
      <c r="D1725" s="3">
        <v>95.23</v>
      </c>
      <c r="E1725" s="3">
        <v>108</v>
      </c>
      <c r="F1725" s="3">
        <v>30.79</v>
      </c>
      <c r="G1725" s="3">
        <v>499.9</v>
      </c>
      <c r="H1725" s="3">
        <v>3.2610000000000001</v>
      </c>
      <c r="I1725" s="13">
        <f t="shared" si="27"/>
        <v>3.5076323481649889</v>
      </c>
    </row>
    <row r="1726" spans="2:36">
      <c r="C1726" s="46">
        <v>2.831</v>
      </c>
      <c r="D1726" s="3">
        <v>105.3</v>
      </c>
      <c r="E1726" s="3">
        <v>107.3</v>
      </c>
      <c r="F1726" s="3">
        <v>30.66</v>
      </c>
      <c r="G1726" s="3">
        <v>491.6</v>
      </c>
      <c r="H1726" s="3">
        <v>1.8680000000000001</v>
      </c>
      <c r="I1726" s="13">
        <f t="shared" si="27"/>
        <v>3.4996738421395954</v>
      </c>
    </row>
    <row r="1727" spans="2:36">
      <c r="C1727" s="46">
        <v>2.83</v>
      </c>
      <c r="D1727" s="3">
        <v>88.93</v>
      </c>
      <c r="E1727" s="3">
        <v>107.6</v>
      </c>
      <c r="F1727" s="3">
        <v>30.64</v>
      </c>
      <c r="G1727" s="3">
        <v>500.6</v>
      </c>
      <c r="H1727" s="3">
        <v>1.696</v>
      </c>
      <c r="I1727" s="13">
        <f t="shared" si="27"/>
        <v>3.5117493472584855</v>
      </c>
    </row>
    <row r="1728" spans="2:36">
      <c r="C1728" s="46">
        <v>2.8140000000000001</v>
      </c>
      <c r="D1728" s="3">
        <v>101.8</v>
      </c>
      <c r="E1728" s="3">
        <v>107.3</v>
      </c>
      <c r="F1728" s="3">
        <v>30.22</v>
      </c>
      <c r="G1728" s="3">
        <v>500</v>
      </c>
      <c r="H1728" s="3">
        <v>2.4729999999999999</v>
      </c>
      <c r="I1728" s="13">
        <f t="shared" si="27"/>
        <v>3.5506287227001985</v>
      </c>
    </row>
    <row r="1729" spans="2:36">
      <c r="C1729" s="46">
        <v>2.851</v>
      </c>
      <c r="D1729" s="3">
        <v>99.64</v>
      </c>
      <c r="E1729" s="3">
        <v>107.2</v>
      </c>
      <c r="F1729" s="3">
        <v>30.66</v>
      </c>
      <c r="G1729" s="3">
        <v>498.9</v>
      </c>
      <c r="H1729" s="3">
        <v>2.0720000000000001</v>
      </c>
      <c r="I1729" s="13">
        <f t="shared" si="27"/>
        <v>3.4964122635355515</v>
      </c>
    </row>
    <row r="1730" spans="2:36">
      <c r="C1730" s="46">
        <v>2.6419999999999999</v>
      </c>
      <c r="D1730" s="3">
        <v>125.8</v>
      </c>
      <c r="E1730" s="3">
        <v>107.3</v>
      </c>
      <c r="F1730" s="3">
        <v>30.28</v>
      </c>
      <c r="G1730" s="3">
        <v>504.4</v>
      </c>
      <c r="H1730" s="3">
        <v>2.4729999999999999</v>
      </c>
      <c r="I1730" s="13">
        <f t="shared" si="27"/>
        <v>3.5435931307793922</v>
      </c>
    </row>
    <row r="1731" spans="2:36">
      <c r="C1731" s="46">
        <v>2.661</v>
      </c>
      <c r="D1731" s="3">
        <v>122</v>
      </c>
      <c r="E1731" s="3">
        <v>107.6</v>
      </c>
      <c r="F1731" s="3">
        <v>30.15</v>
      </c>
      <c r="G1731" s="3">
        <v>515</v>
      </c>
      <c r="H1731" s="3">
        <v>2.8130000000000002</v>
      </c>
      <c r="I1731" s="13">
        <f t="shared" si="27"/>
        <v>3.5688225538971809</v>
      </c>
    </row>
    <row r="1732" spans="2:36">
      <c r="C1732" s="46">
        <v>2.7080000000000002</v>
      </c>
      <c r="D1732" s="3">
        <v>96.66</v>
      </c>
      <c r="E1732" s="3">
        <v>107.3</v>
      </c>
      <c r="F1732" s="3">
        <v>30.03</v>
      </c>
      <c r="G1732" s="3">
        <v>506.5</v>
      </c>
      <c r="H1732" s="3">
        <v>2.3740000000000001</v>
      </c>
      <c r="I1732" s="13">
        <f t="shared" si="27"/>
        <v>3.5730935730935727</v>
      </c>
    </row>
    <row r="1733" spans="2:36">
      <c r="C1733" s="46">
        <v>2.8069999999999999</v>
      </c>
      <c r="D1733" s="3">
        <v>101.8</v>
      </c>
      <c r="E1733" s="3">
        <v>107.7</v>
      </c>
      <c r="F1733" s="3">
        <v>30.4</v>
      </c>
      <c r="G1733" s="3">
        <v>505.8</v>
      </c>
      <c r="H1733" s="3">
        <v>1.696</v>
      </c>
      <c r="I1733" s="13">
        <f t="shared" si="27"/>
        <v>3.5427631578947372</v>
      </c>
    </row>
    <row r="1734" spans="2:36">
      <c r="C1734" s="46">
        <v>2.85</v>
      </c>
      <c r="D1734" s="3">
        <v>90.34</v>
      </c>
      <c r="E1734" s="3">
        <v>107.4</v>
      </c>
      <c r="F1734" s="3">
        <v>30.55</v>
      </c>
      <c r="G1734" s="3">
        <v>512.5</v>
      </c>
      <c r="H1734" s="3">
        <v>2.964</v>
      </c>
      <c r="I1734" s="13">
        <f t="shared" si="27"/>
        <v>3.5155482815057284</v>
      </c>
    </row>
    <row r="1735" spans="2:36">
      <c r="C1735" s="46">
        <v>2.8780000000000001</v>
      </c>
      <c r="D1735" s="3">
        <v>93.36</v>
      </c>
      <c r="E1735" s="3">
        <v>107</v>
      </c>
      <c r="F1735" s="3">
        <v>30.2</v>
      </c>
      <c r="G1735" s="3">
        <v>522</v>
      </c>
      <c r="H1735" s="3">
        <v>2.2360000000000002</v>
      </c>
      <c r="I1735" s="13">
        <f t="shared" si="27"/>
        <v>3.5430463576158941</v>
      </c>
    </row>
    <row r="1736" spans="2:36">
      <c r="C1736" s="46">
        <v>2.8220000000000001</v>
      </c>
      <c r="D1736" s="3">
        <v>97.91</v>
      </c>
      <c r="E1736" s="3">
        <v>107.4</v>
      </c>
      <c r="F1736" s="3">
        <v>30.28</v>
      </c>
      <c r="G1736" s="3">
        <v>522.5</v>
      </c>
      <c r="H1736" s="3">
        <v>3.4239999999999999</v>
      </c>
      <c r="I1736" s="13">
        <f t="shared" si="27"/>
        <v>3.5468956406869223</v>
      </c>
    </row>
    <row r="1737" spans="2:36">
      <c r="C1737" s="46">
        <v>2.7989999999999999</v>
      </c>
      <c r="D1737" s="3">
        <v>104.4</v>
      </c>
      <c r="E1737" s="3">
        <v>107.6</v>
      </c>
      <c r="F1737" s="3">
        <v>30.63</v>
      </c>
      <c r="G1737" s="3">
        <v>508.4</v>
      </c>
      <c r="H1737" s="3">
        <v>3.0259999999999998</v>
      </c>
      <c r="I1737" s="13">
        <f t="shared" si="27"/>
        <v>3.5128958537381649</v>
      </c>
    </row>
    <row r="1738" spans="2:36">
      <c r="C1738" s="46">
        <v>2.7549999999999999</v>
      </c>
      <c r="D1738" s="3">
        <v>93.05</v>
      </c>
      <c r="E1738" s="3">
        <v>107.9</v>
      </c>
      <c r="F1738" s="3">
        <v>30.15</v>
      </c>
      <c r="G1738" s="3">
        <v>508.8</v>
      </c>
      <c r="H1738" s="3">
        <v>2.524</v>
      </c>
      <c r="I1738" s="13">
        <f t="shared" si="27"/>
        <v>3.5787728026534</v>
      </c>
    </row>
    <row r="1739" spans="2:36">
      <c r="C1739" s="46">
        <v>2.7690000000000001</v>
      </c>
      <c r="D1739" s="3">
        <v>101.4</v>
      </c>
      <c r="E1739" s="3">
        <v>108</v>
      </c>
      <c r="F1739" s="3">
        <v>30.92</v>
      </c>
      <c r="G1739" s="3">
        <v>496.2</v>
      </c>
      <c r="H1739" s="3">
        <v>2.5219999999999998</v>
      </c>
      <c r="I1739" s="13">
        <f t="shared" si="27"/>
        <v>3.4928848641655885</v>
      </c>
    </row>
    <row r="1740" spans="2:36">
      <c r="C1740" s="46">
        <v>2.657</v>
      </c>
      <c r="D1740" s="3">
        <v>90.34</v>
      </c>
      <c r="E1740" s="3">
        <v>108.1</v>
      </c>
      <c r="F1740" s="3">
        <v>31</v>
      </c>
      <c r="G1740" s="3">
        <v>493.7</v>
      </c>
      <c r="H1740" s="3">
        <v>2.222</v>
      </c>
      <c r="I1740" s="13">
        <f t="shared" si="27"/>
        <v>3.4870967741935481</v>
      </c>
    </row>
    <row r="1741" spans="2:36">
      <c r="C1741" s="46">
        <v>2.831</v>
      </c>
      <c r="D1741" s="3">
        <v>99.64</v>
      </c>
      <c r="E1741" s="3">
        <v>107.5</v>
      </c>
      <c r="F1741" s="3">
        <v>30.84</v>
      </c>
      <c r="G1741" s="3">
        <v>496.5</v>
      </c>
      <c r="H1741" s="3">
        <v>2.9580000000000002</v>
      </c>
      <c r="I1741" s="13">
        <f t="shared" si="27"/>
        <v>3.4857328145265889</v>
      </c>
    </row>
    <row r="1742" spans="2:36" s="35" customFormat="1">
      <c r="B1742" s="16">
        <v>88</v>
      </c>
      <c r="C1742" s="47">
        <v>1.728</v>
      </c>
      <c r="D1742" s="16">
        <v>142.6</v>
      </c>
      <c r="E1742" s="16">
        <v>112.1</v>
      </c>
      <c r="F1742" s="16">
        <v>41.34</v>
      </c>
      <c r="G1742" s="16">
        <v>515.5</v>
      </c>
      <c r="H1742" s="16">
        <v>2.5049999999999999</v>
      </c>
      <c r="I1742" s="13">
        <f t="shared" si="27"/>
        <v>2.7116594097726168</v>
      </c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</row>
    <row r="1743" spans="2:36">
      <c r="C1743" s="46">
        <v>1.7350000000000001</v>
      </c>
      <c r="D1743" s="3">
        <v>149.9</v>
      </c>
      <c r="E1743" s="3">
        <v>112.2</v>
      </c>
      <c r="F1743" s="3">
        <v>41.13</v>
      </c>
      <c r="G1743" s="3">
        <v>503.8</v>
      </c>
      <c r="H1743" s="3">
        <v>2.3650000000000002</v>
      </c>
      <c r="I1743" s="13">
        <f t="shared" si="27"/>
        <v>2.7279358132749816</v>
      </c>
    </row>
    <row r="1744" spans="2:36">
      <c r="C1744" s="46">
        <v>1.6870000000000001</v>
      </c>
      <c r="D1744" s="3">
        <v>140.1</v>
      </c>
      <c r="E1744" s="3">
        <v>112.6</v>
      </c>
      <c r="F1744" s="3">
        <v>41.3</v>
      </c>
      <c r="G1744" s="3">
        <v>518.70000000000005</v>
      </c>
      <c r="H1744" s="3">
        <v>2.5499999999999998</v>
      </c>
      <c r="I1744" s="13">
        <f t="shared" si="27"/>
        <v>2.7263922518159807</v>
      </c>
    </row>
    <row r="1745" spans="3:9">
      <c r="C1745" s="46">
        <v>1.6910000000000001</v>
      </c>
      <c r="D1745" s="3">
        <v>135.30000000000001</v>
      </c>
      <c r="E1745" s="3">
        <v>112.4</v>
      </c>
      <c r="F1745" s="3">
        <v>41.13</v>
      </c>
      <c r="G1745" s="3">
        <v>524.20000000000005</v>
      </c>
      <c r="H1745" s="3">
        <v>2.4049999999999998</v>
      </c>
      <c r="I1745" s="13">
        <f t="shared" si="27"/>
        <v>2.7327984439581812</v>
      </c>
    </row>
    <row r="1746" spans="3:9">
      <c r="C1746" s="46">
        <v>1.716</v>
      </c>
      <c r="D1746" s="3">
        <v>144.80000000000001</v>
      </c>
      <c r="E1746" s="3">
        <v>112.8</v>
      </c>
      <c r="F1746" s="3">
        <v>41.01</v>
      </c>
      <c r="G1746" s="3">
        <v>512.4</v>
      </c>
      <c r="H1746" s="3">
        <v>2.6549999999999998</v>
      </c>
      <c r="I1746" s="13">
        <f t="shared" si="27"/>
        <v>2.7505486466715436</v>
      </c>
    </row>
    <row r="1747" spans="3:9">
      <c r="C1747" s="46">
        <v>1.73</v>
      </c>
      <c r="D1747" s="3">
        <v>130.80000000000001</v>
      </c>
      <c r="E1747" s="3">
        <v>112.9</v>
      </c>
      <c r="F1747" s="3">
        <v>41.04</v>
      </c>
      <c r="G1747" s="3">
        <v>506.1</v>
      </c>
      <c r="H1747" s="3">
        <v>2.6019999999999999</v>
      </c>
      <c r="I1747" s="13">
        <f t="shared" si="27"/>
        <v>2.7509746588693957</v>
      </c>
    </row>
    <row r="1748" spans="3:9">
      <c r="C1748" s="46">
        <v>1.726</v>
      </c>
      <c r="D1748" s="3">
        <v>145.5</v>
      </c>
      <c r="E1748" s="3">
        <v>112.7</v>
      </c>
      <c r="F1748" s="3">
        <v>41.25</v>
      </c>
      <c r="G1748" s="3">
        <v>509.1</v>
      </c>
      <c r="H1748" s="3">
        <v>2.8380000000000001</v>
      </c>
      <c r="I1748" s="13">
        <f t="shared" si="27"/>
        <v>2.7321212121212124</v>
      </c>
    </row>
    <row r="1749" spans="3:9">
      <c r="C1749" s="46">
        <v>1.714</v>
      </c>
      <c r="D1749" s="3">
        <v>127.6</v>
      </c>
      <c r="E1749" s="3">
        <v>112.8</v>
      </c>
      <c r="F1749" s="3">
        <v>41.16</v>
      </c>
      <c r="G1749" s="3">
        <v>510.1</v>
      </c>
      <c r="H1749" s="3">
        <v>2.6819999999999999</v>
      </c>
      <c r="I1749" s="13">
        <f t="shared" si="27"/>
        <v>2.740524781341108</v>
      </c>
    </row>
    <row r="1750" spans="3:9">
      <c r="C1750" s="46">
        <v>1.728</v>
      </c>
      <c r="D1750" s="3">
        <v>137.5</v>
      </c>
      <c r="E1750" s="3">
        <v>112.6</v>
      </c>
      <c r="F1750" s="3">
        <v>40.97</v>
      </c>
      <c r="G1750" s="3">
        <v>518.29999999999995</v>
      </c>
      <c r="H1750" s="3">
        <v>2.4159999999999999</v>
      </c>
      <c r="I1750" s="13">
        <f t="shared" ref="I1750:I1813" si="28">E1750/F1750</f>
        <v>2.7483524530144008</v>
      </c>
    </row>
    <row r="1751" spans="3:9">
      <c r="C1751" s="46">
        <v>1.73</v>
      </c>
      <c r="D1751" s="3">
        <v>156.6</v>
      </c>
      <c r="E1751" s="3">
        <v>112.7</v>
      </c>
      <c r="F1751" s="3">
        <v>41.13</v>
      </c>
      <c r="G1751" s="3">
        <v>511</v>
      </c>
      <c r="H1751" s="3">
        <v>2.5049999999999999</v>
      </c>
      <c r="I1751" s="13">
        <f t="shared" si="28"/>
        <v>2.7400923899829808</v>
      </c>
    </row>
    <row r="1752" spans="3:9">
      <c r="C1752" s="46">
        <v>1.7170000000000001</v>
      </c>
      <c r="D1752" s="3">
        <v>184.2</v>
      </c>
      <c r="E1752" s="3">
        <v>112.6</v>
      </c>
      <c r="F1752" s="3">
        <v>41.16</v>
      </c>
      <c r="G1752" s="3">
        <v>508.3</v>
      </c>
      <c r="H1752" s="3">
        <v>3.012</v>
      </c>
      <c r="I1752" s="13">
        <f t="shared" si="28"/>
        <v>2.7356656948493683</v>
      </c>
    </row>
    <row r="1753" spans="3:9">
      <c r="C1753" s="46">
        <v>1.728</v>
      </c>
      <c r="D1753" s="3">
        <v>171.3</v>
      </c>
      <c r="E1753" s="3">
        <v>112.2</v>
      </c>
      <c r="F1753" s="3">
        <v>41.01</v>
      </c>
      <c r="G1753" s="3">
        <v>517.1</v>
      </c>
      <c r="H1753" s="3">
        <v>2.8780000000000001</v>
      </c>
      <c r="I1753" s="13">
        <f t="shared" si="28"/>
        <v>2.7359180687637163</v>
      </c>
    </row>
    <row r="1754" spans="3:9">
      <c r="C1754" s="46">
        <v>1.706</v>
      </c>
      <c r="D1754" s="3">
        <v>151.4</v>
      </c>
      <c r="E1754" s="3">
        <v>112.3</v>
      </c>
      <c r="F1754" s="3">
        <v>40.51</v>
      </c>
      <c r="G1754" s="3">
        <v>516.20000000000005</v>
      </c>
      <c r="H1754" s="3">
        <v>2.6659999999999999</v>
      </c>
      <c r="I1754" s="13">
        <f t="shared" si="28"/>
        <v>2.772155023451</v>
      </c>
    </row>
    <row r="1755" spans="3:9">
      <c r="C1755" s="46">
        <v>1.7350000000000001</v>
      </c>
      <c r="D1755" s="3">
        <v>140.1</v>
      </c>
      <c r="E1755" s="3">
        <v>113</v>
      </c>
      <c r="F1755" s="3">
        <v>41</v>
      </c>
      <c r="G1755" s="3">
        <v>515.6</v>
      </c>
      <c r="H1755" s="3">
        <v>2.4750000000000001</v>
      </c>
      <c r="I1755" s="13">
        <f t="shared" si="28"/>
        <v>2.7560975609756095</v>
      </c>
    </row>
    <row r="1756" spans="3:9">
      <c r="C1756" s="46">
        <v>1.73</v>
      </c>
      <c r="D1756" s="3">
        <v>138.69999999999999</v>
      </c>
      <c r="E1756" s="3">
        <v>112.7</v>
      </c>
      <c r="F1756" s="3">
        <v>41.61</v>
      </c>
      <c r="G1756" s="3">
        <v>510.7</v>
      </c>
      <c r="H1756" s="3">
        <v>2.6930000000000001</v>
      </c>
      <c r="I1756" s="13">
        <f t="shared" si="28"/>
        <v>2.7084835376111513</v>
      </c>
    </row>
    <row r="1757" spans="3:9">
      <c r="C1757" s="46">
        <v>1.675</v>
      </c>
      <c r="D1757" s="3">
        <v>135.30000000000001</v>
      </c>
      <c r="E1757" s="3">
        <v>112.6</v>
      </c>
      <c r="F1757" s="3">
        <v>41.24</v>
      </c>
      <c r="G1757" s="3">
        <v>505</v>
      </c>
      <c r="H1757" s="3">
        <v>2.9620000000000002</v>
      </c>
      <c r="I1757" s="13">
        <f t="shared" si="28"/>
        <v>2.7303588748787582</v>
      </c>
    </row>
    <row r="1758" spans="3:9">
      <c r="C1758" s="46">
        <v>1.6639999999999999</v>
      </c>
      <c r="D1758" s="3">
        <v>133</v>
      </c>
      <c r="E1758" s="3">
        <v>112.3</v>
      </c>
      <c r="F1758" s="3">
        <v>41.08</v>
      </c>
      <c r="G1758" s="3">
        <v>505.9</v>
      </c>
      <c r="H1758" s="3">
        <v>3.044</v>
      </c>
      <c r="I1758" s="13">
        <f t="shared" si="28"/>
        <v>2.733690360272639</v>
      </c>
    </row>
    <row r="1759" spans="3:9">
      <c r="C1759" s="46">
        <v>1.71</v>
      </c>
      <c r="D1759" s="3">
        <v>143.19999999999999</v>
      </c>
      <c r="E1759" s="3">
        <v>112.8</v>
      </c>
      <c r="F1759" s="3">
        <v>41.3</v>
      </c>
      <c r="G1759" s="3">
        <v>502.7</v>
      </c>
      <c r="H1759" s="3">
        <v>3.48</v>
      </c>
      <c r="I1759" s="13">
        <f t="shared" si="28"/>
        <v>2.7312348668280872</v>
      </c>
    </row>
    <row r="1760" spans="3:9">
      <c r="C1760" s="46">
        <v>1.7270000000000001</v>
      </c>
      <c r="D1760" s="3">
        <v>170.6</v>
      </c>
      <c r="E1760" s="3">
        <v>112.4</v>
      </c>
      <c r="F1760" s="3">
        <v>41.47</v>
      </c>
      <c r="G1760" s="3">
        <v>506.2</v>
      </c>
      <c r="H1760" s="3">
        <v>2.8780000000000001</v>
      </c>
      <c r="I1760" s="13">
        <f t="shared" si="28"/>
        <v>2.7103930552206417</v>
      </c>
    </row>
    <row r="1761" spans="2:36">
      <c r="C1761" s="46">
        <v>1.712</v>
      </c>
      <c r="D1761" s="3">
        <v>166.8</v>
      </c>
      <c r="E1761" s="3">
        <v>112.5</v>
      </c>
      <c r="F1761" s="3">
        <v>41.08</v>
      </c>
      <c r="G1761" s="3">
        <v>518.9</v>
      </c>
      <c r="H1761" s="3">
        <v>2.4929999999999999</v>
      </c>
      <c r="I1761" s="13">
        <f t="shared" si="28"/>
        <v>2.7385589094449854</v>
      </c>
    </row>
    <row r="1762" spans="2:36" s="35" customFormat="1">
      <c r="B1762" s="16">
        <v>89</v>
      </c>
      <c r="C1762" s="47">
        <v>3.4020000000000001</v>
      </c>
      <c r="D1762" s="16">
        <v>114.7</v>
      </c>
      <c r="E1762" s="16">
        <v>114.6</v>
      </c>
      <c r="F1762" s="16">
        <v>35.6</v>
      </c>
      <c r="G1762" s="16">
        <v>493.3</v>
      </c>
      <c r="H1762" s="16">
        <v>3.01</v>
      </c>
      <c r="I1762" s="13">
        <f t="shared" si="28"/>
        <v>3.2191011235955052</v>
      </c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</row>
    <row r="1763" spans="2:36">
      <c r="C1763" s="46">
        <v>3.431</v>
      </c>
      <c r="D1763" s="3">
        <v>105.1</v>
      </c>
      <c r="E1763" s="3">
        <v>114.7</v>
      </c>
      <c r="F1763" s="3">
        <v>35.17</v>
      </c>
      <c r="G1763" s="3">
        <v>497.4</v>
      </c>
      <c r="H1763" s="3">
        <v>2.8170000000000002</v>
      </c>
      <c r="I1763" s="13">
        <f t="shared" si="28"/>
        <v>3.2613022462325847</v>
      </c>
    </row>
    <row r="1764" spans="2:36">
      <c r="C1764" s="46">
        <v>3.4039999999999999</v>
      </c>
      <c r="D1764" s="3">
        <v>104.5</v>
      </c>
      <c r="E1764" s="3">
        <v>114.9</v>
      </c>
      <c r="F1764" s="3">
        <v>35.04</v>
      </c>
      <c r="G1764" s="3">
        <v>494.9</v>
      </c>
      <c r="H1764" s="3">
        <v>2.0099999999999998</v>
      </c>
      <c r="I1764" s="13">
        <f t="shared" si="28"/>
        <v>3.279109589041096</v>
      </c>
    </row>
    <row r="1765" spans="2:36">
      <c r="C1765" s="46">
        <v>3.4220000000000002</v>
      </c>
      <c r="D1765" s="3">
        <v>103</v>
      </c>
      <c r="E1765" s="3">
        <v>114.8</v>
      </c>
      <c r="F1765" s="3">
        <v>35.270000000000003</v>
      </c>
      <c r="G1765" s="3">
        <v>501.4</v>
      </c>
      <c r="H1765" s="3">
        <v>3.202</v>
      </c>
      <c r="I1765" s="13">
        <f t="shared" si="28"/>
        <v>3.2548908420754179</v>
      </c>
    </row>
    <row r="1766" spans="2:36">
      <c r="C1766" s="46">
        <v>3.395</v>
      </c>
      <c r="D1766" s="3">
        <v>120.3</v>
      </c>
      <c r="E1766" s="3">
        <v>115</v>
      </c>
      <c r="F1766" s="3">
        <v>35.229999999999997</v>
      </c>
      <c r="G1766" s="3">
        <v>493.9</v>
      </c>
      <c r="H1766" s="3">
        <v>2.4649999999999999</v>
      </c>
      <c r="I1766" s="13">
        <f t="shared" si="28"/>
        <v>3.2642634118648881</v>
      </c>
    </row>
    <row r="1767" spans="2:36">
      <c r="C1767" s="46">
        <v>3.411</v>
      </c>
      <c r="D1767" s="3">
        <v>134.6</v>
      </c>
      <c r="E1767" s="3">
        <v>114.5</v>
      </c>
      <c r="F1767" s="3">
        <v>35.54</v>
      </c>
      <c r="G1767" s="3">
        <v>501.5</v>
      </c>
      <c r="H1767" s="3">
        <v>3.3140000000000001</v>
      </c>
      <c r="I1767" s="13">
        <f t="shared" si="28"/>
        <v>3.2217220033764771</v>
      </c>
    </row>
    <row r="1768" spans="2:36">
      <c r="C1768" s="46">
        <v>3.4409999999999998</v>
      </c>
      <c r="D1768" s="3">
        <v>106.9</v>
      </c>
      <c r="E1768" s="3">
        <v>114.6</v>
      </c>
      <c r="F1768" s="3">
        <v>35.32</v>
      </c>
      <c r="G1768" s="3">
        <v>506</v>
      </c>
      <c r="H1768" s="3">
        <v>3.2330000000000001</v>
      </c>
      <c r="I1768" s="13">
        <f t="shared" si="28"/>
        <v>3.2446206115515288</v>
      </c>
    </row>
    <row r="1769" spans="2:36">
      <c r="C1769" s="46">
        <v>3.4340000000000002</v>
      </c>
      <c r="D1769" s="3">
        <v>105.1</v>
      </c>
      <c r="E1769" s="3">
        <v>114.9</v>
      </c>
      <c r="F1769" s="3">
        <v>35.44</v>
      </c>
      <c r="G1769" s="3">
        <v>504.5</v>
      </c>
      <c r="H1769" s="3">
        <v>3.891</v>
      </c>
      <c r="I1769" s="13">
        <f t="shared" si="28"/>
        <v>3.2420993227990973</v>
      </c>
    </row>
    <row r="1770" spans="2:36">
      <c r="C1770" s="46">
        <v>3.3959999999999999</v>
      </c>
      <c r="D1770" s="3">
        <v>106.5</v>
      </c>
      <c r="E1770" s="3">
        <v>114.7</v>
      </c>
      <c r="F1770" s="3">
        <v>35.29</v>
      </c>
      <c r="G1770" s="3">
        <v>501.9</v>
      </c>
      <c r="H1770" s="3">
        <v>2.5</v>
      </c>
      <c r="I1770" s="13">
        <f t="shared" si="28"/>
        <v>3.2502125247945597</v>
      </c>
    </row>
    <row r="1771" spans="2:36">
      <c r="C1771" s="46">
        <v>3.3370000000000002</v>
      </c>
      <c r="D1771" s="3">
        <v>103.3</v>
      </c>
      <c r="E1771" s="3">
        <v>114.6</v>
      </c>
      <c r="F1771" s="3">
        <v>35.1</v>
      </c>
      <c r="G1771" s="3">
        <v>493.9</v>
      </c>
      <c r="H1771" s="3">
        <v>2.8170000000000002</v>
      </c>
      <c r="I1771" s="13">
        <f t="shared" si="28"/>
        <v>3.2649572649572645</v>
      </c>
    </row>
    <row r="1772" spans="2:36">
      <c r="C1772" s="46">
        <v>3.3940000000000001</v>
      </c>
      <c r="D1772" s="3">
        <v>109.6</v>
      </c>
      <c r="E1772" s="3">
        <v>114.9</v>
      </c>
      <c r="F1772" s="3">
        <v>35.36</v>
      </c>
      <c r="G1772" s="3">
        <v>499.3</v>
      </c>
      <c r="H1772" s="3">
        <v>2.4649999999999999</v>
      </c>
      <c r="I1772" s="13">
        <f t="shared" si="28"/>
        <v>3.2494343891402715</v>
      </c>
    </row>
    <row r="1773" spans="2:36">
      <c r="C1773" s="46">
        <v>3.3959999999999999</v>
      </c>
      <c r="D1773" s="3">
        <v>134.9</v>
      </c>
      <c r="E1773" s="3">
        <v>115</v>
      </c>
      <c r="F1773" s="3">
        <v>35.74</v>
      </c>
      <c r="G1773" s="3">
        <v>500.6</v>
      </c>
      <c r="H1773" s="3">
        <v>3.3740000000000001</v>
      </c>
      <c r="I1773" s="13">
        <f t="shared" si="28"/>
        <v>3.217683268047006</v>
      </c>
    </row>
    <row r="1774" spans="2:36">
      <c r="C1774" s="46">
        <v>3.4340000000000002</v>
      </c>
      <c r="D1774" s="3">
        <v>104.5</v>
      </c>
      <c r="E1774" s="3">
        <v>115.2</v>
      </c>
      <c r="F1774" s="3">
        <v>35.229999999999997</v>
      </c>
      <c r="G1774" s="3">
        <v>498.7</v>
      </c>
      <c r="H1774" s="3">
        <v>3.2469999999999999</v>
      </c>
      <c r="I1774" s="13">
        <f t="shared" si="28"/>
        <v>3.2699403917116099</v>
      </c>
    </row>
    <row r="1775" spans="2:36">
      <c r="C1775" s="46">
        <v>3.411</v>
      </c>
      <c r="D1775" s="3">
        <v>134.1</v>
      </c>
      <c r="E1775" s="3">
        <v>115.3</v>
      </c>
      <c r="F1775" s="3">
        <v>35.92</v>
      </c>
      <c r="G1775" s="3">
        <v>499.8</v>
      </c>
      <c r="H1775" s="3">
        <v>2.9980000000000002</v>
      </c>
      <c r="I1775" s="13">
        <f t="shared" si="28"/>
        <v>3.2099109131403116</v>
      </c>
    </row>
    <row r="1776" spans="2:36">
      <c r="C1776" s="46">
        <v>3.431</v>
      </c>
      <c r="D1776" s="3">
        <v>119.2</v>
      </c>
      <c r="E1776" s="3">
        <v>115.1</v>
      </c>
      <c r="F1776" s="3">
        <v>35.65</v>
      </c>
      <c r="G1776" s="3">
        <v>501</v>
      </c>
      <c r="H1776" s="3">
        <v>4.29</v>
      </c>
      <c r="I1776" s="13">
        <f t="shared" si="28"/>
        <v>3.2286115007012621</v>
      </c>
    </row>
    <row r="1777" spans="2:36">
      <c r="C1777" s="46">
        <v>3.4380000000000002</v>
      </c>
      <c r="D1777" s="3">
        <v>134.1</v>
      </c>
      <c r="E1777" s="3">
        <v>115</v>
      </c>
      <c r="F1777" s="3">
        <v>34.97</v>
      </c>
      <c r="G1777" s="3">
        <v>503.2</v>
      </c>
      <c r="H1777" s="3">
        <v>4.0599999999999996</v>
      </c>
      <c r="I1777" s="13">
        <f t="shared" si="28"/>
        <v>3.2885330283099803</v>
      </c>
    </row>
    <row r="1778" spans="2:36">
      <c r="C1778" s="46">
        <v>3.4329999999999998</v>
      </c>
      <c r="D1778" s="3">
        <v>104.5</v>
      </c>
      <c r="E1778" s="3">
        <v>115.4</v>
      </c>
      <c r="F1778" s="3">
        <v>35.25</v>
      </c>
      <c r="G1778" s="3">
        <v>499.5</v>
      </c>
      <c r="H1778" s="3">
        <v>4.97</v>
      </c>
      <c r="I1778" s="13">
        <f t="shared" si="28"/>
        <v>3.2737588652482272</v>
      </c>
    </row>
    <row r="1779" spans="2:36">
      <c r="C1779" s="46">
        <v>3.3959999999999999</v>
      </c>
      <c r="D1779" s="3">
        <v>103.6</v>
      </c>
      <c r="E1779" s="3">
        <v>114.9</v>
      </c>
      <c r="F1779" s="3">
        <v>35.36</v>
      </c>
      <c r="G1779" s="3">
        <v>497.8</v>
      </c>
      <c r="H1779" s="3">
        <v>2.181</v>
      </c>
      <c r="I1779" s="13">
        <f t="shared" si="28"/>
        <v>3.2494343891402715</v>
      </c>
    </row>
    <row r="1780" spans="2:36">
      <c r="C1780" s="46">
        <v>3.3559999999999999</v>
      </c>
      <c r="D1780" s="3">
        <v>114.7</v>
      </c>
      <c r="E1780" s="3">
        <v>114.7</v>
      </c>
      <c r="F1780" s="3">
        <v>35.47</v>
      </c>
      <c r="G1780" s="3">
        <v>491.1</v>
      </c>
      <c r="H1780" s="3">
        <v>3.16</v>
      </c>
      <c r="I1780" s="13">
        <f t="shared" si="28"/>
        <v>3.2337186354665919</v>
      </c>
    </row>
    <row r="1781" spans="2:36">
      <c r="C1781" s="46">
        <v>3.42</v>
      </c>
      <c r="D1781" s="3">
        <v>125.7</v>
      </c>
      <c r="E1781" s="3">
        <v>115.2</v>
      </c>
      <c r="F1781" s="3">
        <v>35.21</v>
      </c>
      <c r="G1781" s="3">
        <v>488.5</v>
      </c>
      <c r="H1781" s="3">
        <v>1.274</v>
      </c>
      <c r="I1781" s="13">
        <f t="shared" si="28"/>
        <v>3.27179778472025</v>
      </c>
    </row>
    <row r="1782" spans="2:36" s="35" customFormat="1">
      <c r="B1782" s="16">
        <v>90</v>
      </c>
      <c r="C1782" s="47">
        <v>1.8939999999999999</v>
      </c>
      <c r="D1782" s="16">
        <v>179.3</v>
      </c>
      <c r="E1782" s="16">
        <v>97.46</v>
      </c>
      <c r="F1782" s="16">
        <v>24.63</v>
      </c>
      <c r="G1782" s="30">
        <v>489.7</v>
      </c>
      <c r="H1782" s="16">
        <v>2.9569999999999999</v>
      </c>
      <c r="I1782" s="13">
        <f t="shared" si="28"/>
        <v>3.9569630531871702</v>
      </c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</row>
    <row r="1783" spans="2:36">
      <c r="C1783" s="46">
        <v>1.9690000000000001</v>
      </c>
      <c r="D1783" s="3">
        <v>129</v>
      </c>
      <c r="E1783" s="3">
        <v>97.56</v>
      </c>
      <c r="F1783" s="3">
        <v>24.77</v>
      </c>
      <c r="G1783" s="30">
        <v>495.5</v>
      </c>
      <c r="H1783" s="3">
        <v>2.827</v>
      </c>
      <c r="I1783" s="13">
        <f t="shared" si="28"/>
        <v>3.9386354461041586</v>
      </c>
    </row>
    <row r="1784" spans="2:36">
      <c r="C1784" s="46">
        <v>1.915</v>
      </c>
      <c r="D1784" s="3">
        <v>120.7</v>
      </c>
      <c r="E1784" s="3">
        <v>97.62</v>
      </c>
      <c r="F1784" s="3">
        <v>24.31</v>
      </c>
      <c r="G1784" s="30">
        <v>497.9</v>
      </c>
      <c r="H1784" s="3">
        <v>2.7450000000000001</v>
      </c>
      <c r="I1784" s="13">
        <f t="shared" si="28"/>
        <v>4.0156314273961335</v>
      </c>
    </row>
    <row r="1785" spans="2:36">
      <c r="C1785" s="46">
        <v>1.986</v>
      </c>
      <c r="D1785" s="3">
        <v>118.9</v>
      </c>
      <c r="E1785" s="3">
        <v>97.65</v>
      </c>
      <c r="F1785" s="3">
        <v>24.87</v>
      </c>
      <c r="G1785" s="30">
        <v>496.4</v>
      </c>
      <c r="H1785" s="3">
        <v>2.7559999999999998</v>
      </c>
      <c r="I1785" s="13">
        <f t="shared" si="28"/>
        <v>3.9264173703256935</v>
      </c>
    </row>
    <row r="1786" spans="2:36">
      <c r="C1786" s="46">
        <v>1.9530000000000001</v>
      </c>
      <c r="D1786" s="3">
        <v>133</v>
      </c>
      <c r="E1786" s="3">
        <v>97.72</v>
      </c>
      <c r="F1786" s="3">
        <v>24.39</v>
      </c>
      <c r="G1786" s="30">
        <v>495.8</v>
      </c>
      <c r="H1786" s="3">
        <v>2.843</v>
      </c>
      <c r="I1786" s="13">
        <f t="shared" si="28"/>
        <v>4.0065600656006559</v>
      </c>
    </row>
    <row r="1787" spans="2:36">
      <c r="C1787" s="46">
        <v>1.94</v>
      </c>
      <c r="D1787" s="3">
        <v>148.5</v>
      </c>
      <c r="E1787" s="3">
        <v>97.75</v>
      </c>
      <c r="F1787" s="3">
        <v>24.54</v>
      </c>
      <c r="G1787" s="30">
        <v>482.2</v>
      </c>
      <c r="H1787" s="3">
        <v>2.9750000000000001</v>
      </c>
      <c r="I1787" s="13">
        <f t="shared" si="28"/>
        <v>3.9832925835370823</v>
      </c>
    </row>
    <row r="1788" spans="2:36">
      <c r="C1788" s="46">
        <v>1.9770000000000001</v>
      </c>
      <c r="D1788" s="3">
        <v>168.3</v>
      </c>
      <c r="E1788" s="3">
        <v>97.08</v>
      </c>
      <c r="F1788" s="3">
        <v>24.58</v>
      </c>
      <c r="G1788" s="30">
        <v>477.4</v>
      </c>
      <c r="H1788" s="3">
        <v>3.0720000000000001</v>
      </c>
      <c r="I1788" s="13">
        <f t="shared" si="28"/>
        <v>3.9495524816924332</v>
      </c>
    </row>
    <row r="1789" spans="2:36">
      <c r="C1789" s="46">
        <v>1.9410000000000001</v>
      </c>
      <c r="D1789" s="3">
        <v>185.4</v>
      </c>
      <c r="E1789" s="3">
        <v>96.51</v>
      </c>
      <c r="F1789" s="3">
        <v>25.15</v>
      </c>
      <c r="G1789" s="30">
        <v>470.7</v>
      </c>
      <c r="H1789" s="3">
        <v>3.1059999999999999</v>
      </c>
      <c r="I1789" s="13">
        <f t="shared" si="28"/>
        <v>3.8373757455268396</v>
      </c>
    </row>
    <row r="1790" spans="2:36">
      <c r="C1790" s="46">
        <v>1.887</v>
      </c>
      <c r="D1790" s="3">
        <v>159.1</v>
      </c>
      <c r="E1790" s="3">
        <v>96.57</v>
      </c>
      <c r="F1790" s="3">
        <v>24.68</v>
      </c>
      <c r="G1790" s="30">
        <v>475.2</v>
      </c>
      <c r="H1790" s="3">
        <v>2.9569999999999999</v>
      </c>
      <c r="I1790" s="13">
        <f t="shared" si="28"/>
        <v>3.9128849270664503</v>
      </c>
    </row>
    <row r="1791" spans="2:36">
      <c r="C1791" s="46">
        <v>1.782</v>
      </c>
      <c r="D1791" s="3">
        <v>148</v>
      </c>
      <c r="E1791" s="3">
        <v>97.49</v>
      </c>
      <c r="F1791" s="3">
        <v>24.87</v>
      </c>
      <c r="G1791" s="30">
        <v>476.7</v>
      </c>
      <c r="H1791" s="3">
        <v>2.827</v>
      </c>
      <c r="I1791" s="13">
        <f t="shared" si="28"/>
        <v>3.9199839163650982</v>
      </c>
    </row>
    <row r="1792" spans="2:36">
      <c r="C1792" s="46">
        <v>1.85</v>
      </c>
      <c r="D1792" s="3">
        <v>136.80000000000001</v>
      </c>
      <c r="E1792" s="3">
        <v>96.86</v>
      </c>
      <c r="F1792" s="3">
        <v>24.92</v>
      </c>
      <c r="G1792" s="30">
        <v>481.9</v>
      </c>
      <c r="H1792" s="3">
        <v>2.7450000000000001</v>
      </c>
      <c r="I1792" s="13">
        <f t="shared" si="28"/>
        <v>3.8868378812199036</v>
      </c>
    </row>
    <row r="1793" spans="2:36">
      <c r="C1793" s="46">
        <v>1.8939999999999999</v>
      </c>
      <c r="D1793" s="3">
        <v>124.5</v>
      </c>
      <c r="E1793" s="3">
        <v>97.43</v>
      </c>
      <c r="F1793" s="3">
        <v>24.82</v>
      </c>
      <c r="G1793" s="30">
        <v>481.7</v>
      </c>
      <c r="H1793" s="3">
        <v>2.581</v>
      </c>
      <c r="I1793" s="13">
        <f t="shared" si="28"/>
        <v>3.9254633360193396</v>
      </c>
    </row>
    <row r="1794" spans="2:36">
      <c r="C1794" s="46">
        <v>1.9690000000000001</v>
      </c>
      <c r="D1794" s="3">
        <v>123.6</v>
      </c>
      <c r="E1794" s="3">
        <v>98.07</v>
      </c>
      <c r="F1794" s="3">
        <v>24.39</v>
      </c>
      <c r="G1794" s="30">
        <v>484.2</v>
      </c>
      <c r="H1794" s="3">
        <v>2.44</v>
      </c>
      <c r="I1794" s="13">
        <f t="shared" si="28"/>
        <v>4.020910209102091</v>
      </c>
    </row>
    <row r="1795" spans="2:36">
      <c r="C1795" s="46">
        <v>1.9830000000000001</v>
      </c>
      <c r="D1795" s="3">
        <v>117</v>
      </c>
      <c r="E1795" s="3">
        <v>98.26</v>
      </c>
      <c r="F1795" s="3">
        <v>24.15</v>
      </c>
      <c r="G1795" s="30">
        <v>486.4</v>
      </c>
      <c r="H1795" s="3">
        <v>2.4740000000000002</v>
      </c>
      <c r="I1795" s="13">
        <f t="shared" si="28"/>
        <v>4.0687370600414079</v>
      </c>
    </row>
    <row r="1796" spans="2:36">
      <c r="C1796" s="46">
        <v>1.968</v>
      </c>
      <c r="D1796" s="3">
        <v>117.3</v>
      </c>
      <c r="E1796" s="3">
        <v>98.12</v>
      </c>
      <c r="F1796" s="3">
        <v>24.97</v>
      </c>
      <c r="G1796" s="30">
        <v>491.9</v>
      </c>
      <c r="H1796" s="3">
        <v>2.65</v>
      </c>
      <c r="I1796" s="13">
        <f t="shared" si="28"/>
        <v>3.929515418502203</v>
      </c>
    </row>
    <row r="1797" spans="2:36">
      <c r="C1797" s="46">
        <v>1.9710000000000001</v>
      </c>
      <c r="D1797" s="3">
        <v>118.8</v>
      </c>
      <c r="E1797" s="3">
        <v>98.29</v>
      </c>
      <c r="F1797" s="3">
        <v>24.76</v>
      </c>
      <c r="G1797" s="30">
        <v>493.9</v>
      </c>
      <c r="H1797" s="3">
        <v>2.6480000000000001</v>
      </c>
      <c r="I1797" s="13">
        <f t="shared" si="28"/>
        <v>3.969709208400646</v>
      </c>
    </row>
    <row r="1798" spans="2:36">
      <c r="C1798" s="46">
        <v>1.9430000000000001</v>
      </c>
      <c r="D1798" s="3">
        <v>115.7</v>
      </c>
      <c r="E1798" s="3">
        <v>97.24</v>
      </c>
      <c r="F1798" s="3">
        <v>24.58</v>
      </c>
      <c r="G1798" s="30">
        <v>496.5</v>
      </c>
      <c r="H1798" s="3">
        <v>2.6349999999999998</v>
      </c>
      <c r="I1798" s="13">
        <f t="shared" si="28"/>
        <v>3.9560618388934095</v>
      </c>
    </row>
    <row r="1799" spans="2:36">
      <c r="C1799" s="46">
        <v>1.8640000000000001</v>
      </c>
      <c r="D1799" s="3">
        <v>125.6</v>
      </c>
      <c r="E1799" s="3">
        <v>97.43</v>
      </c>
      <c r="F1799" s="3">
        <v>24.76</v>
      </c>
      <c r="G1799" s="30">
        <v>494.9</v>
      </c>
      <c r="H1799" s="3">
        <v>2.5390000000000001</v>
      </c>
      <c r="I1799" s="13">
        <f t="shared" si="28"/>
        <v>3.9349757673667205</v>
      </c>
    </row>
    <row r="1800" spans="2:36">
      <c r="C1800" s="46">
        <v>1.986</v>
      </c>
      <c r="D1800" s="3">
        <v>123.8</v>
      </c>
      <c r="E1800" s="3">
        <v>97.63</v>
      </c>
      <c r="F1800" s="3">
        <v>24.95</v>
      </c>
      <c r="G1800" s="30">
        <v>506.9</v>
      </c>
      <c r="H1800" s="3">
        <v>2.9750000000000001</v>
      </c>
      <c r="I1800" s="13">
        <f t="shared" si="28"/>
        <v>3.9130260521042084</v>
      </c>
    </row>
    <row r="1801" spans="2:36">
      <c r="C1801" s="46">
        <v>1.9410000000000001</v>
      </c>
      <c r="D1801" s="3">
        <v>127.6</v>
      </c>
      <c r="E1801" s="3">
        <v>97.69</v>
      </c>
      <c r="F1801" s="3">
        <v>24.7</v>
      </c>
      <c r="G1801" s="30">
        <v>482</v>
      </c>
      <c r="H1801" s="3">
        <v>2.843</v>
      </c>
      <c r="I1801" s="13">
        <f t="shared" si="28"/>
        <v>3.9550607287449391</v>
      </c>
    </row>
    <row r="1802" spans="2:36" s="35" customFormat="1">
      <c r="B1802" s="16">
        <v>91</v>
      </c>
      <c r="C1802" s="47">
        <v>1.2050000000000001</v>
      </c>
      <c r="D1802" s="16">
        <v>149.30000000000001</v>
      </c>
      <c r="E1802" s="16">
        <v>81.680000000000007</v>
      </c>
      <c r="F1802" s="16">
        <v>31.21</v>
      </c>
      <c r="G1802" s="16">
        <v>527.70000000000005</v>
      </c>
      <c r="H1802" s="16">
        <v>3.5939999999999999</v>
      </c>
      <c r="I1802" s="13">
        <f t="shared" si="28"/>
        <v>2.6171099006728613</v>
      </c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</row>
    <row r="1803" spans="2:36">
      <c r="C1803" s="46">
        <v>1.1990000000000001</v>
      </c>
      <c r="D1803" s="3">
        <v>151.69999999999999</v>
      </c>
      <c r="E1803" s="3">
        <v>82.08</v>
      </c>
      <c r="F1803" s="3">
        <v>31</v>
      </c>
      <c r="G1803" s="3">
        <v>532</v>
      </c>
      <c r="H1803" s="3">
        <v>3.4940000000000002</v>
      </c>
      <c r="I1803" s="13">
        <f t="shared" si="28"/>
        <v>2.6477419354838707</v>
      </c>
    </row>
    <row r="1804" spans="2:36">
      <c r="C1804" s="46">
        <v>1.2010000000000001</v>
      </c>
      <c r="D1804" s="3">
        <v>161</v>
      </c>
      <c r="E1804" s="3">
        <v>81.47</v>
      </c>
      <c r="F1804" s="3">
        <v>30.98</v>
      </c>
      <c r="G1804" s="3">
        <v>525.29999999999995</v>
      </c>
      <c r="H1804" s="3">
        <v>3.4289999999999998</v>
      </c>
      <c r="I1804" s="13">
        <f t="shared" si="28"/>
        <v>2.629761136216914</v>
      </c>
    </row>
    <row r="1805" spans="2:36">
      <c r="C1805" s="46">
        <v>1.1779999999999999</v>
      </c>
      <c r="D1805" s="3">
        <v>151</v>
      </c>
      <c r="E1805" s="3">
        <v>82.08</v>
      </c>
      <c r="F1805" s="3">
        <v>30.85</v>
      </c>
      <c r="G1805" s="3">
        <v>520.29999999999995</v>
      </c>
      <c r="H1805" s="3">
        <v>3.4609999999999999</v>
      </c>
      <c r="I1805" s="13">
        <f t="shared" si="28"/>
        <v>2.6606158833063209</v>
      </c>
    </row>
    <row r="1806" spans="2:36">
      <c r="C1806" s="46">
        <v>1.18</v>
      </c>
      <c r="D1806" s="3">
        <v>171.6</v>
      </c>
      <c r="E1806" s="3">
        <v>81.88</v>
      </c>
      <c r="F1806" s="3">
        <v>31.72</v>
      </c>
      <c r="G1806" s="3">
        <v>519.20000000000005</v>
      </c>
      <c r="H1806" s="3">
        <v>3.5720000000000001</v>
      </c>
      <c r="I1806" s="13">
        <f t="shared" si="28"/>
        <v>2.5813366960907942</v>
      </c>
    </row>
    <row r="1807" spans="2:36">
      <c r="C1807" s="46">
        <v>1.2090000000000001</v>
      </c>
      <c r="D1807" s="3">
        <v>170.2</v>
      </c>
      <c r="E1807" s="3">
        <v>81.86</v>
      </c>
      <c r="F1807" s="3">
        <v>31.49</v>
      </c>
      <c r="G1807" s="3">
        <v>521.79999999999995</v>
      </c>
      <c r="H1807" s="3">
        <v>3.58</v>
      </c>
      <c r="I1807" s="13">
        <f t="shared" si="28"/>
        <v>2.5995554144172752</v>
      </c>
    </row>
    <row r="1808" spans="2:36">
      <c r="C1808" s="46">
        <v>1.2250000000000001</v>
      </c>
      <c r="D1808" s="3">
        <v>151.6</v>
      </c>
      <c r="E1808" s="3">
        <v>81.739999999999995</v>
      </c>
      <c r="F1808" s="3">
        <v>31.27</v>
      </c>
      <c r="G1808" s="3">
        <v>519.1</v>
      </c>
      <c r="H1808" s="3">
        <v>3.6920000000000002</v>
      </c>
      <c r="I1808" s="13">
        <f t="shared" si="28"/>
        <v>2.6140070354972815</v>
      </c>
    </row>
    <row r="1809" spans="2:36">
      <c r="C1809" s="46">
        <v>1.2130000000000001</v>
      </c>
      <c r="D1809" s="3">
        <v>156.5</v>
      </c>
      <c r="E1809" s="3">
        <v>81.94</v>
      </c>
      <c r="F1809" s="3">
        <v>31.41</v>
      </c>
      <c r="G1809" s="3">
        <v>513.6</v>
      </c>
      <c r="H1809" s="3">
        <v>3.504</v>
      </c>
      <c r="I1809" s="13">
        <f t="shared" si="28"/>
        <v>2.6087233365170328</v>
      </c>
    </row>
    <row r="1810" spans="2:36">
      <c r="C1810" s="46">
        <v>1.1990000000000001</v>
      </c>
      <c r="D1810" s="3">
        <v>147.9</v>
      </c>
      <c r="E1810" s="3">
        <v>91.93</v>
      </c>
      <c r="F1810" s="3">
        <v>30.85</v>
      </c>
      <c r="G1810" s="3">
        <v>518.4</v>
      </c>
      <c r="H1810" s="3">
        <v>3.4940000000000002</v>
      </c>
      <c r="I1810" s="13">
        <f t="shared" si="28"/>
        <v>2.9799027552674233</v>
      </c>
    </row>
    <row r="1811" spans="2:36">
      <c r="C1811" s="46">
        <v>1.2130000000000001</v>
      </c>
      <c r="D1811" s="3">
        <v>138.5</v>
      </c>
      <c r="E1811" s="3">
        <v>81.88</v>
      </c>
      <c r="F1811" s="3">
        <v>30.82</v>
      </c>
      <c r="G1811" s="3">
        <v>507.5</v>
      </c>
      <c r="H1811" s="3">
        <v>3.4289999999999998</v>
      </c>
      <c r="I1811" s="13">
        <f t="shared" si="28"/>
        <v>2.6567164179104474</v>
      </c>
    </row>
    <row r="1812" spans="2:36">
      <c r="C1812" s="46">
        <v>1.228</v>
      </c>
      <c r="D1812" s="3">
        <v>156</v>
      </c>
      <c r="E1812" s="3">
        <v>81.680000000000007</v>
      </c>
      <c r="F1812" s="3">
        <v>30.98</v>
      </c>
      <c r="G1812" s="3">
        <v>505.7</v>
      </c>
      <c r="H1812" s="3">
        <v>3.4609999999999999</v>
      </c>
      <c r="I1812" s="13">
        <f t="shared" si="28"/>
        <v>2.6365397030342157</v>
      </c>
    </row>
    <row r="1813" spans="2:36">
      <c r="C1813" s="46">
        <v>1.173</v>
      </c>
      <c r="D1813" s="3">
        <v>149.30000000000001</v>
      </c>
      <c r="E1813" s="3">
        <v>81.739999999999995</v>
      </c>
      <c r="F1813" s="3">
        <v>30.87</v>
      </c>
      <c r="G1813" s="3">
        <v>509.2</v>
      </c>
      <c r="H1813" s="3">
        <v>3.5720000000000001</v>
      </c>
      <c r="I1813" s="13">
        <f t="shared" si="28"/>
        <v>2.6478781988986069</v>
      </c>
    </row>
    <row r="1814" spans="2:36">
      <c r="C1814" s="46">
        <v>1.159</v>
      </c>
      <c r="D1814" s="3">
        <v>162.6</v>
      </c>
      <c r="E1814" s="3">
        <v>82.06</v>
      </c>
      <c r="F1814" s="3">
        <v>30.96</v>
      </c>
      <c r="G1814" s="3">
        <v>520.1</v>
      </c>
      <c r="H1814" s="3">
        <v>3.5150000000000001</v>
      </c>
      <c r="I1814" s="13">
        <f t="shared" ref="I1814:I1877" si="29">E1814/F1814</f>
        <v>2.650516795865633</v>
      </c>
    </row>
    <row r="1815" spans="2:36">
      <c r="C1815" s="46">
        <v>1.1259999999999999</v>
      </c>
      <c r="D1815" s="3">
        <v>178.5</v>
      </c>
      <c r="E1815" s="3">
        <v>82.26</v>
      </c>
      <c r="F1815" s="3">
        <v>31.04</v>
      </c>
      <c r="G1815" s="3">
        <v>519.29999999999995</v>
      </c>
      <c r="H1815" s="3">
        <v>3.58</v>
      </c>
      <c r="I1815" s="13">
        <f t="shared" si="29"/>
        <v>2.6501288659793816</v>
      </c>
    </row>
    <row r="1816" spans="2:36">
      <c r="C1816" s="46">
        <v>1.1100000000000001</v>
      </c>
      <c r="D1816" s="3">
        <v>178.9</v>
      </c>
      <c r="E1816" s="3">
        <v>81.680000000000007</v>
      </c>
      <c r="F1816" s="3">
        <v>30.7</v>
      </c>
      <c r="G1816" s="3">
        <v>516</v>
      </c>
      <c r="H1816" s="3">
        <v>3.5939999999999999</v>
      </c>
      <c r="I1816" s="13">
        <f t="shared" si="29"/>
        <v>2.6605863192182415</v>
      </c>
    </row>
    <row r="1817" spans="2:36">
      <c r="C1817" s="46">
        <v>1.0629999999999999</v>
      </c>
      <c r="D1817" s="3">
        <v>156</v>
      </c>
      <c r="E1817" s="3">
        <v>81.260000000000005</v>
      </c>
      <c r="F1817" s="3">
        <v>30.55</v>
      </c>
      <c r="G1817" s="3">
        <v>515.79999999999995</v>
      </c>
      <c r="H1817" s="3">
        <v>3.504</v>
      </c>
      <c r="I1817" s="13">
        <f t="shared" si="29"/>
        <v>2.6599018003273325</v>
      </c>
    </row>
    <row r="1818" spans="2:36">
      <c r="C1818" s="46">
        <v>1.081</v>
      </c>
      <c r="D1818" s="3">
        <v>164.1</v>
      </c>
      <c r="E1818" s="3">
        <v>81.459999999999994</v>
      </c>
      <c r="F1818" s="3">
        <v>30.63</v>
      </c>
      <c r="G1818" s="3">
        <v>518.6</v>
      </c>
      <c r="H1818" s="3">
        <v>3.4780000000000002</v>
      </c>
      <c r="I1818" s="13">
        <f t="shared" si="29"/>
        <v>2.6594841658504733</v>
      </c>
    </row>
    <row r="1819" spans="2:36">
      <c r="C1819" s="46">
        <v>1.1100000000000001</v>
      </c>
      <c r="D1819" s="3">
        <v>143.30000000000001</v>
      </c>
      <c r="E1819" s="3">
        <v>81.510000000000005</v>
      </c>
      <c r="F1819" s="3">
        <v>30.93</v>
      </c>
      <c r="G1819" s="3">
        <v>517.29999999999995</v>
      </c>
      <c r="H1819" s="3">
        <v>3.4289999999999998</v>
      </c>
      <c r="I1819" s="13">
        <f t="shared" si="29"/>
        <v>2.6353055286129972</v>
      </c>
    </row>
    <row r="1820" spans="2:36">
      <c r="C1820" s="46">
        <v>1.1259999999999999</v>
      </c>
      <c r="D1820" s="3">
        <v>133.6</v>
      </c>
      <c r="E1820" s="3">
        <v>81.7</v>
      </c>
      <c r="F1820" s="3">
        <v>30.86</v>
      </c>
      <c r="G1820" s="3">
        <v>527.6</v>
      </c>
      <c r="H1820" s="3">
        <v>3.5150000000000001</v>
      </c>
      <c r="I1820" s="13">
        <f t="shared" si="29"/>
        <v>2.6474400518470516</v>
      </c>
    </row>
    <row r="1821" spans="2:36">
      <c r="C1821" s="46">
        <v>1.175</v>
      </c>
      <c r="D1821" s="3">
        <v>157.30000000000001</v>
      </c>
      <c r="E1821" s="3">
        <v>82.11</v>
      </c>
      <c r="F1821" s="3">
        <v>30.8</v>
      </c>
      <c r="G1821" s="3">
        <v>525.70000000000005</v>
      </c>
      <c r="H1821" s="3">
        <v>3.49</v>
      </c>
      <c r="I1821" s="13">
        <f t="shared" si="29"/>
        <v>2.665909090909091</v>
      </c>
    </row>
    <row r="1822" spans="2:36" s="35" customFormat="1">
      <c r="B1822" s="16">
        <v>92</v>
      </c>
      <c r="C1822" s="47">
        <v>1.367</v>
      </c>
      <c r="D1822" s="16">
        <v>86.9</v>
      </c>
      <c r="E1822" s="16">
        <v>86.75</v>
      </c>
      <c r="F1822" s="16">
        <v>28.34</v>
      </c>
      <c r="G1822" s="16">
        <v>484.6</v>
      </c>
      <c r="H1822" s="16">
        <v>2.7639999999999998</v>
      </c>
      <c r="I1822" s="13">
        <f t="shared" si="29"/>
        <v>3.0610444601270288</v>
      </c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</row>
    <row r="1823" spans="2:36">
      <c r="C1823" s="46">
        <v>1.353</v>
      </c>
      <c r="D1823" s="3">
        <v>110.1</v>
      </c>
      <c r="E1823" s="3">
        <v>86.56</v>
      </c>
      <c r="F1823" s="3">
        <v>28.42</v>
      </c>
      <c r="G1823" s="3">
        <v>489.6</v>
      </c>
      <c r="H1823" s="3">
        <v>2.9729999999999999</v>
      </c>
      <c r="I1823" s="13">
        <f t="shared" si="29"/>
        <v>3.0457424349049962</v>
      </c>
    </row>
    <row r="1824" spans="2:36">
      <c r="C1824" s="46">
        <v>1.3460000000000001</v>
      </c>
      <c r="D1824" s="3">
        <v>88.93</v>
      </c>
      <c r="E1824" s="3">
        <v>86.65</v>
      </c>
      <c r="F1824" s="3">
        <v>28.02</v>
      </c>
      <c r="G1824" s="3">
        <v>495.4</v>
      </c>
      <c r="H1824" s="3">
        <v>3.12</v>
      </c>
      <c r="I1824" s="13">
        <f t="shared" si="29"/>
        <v>3.0924339757316206</v>
      </c>
    </row>
    <row r="1825" spans="3:9">
      <c r="C1825" s="46">
        <v>1.3380000000000001</v>
      </c>
      <c r="D1825" s="3">
        <v>90.31</v>
      </c>
      <c r="E1825" s="3">
        <v>87.09</v>
      </c>
      <c r="F1825" s="3">
        <v>27.79</v>
      </c>
      <c r="G1825" s="3">
        <v>502.6</v>
      </c>
      <c r="H1825" s="3">
        <v>3.2160000000000002</v>
      </c>
      <c r="I1825" s="13">
        <f t="shared" si="29"/>
        <v>3.1338611011155093</v>
      </c>
    </row>
    <row r="1826" spans="3:9">
      <c r="C1826" s="46">
        <v>1.3420000000000001</v>
      </c>
      <c r="D1826" s="3">
        <v>97.19</v>
      </c>
      <c r="E1826" s="3">
        <v>86.78</v>
      </c>
      <c r="F1826" s="3">
        <v>28</v>
      </c>
      <c r="G1826" s="3">
        <v>509.9</v>
      </c>
      <c r="H1826" s="3">
        <v>3.4660000000000002</v>
      </c>
      <c r="I1826" s="13">
        <f t="shared" si="29"/>
        <v>3.0992857142857142</v>
      </c>
    </row>
    <row r="1827" spans="3:9">
      <c r="C1827" s="46">
        <v>1.345</v>
      </c>
      <c r="D1827" s="3">
        <v>105.1</v>
      </c>
      <c r="E1827" s="3">
        <v>87.34</v>
      </c>
      <c r="F1827" s="3">
        <v>28.2</v>
      </c>
      <c r="G1827" s="3">
        <v>501.1</v>
      </c>
      <c r="H1827" s="3">
        <v>3.3679999999999999</v>
      </c>
      <c r="I1827" s="13">
        <f t="shared" si="29"/>
        <v>3.0971631205673762</v>
      </c>
    </row>
    <row r="1828" spans="3:9">
      <c r="C1828" s="46">
        <v>1.3460000000000001</v>
      </c>
      <c r="D1828" s="3">
        <v>114.3</v>
      </c>
      <c r="E1828" s="3">
        <v>86.54</v>
      </c>
      <c r="F1828" s="3">
        <v>28.36</v>
      </c>
      <c r="G1828" s="3">
        <v>510.5</v>
      </c>
      <c r="H1828" s="3">
        <v>2.9729999999999999</v>
      </c>
      <c r="I1828" s="13">
        <f t="shared" si="29"/>
        <v>3.0514809590973204</v>
      </c>
    </row>
    <row r="1829" spans="3:9">
      <c r="C1829" s="46">
        <v>1.3260000000000001</v>
      </c>
      <c r="D1829" s="3">
        <v>105.1</v>
      </c>
      <c r="E1829" s="3">
        <v>87.13</v>
      </c>
      <c r="F1829" s="3">
        <v>28.5</v>
      </c>
      <c r="G1829" s="3">
        <v>506.6</v>
      </c>
      <c r="H1829" s="3">
        <v>3.141</v>
      </c>
      <c r="I1829" s="13">
        <f t="shared" si="29"/>
        <v>3.0571929824561401</v>
      </c>
    </row>
    <row r="1830" spans="3:9">
      <c r="C1830" s="46">
        <v>1.3169999999999999</v>
      </c>
      <c r="D1830" s="3">
        <v>118</v>
      </c>
      <c r="E1830" s="3">
        <v>87.41</v>
      </c>
      <c r="F1830" s="3">
        <v>28.29</v>
      </c>
      <c r="G1830" s="3">
        <v>494.4</v>
      </c>
      <c r="H1830" s="3">
        <v>3.03</v>
      </c>
      <c r="I1830" s="13">
        <f t="shared" si="29"/>
        <v>3.0897843761046304</v>
      </c>
    </row>
    <row r="1831" spans="3:9">
      <c r="C1831" s="46">
        <v>1.34</v>
      </c>
      <c r="D1831" s="3">
        <v>113.8</v>
      </c>
      <c r="E1831" s="3">
        <v>86.83</v>
      </c>
      <c r="F1831" s="3">
        <v>28.11</v>
      </c>
      <c r="G1831" s="3">
        <v>492</v>
      </c>
      <c r="H1831" s="3">
        <v>3.2690000000000001</v>
      </c>
      <c r="I1831" s="13">
        <f t="shared" si="29"/>
        <v>3.0889363215937391</v>
      </c>
    </row>
    <row r="1832" spans="3:9">
      <c r="C1832" s="46">
        <v>1.3340000000000001</v>
      </c>
      <c r="D1832" s="3">
        <v>110.1</v>
      </c>
      <c r="E1832" s="3">
        <v>86.94</v>
      </c>
      <c r="F1832" s="3">
        <v>28.32</v>
      </c>
      <c r="G1832" s="3">
        <v>491.5</v>
      </c>
      <c r="H1832" s="3">
        <v>3.1920000000000002</v>
      </c>
      <c r="I1832" s="13">
        <f t="shared" si="29"/>
        <v>3.0699152542372881</v>
      </c>
    </row>
    <row r="1833" spans="3:9">
      <c r="C1833" s="46">
        <v>1.3180000000000001</v>
      </c>
      <c r="D1833" s="3">
        <v>85.39</v>
      </c>
      <c r="E1833" s="3">
        <v>87.19</v>
      </c>
      <c r="F1833" s="3">
        <v>28.18</v>
      </c>
      <c r="G1833" s="3">
        <v>487</v>
      </c>
      <c r="H1833" s="3">
        <v>3.0030000000000001</v>
      </c>
      <c r="I1833" s="13">
        <f t="shared" si="29"/>
        <v>3.0940383250532291</v>
      </c>
    </row>
    <row r="1834" spans="3:9">
      <c r="C1834" s="46">
        <v>1.304</v>
      </c>
      <c r="D1834" s="3">
        <v>93.07</v>
      </c>
      <c r="E1834" s="3">
        <v>87.76</v>
      </c>
      <c r="F1834" s="3">
        <v>28.29</v>
      </c>
      <c r="G1834" s="3">
        <v>489.7</v>
      </c>
      <c r="H1834" s="3">
        <v>3.0169999999999999</v>
      </c>
      <c r="I1834" s="13">
        <f t="shared" si="29"/>
        <v>3.1021562389536941</v>
      </c>
    </row>
    <row r="1835" spans="3:9">
      <c r="C1835" s="46">
        <v>1.2609999999999999</v>
      </c>
      <c r="D1835" s="3">
        <v>87.94</v>
      </c>
      <c r="E1835" s="3">
        <v>88</v>
      </c>
      <c r="F1835" s="3">
        <v>28.48</v>
      </c>
      <c r="G1835" s="3">
        <v>494.1</v>
      </c>
      <c r="H1835" s="3">
        <v>2.9380000000000002</v>
      </c>
      <c r="I1835" s="13">
        <f t="shared" si="29"/>
        <v>3.089887640449438</v>
      </c>
    </row>
    <row r="1836" spans="3:9">
      <c r="C1836" s="46">
        <v>1.232</v>
      </c>
      <c r="D1836" s="3">
        <v>86.4</v>
      </c>
      <c r="E1836" s="3">
        <v>87.09</v>
      </c>
      <c r="F1836" s="3">
        <v>28.1</v>
      </c>
      <c r="G1836" s="3">
        <v>497.6</v>
      </c>
      <c r="H1836" s="3">
        <v>2.734</v>
      </c>
      <c r="I1836" s="13">
        <f t="shared" si="29"/>
        <v>3.0992882562277582</v>
      </c>
    </row>
    <row r="1837" spans="3:9">
      <c r="C1837" s="46">
        <v>1.2350000000000001</v>
      </c>
      <c r="D1837" s="3">
        <v>93.12</v>
      </c>
      <c r="E1837" s="3">
        <v>86.52</v>
      </c>
      <c r="F1837" s="3">
        <v>28.31</v>
      </c>
      <c r="G1837" s="3">
        <v>499.8</v>
      </c>
      <c r="H1837" s="3">
        <v>2.8069999999999999</v>
      </c>
      <c r="I1837" s="13">
        <f t="shared" si="29"/>
        <v>3.0561638996820912</v>
      </c>
    </row>
    <row r="1838" spans="3:9">
      <c r="C1838" s="46">
        <v>1.282</v>
      </c>
      <c r="D1838" s="3">
        <v>101.4</v>
      </c>
      <c r="E1838" s="3">
        <v>87.22</v>
      </c>
      <c r="F1838" s="3">
        <v>28.27</v>
      </c>
      <c r="G1838" s="3">
        <v>508.2</v>
      </c>
      <c r="H1838" s="3">
        <v>3.016</v>
      </c>
      <c r="I1838" s="13">
        <f t="shared" si="29"/>
        <v>3.0852493809692252</v>
      </c>
    </row>
    <row r="1839" spans="3:9">
      <c r="C1839" s="46">
        <v>1.325</v>
      </c>
      <c r="D1839" s="3">
        <v>112.5</v>
      </c>
      <c r="E1839" s="3">
        <v>86.37</v>
      </c>
      <c r="F1839" s="3">
        <v>28.07</v>
      </c>
      <c r="G1839" s="3">
        <v>495.1</v>
      </c>
      <c r="H1839" s="3">
        <v>3.2690000000000001</v>
      </c>
      <c r="I1839" s="13">
        <f t="shared" si="29"/>
        <v>3.0769504809405062</v>
      </c>
    </row>
    <row r="1840" spans="3:9">
      <c r="C1840" s="46">
        <v>1.355</v>
      </c>
      <c r="D1840" s="3">
        <v>133.69999999999999</v>
      </c>
      <c r="E1840" s="3">
        <v>86.32</v>
      </c>
      <c r="F1840" s="3">
        <v>28.29</v>
      </c>
      <c r="G1840" s="3">
        <v>504</v>
      </c>
      <c r="H1840" s="3">
        <v>3.1539999999999999</v>
      </c>
      <c r="I1840" s="13">
        <f t="shared" si="29"/>
        <v>3.0512548603746907</v>
      </c>
    </row>
    <row r="1841" spans="2:36">
      <c r="C1841" s="46">
        <v>1.369</v>
      </c>
      <c r="D1841" s="3">
        <v>113.8</v>
      </c>
      <c r="E1841" s="3">
        <v>86.83</v>
      </c>
      <c r="F1841" s="3">
        <v>28.27</v>
      </c>
      <c r="G1841" s="3">
        <v>497.6</v>
      </c>
      <c r="H1841" s="3">
        <v>3.1139999999999999</v>
      </c>
      <c r="I1841" s="13">
        <f t="shared" si="29"/>
        <v>3.071453837990803</v>
      </c>
    </row>
    <row r="1842" spans="2:36" s="35" customFormat="1">
      <c r="B1842" s="16">
        <v>93</v>
      </c>
      <c r="C1842" s="47">
        <v>2.3159999999999998</v>
      </c>
      <c r="D1842" s="16">
        <v>78.73</v>
      </c>
      <c r="E1842" s="16">
        <v>83.56</v>
      </c>
      <c r="F1842" s="16">
        <v>18.440000000000001</v>
      </c>
      <c r="G1842" s="16">
        <v>479.5</v>
      </c>
      <c r="H1842" s="16">
        <v>2.7370000000000001</v>
      </c>
      <c r="I1842" s="13">
        <f t="shared" si="29"/>
        <v>4.5314533622559647</v>
      </c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</row>
    <row r="1843" spans="2:36">
      <c r="C1843" s="46">
        <v>2.3210000000000002</v>
      </c>
      <c r="D1843" s="3">
        <v>78.040000000000006</v>
      </c>
      <c r="E1843" s="3">
        <v>83.64</v>
      </c>
      <c r="F1843" s="3">
        <v>18.34</v>
      </c>
      <c r="G1843" s="3">
        <v>477.7</v>
      </c>
      <c r="H1843" s="3">
        <v>2.4470000000000001</v>
      </c>
      <c r="I1843" s="13">
        <f t="shared" si="29"/>
        <v>4.5605234460196291</v>
      </c>
    </row>
    <row r="1844" spans="2:36">
      <c r="C1844" s="46">
        <v>2.234</v>
      </c>
      <c r="D1844" s="3">
        <v>84.56</v>
      </c>
      <c r="E1844" s="3">
        <v>84.1</v>
      </c>
      <c r="F1844" s="3">
        <v>18.510000000000002</v>
      </c>
      <c r="G1844" s="3">
        <v>473.6</v>
      </c>
      <c r="H1844" s="3">
        <v>2.431</v>
      </c>
      <c r="I1844" s="13">
        <f t="shared" si="29"/>
        <v>4.543490005402484</v>
      </c>
    </row>
    <row r="1845" spans="2:36">
      <c r="C1845" s="46">
        <v>2.3109999999999999</v>
      </c>
      <c r="D1845" s="3">
        <v>99.83</v>
      </c>
      <c r="E1845" s="3">
        <v>83.93</v>
      </c>
      <c r="F1845" s="3">
        <v>18.47</v>
      </c>
      <c r="G1845" s="3">
        <v>475.6</v>
      </c>
      <c r="H1845" s="3">
        <v>2.4729999999999999</v>
      </c>
      <c r="I1845" s="13">
        <f t="shared" si="29"/>
        <v>4.5441256090958317</v>
      </c>
    </row>
    <row r="1846" spans="2:36">
      <c r="C1846" s="46">
        <v>2.2869999999999999</v>
      </c>
      <c r="D1846" s="3">
        <v>124.1</v>
      </c>
      <c r="E1846" s="3">
        <v>83.77</v>
      </c>
      <c r="F1846" s="3">
        <v>18.190000000000001</v>
      </c>
      <c r="G1846" s="3">
        <v>476.3</v>
      </c>
      <c r="H1846" s="3">
        <v>2.4359999999999999</v>
      </c>
      <c r="I1846" s="13">
        <f t="shared" si="29"/>
        <v>4.6052776250687186</v>
      </c>
    </row>
    <row r="1847" spans="2:36">
      <c r="C1847" s="46">
        <v>2.234</v>
      </c>
      <c r="D1847" s="3">
        <v>102.6</v>
      </c>
      <c r="E1847" s="3">
        <v>83.67</v>
      </c>
      <c r="F1847" s="3">
        <v>17.920000000000002</v>
      </c>
      <c r="G1847" s="3">
        <v>475.1</v>
      </c>
      <c r="H1847" s="3">
        <v>2.5369999999999999</v>
      </c>
      <c r="I1847" s="13">
        <f t="shared" si="29"/>
        <v>4.6690848214285712</v>
      </c>
    </row>
    <row r="1848" spans="2:36">
      <c r="C1848" s="46">
        <v>2.2869999999999999</v>
      </c>
      <c r="D1848" s="3">
        <v>82.06</v>
      </c>
      <c r="E1848" s="3">
        <v>83.84</v>
      </c>
      <c r="F1848" s="3">
        <v>18.100000000000001</v>
      </c>
      <c r="G1848" s="3">
        <v>479.6</v>
      </c>
      <c r="H1848" s="3">
        <v>2.427</v>
      </c>
      <c r="I1848" s="13">
        <f t="shared" si="29"/>
        <v>4.6320441988950272</v>
      </c>
    </row>
    <row r="1849" spans="2:36">
      <c r="C1849" s="46">
        <v>2.3130000000000002</v>
      </c>
      <c r="D1849" s="3">
        <v>107.2</v>
      </c>
      <c r="E1849" s="3">
        <v>83.98</v>
      </c>
      <c r="F1849" s="3">
        <v>18.27</v>
      </c>
      <c r="G1849" s="3">
        <v>481.8</v>
      </c>
      <c r="H1849" s="3">
        <v>2.3319999999999999</v>
      </c>
      <c r="I1849" s="13">
        <f t="shared" si="29"/>
        <v>4.5966064586754243</v>
      </c>
    </row>
    <row r="1850" spans="2:36">
      <c r="C1850" s="46">
        <v>2.33</v>
      </c>
      <c r="D1850" s="3">
        <v>111.6</v>
      </c>
      <c r="E1850" s="3">
        <v>83.89</v>
      </c>
      <c r="F1850" s="3">
        <v>17.920000000000002</v>
      </c>
      <c r="G1850" s="3">
        <v>477</v>
      </c>
      <c r="H1850" s="3">
        <v>2.4180000000000001</v>
      </c>
      <c r="I1850" s="13">
        <f t="shared" si="29"/>
        <v>4.6813616071428568</v>
      </c>
    </row>
    <row r="1851" spans="2:36">
      <c r="C1851" s="46">
        <v>2.2930000000000001</v>
      </c>
      <c r="D1851" s="3">
        <v>87.84</v>
      </c>
      <c r="E1851" s="3">
        <v>83.83</v>
      </c>
      <c r="F1851" s="3">
        <v>18.010000000000002</v>
      </c>
      <c r="G1851" s="3">
        <v>481.9</v>
      </c>
      <c r="H1851" s="3">
        <v>2.5369999999999999</v>
      </c>
      <c r="I1851" s="13">
        <f t="shared" si="29"/>
        <v>4.6546363131593553</v>
      </c>
    </row>
    <row r="1852" spans="2:36">
      <c r="C1852" s="46">
        <v>2.3159999999999998</v>
      </c>
      <c r="D1852" s="3">
        <v>76.63</v>
      </c>
      <c r="E1852" s="3">
        <v>84.03</v>
      </c>
      <c r="F1852" s="3">
        <v>17.93</v>
      </c>
      <c r="G1852" s="3">
        <v>481.2</v>
      </c>
      <c r="H1852" s="3">
        <v>2.431</v>
      </c>
      <c r="I1852" s="13">
        <f t="shared" si="29"/>
        <v>4.6865588399330731</v>
      </c>
    </row>
    <row r="1853" spans="2:36">
      <c r="C1853" s="46">
        <v>2.238</v>
      </c>
      <c r="D1853" s="3">
        <v>92.72</v>
      </c>
      <c r="E1853" s="3">
        <v>84.29</v>
      </c>
      <c r="F1853" s="3">
        <v>17.920000000000002</v>
      </c>
      <c r="G1853" s="3">
        <v>478.2</v>
      </c>
      <c r="H1853" s="3">
        <v>2.456</v>
      </c>
      <c r="I1853" s="13">
        <f t="shared" si="29"/>
        <v>4.7036830357142856</v>
      </c>
    </row>
    <row r="1854" spans="2:36">
      <c r="C1854" s="46">
        <v>2.258</v>
      </c>
      <c r="D1854" s="3">
        <v>90.01</v>
      </c>
      <c r="E1854" s="3">
        <v>84.39</v>
      </c>
      <c r="F1854" s="3">
        <v>18.13</v>
      </c>
      <c r="G1854" s="3">
        <v>472.4</v>
      </c>
      <c r="H1854" s="3">
        <v>2.4569999999999999</v>
      </c>
      <c r="I1854" s="13">
        <f t="shared" si="29"/>
        <v>4.6547159404302265</v>
      </c>
    </row>
    <row r="1855" spans="2:36">
      <c r="C1855" s="46">
        <v>2.2519999999999998</v>
      </c>
      <c r="D1855" s="3">
        <v>110.5</v>
      </c>
      <c r="E1855" s="3">
        <v>83.55</v>
      </c>
      <c r="F1855" s="3">
        <v>18.02</v>
      </c>
      <c r="G1855" s="3">
        <v>473.9</v>
      </c>
      <c r="H1855" s="3">
        <v>2.1960000000000002</v>
      </c>
      <c r="I1855" s="13">
        <f t="shared" si="29"/>
        <v>4.6365149833518311</v>
      </c>
    </row>
    <row r="1856" spans="2:36">
      <c r="C1856" s="46">
        <v>2.2120000000000002</v>
      </c>
      <c r="D1856" s="3">
        <v>122.5</v>
      </c>
      <c r="E1856" s="3">
        <v>84.04</v>
      </c>
      <c r="F1856" s="3">
        <v>18.27</v>
      </c>
      <c r="G1856" s="3">
        <v>476.4</v>
      </c>
      <c r="H1856" s="3">
        <v>2.3239999999999998</v>
      </c>
      <c r="I1856" s="13">
        <f t="shared" si="29"/>
        <v>4.5998905309250144</v>
      </c>
    </row>
    <row r="1857" spans="2:36">
      <c r="C1857" s="46">
        <v>2.141</v>
      </c>
      <c r="D1857" s="3">
        <v>84.58</v>
      </c>
      <c r="E1857" s="3">
        <v>83.95</v>
      </c>
      <c r="F1857" s="3">
        <v>18.61</v>
      </c>
      <c r="G1857" s="3">
        <v>475.4</v>
      </c>
      <c r="H1857" s="3">
        <v>2.5209999999999999</v>
      </c>
      <c r="I1857" s="13">
        <f t="shared" si="29"/>
        <v>4.5110155830198817</v>
      </c>
    </row>
    <row r="1858" spans="2:36">
      <c r="C1858" s="46">
        <v>2.0710000000000002</v>
      </c>
      <c r="D1858" s="3">
        <v>71.95</v>
      </c>
      <c r="E1858" s="3">
        <v>83.81</v>
      </c>
      <c r="F1858" s="3">
        <v>18.27</v>
      </c>
      <c r="G1858" s="3">
        <v>473.7</v>
      </c>
      <c r="H1858" s="3">
        <v>2.4729999999999999</v>
      </c>
      <c r="I1858" s="13">
        <f t="shared" si="29"/>
        <v>4.5873015873015879</v>
      </c>
    </row>
    <row r="1859" spans="2:36">
      <c r="C1859" s="46">
        <v>2.0539999999999998</v>
      </c>
      <c r="D1859" s="3">
        <v>82.06</v>
      </c>
      <c r="E1859" s="3">
        <v>84.08</v>
      </c>
      <c r="F1859" s="3">
        <v>18.36</v>
      </c>
      <c r="G1859" s="3">
        <v>473.4</v>
      </c>
      <c r="H1859" s="3">
        <v>2.4359999999999999</v>
      </c>
      <c r="I1859" s="13">
        <f t="shared" si="29"/>
        <v>4.579520697167756</v>
      </c>
    </row>
    <row r="1860" spans="2:36">
      <c r="C1860" s="46">
        <v>2.0030000000000001</v>
      </c>
      <c r="D1860" s="3">
        <v>102.6</v>
      </c>
      <c r="E1860" s="3">
        <v>83.72</v>
      </c>
      <c r="F1860" s="3">
        <v>17.84</v>
      </c>
      <c r="G1860" s="3">
        <v>470.9</v>
      </c>
      <c r="H1860" s="3">
        <v>2.7069999999999999</v>
      </c>
      <c r="I1860" s="13">
        <f t="shared" si="29"/>
        <v>4.6928251121076237</v>
      </c>
    </row>
    <row r="1861" spans="2:36">
      <c r="C1861" s="46">
        <v>2.1739999999999999</v>
      </c>
      <c r="D1861" s="3">
        <v>87.84</v>
      </c>
      <c r="E1861" s="3">
        <v>84.06</v>
      </c>
      <c r="F1861" s="3">
        <v>17.96</v>
      </c>
      <c r="G1861" s="3">
        <v>475</v>
      </c>
      <c r="H1861" s="3">
        <v>2.6419999999999999</v>
      </c>
      <c r="I1861" s="13">
        <f t="shared" si="29"/>
        <v>4.6804008908685972</v>
      </c>
    </row>
    <row r="1862" spans="2:36" s="35" customFormat="1">
      <c r="B1862" s="16">
        <v>94</v>
      </c>
      <c r="C1862" s="47">
        <v>2.4809999999999999</v>
      </c>
      <c r="D1862" s="16">
        <v>107.2</v>
      </c>
      <c r="E1862" s="16">
        <v>122.2</v>
      </c>
      <c r="F1862" s="16">
        <v>47.29</v>
      </c>
      <c r="G1862" s="16">
        <v>465.3</v>
      </c>
      <c r="H1862" s="16">
        <v>2.2450000000000001</v>
      </c>
      <c r="I1862" s="13">
        <f t="shared" si="29"/>
        <v>2.584055825755974</v>
      </c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</row>
    <row r="1863" spans="2:36">
      <c r="C1863" s="46">
        <v>2.4540000000000002</v>
      </c>
      <c r="D1863" s="3">
        <v>111.2</v>
      </c>
      <c r="E1863" s="3">
        <v>122.3</v>
      </c>
      <c r="F1863" s="3">
        <v>47.4</v>
      </c>
      <c r="G1863" s="3">
        <v>466.9</v>
      </c>
      <c r="H1863" s="3">
        <v>2.3079999999999998</v>
      </c>
      <c r="I1863" s="13">
        <f t="shared" si="29"/>
        <v>2.5801687763713081</v>
      </c>
    </row>
    <row r="1864" spans="2:36">
      <c r="C1864" s="46">
        <v>2.4449999999999998</v>
      </c>
      <c r="D1864" s="3">
        <v>121.3</v>
      </c>
      <c r="E1864" s="3">
        <v>122</v>
      </c>
      <c r="F1864" s="3">
        <v>47.54</v>
      </c>
      <c r="G1864" s="3">
        <v>461.9</v>
      </c>
      <c r="H1864" s="3">
        <v>2.2549999999999999</v>
      </c>
      <c r="I1864" s="13">
        <f t="shared" si="29"/>
        <v>2.5662599915860329</v>
      </c>
    </row>
    <row r="1865" spans="2:36">
      <c r="C1865" s="46">
        <v>2.4319999999999999</v>
      </c>
      <c r="D1865" s="3">
        <v>106.9</v>
      </c>
      <c r="E1865" s="3">
        <v>121.8</v>
      </c>
      <c r="F1865" s="3">
        <v>47.75</v>
      </c>
      <c r="G1865" s="3">
        <v>461.1</v>
      </c>
      <c r="H1865" s="3">
        <v>2.278</v>
      </c>
      <c r="I1865" s="13">
        <f t="shared" si="29"/>
        <v>2.5507853403141363</v>
      </c>
    </row>
    <row r="1866" spans="2:36">
      <c r="C1866" s="46">
        <v>2.4140000000000001</v>
      </c>
      <c r="D1866" s="3">
        <v>103.4</v>
      </c>
      <c r="E1866" s="3">
        <v>121.7</v>
      </c>
      <c r="F1866" s="3">
        <v>47.59</v>
      </c>
      <c r="G1866" s="3">
        <v>464.9</v>
      </c>
      <c r="H1866" s="3">
        <v>2.339</v>
      </c>
      <c r="I1866" s="13">
        <f t="shared" si="29"/>
        <v>2.5572599285564195</v>
      </c>
    </row>
    <row r="1867" spans="2:36">
      <c r="C1867" s="46">
        <v>2.3580000000000001</v>
      </c>
      <c r="D1867" s="3">
        <v>122.1</v>
      </c>
      <c r="E1867" s="3">
        <v>122.4</v>
      </c>
      <c r="F1867" s="3">
        <v>47.75</v>
      </c>
      <c r="G1867" s="3">
        <v>463.6</v>
      </c>
      <c r="H1867" s="3">
        <v>2.198</v>
      </c>
      <c r="I1867" s="13">
        <f t="shared" si="29"/>
        <v>2.5633507853403144</v>
      </c>
    </row>
    <row r="1868" spans="2:36">
      <c r="C1868" s="46">
        <v>2.3740000000000001</v>
      </c>
      <c r="D1868" s="3">
        <v>124.4</v>
      </c>
      <c r="E1868" s="3">
        <v>122.5</v>
      </c>
      <c r="F1868" s="3">
        <v>47.59</v>
      </c>
      <c r="G1868" s="3">
        <v>464.3</v>
      </c>
      <c r="H1868" s="3">
        <v>2.2330000000000001</v>
      </c>
      <c r="I1868" s="13">
        <f t="shared" si="29"/>
        <v>2.5740701828115147</v>
      </c>
    </row>
    <row r="1869" spans="2:36">
      <c r="C1869" s="46">
        <v>2.3650000000000002</v>
      </c>
      <c r="D1869" s="3">
        <v>119.8</v>
      </c>
      <c r="E1869" s="3">
        <v>122.4</v>
      </c>
      <c r="F1869" s="3">
        <v>47.44</v>
      </c>
      <c r="G1869" s="3">
        <v>466.1</v>
      </c>
      <c r="H1869" s="3">
        <v>2.2189999999999999</v>
      </c>
      <c r="I1869" s="13">
        <f t="shared" si="29"/>
        <v>2.5801011804384486</v>
      </c>
    </row>
    <row r="1870" spans="2:36">
      <c r="C1870" s="46">
        <v>2.4289999999999998</v>
      </c>
      <c r="D1870" s="3">
        <v>132</v>
      </c>
      <c r="E1870" s="3">
        <v>122.2</v>
      </c>
      <c r="F1870" s="3">
        <v>47.28</v>
      </c>
      <c r="G1870" s="3">
        <v>463.6</v>
      </c>
      <c r="H1870" s="3">
        <v>2.2949999999999999</v>
      </c>
      <c r="I1870" s="13">
        <f t="shared" si="29"/>
        <v>2.5846023688663284</v>
      </c>
    </row>
    <row r="1871" spans="2:36">
      <c r="C1871" s="46">
        <v>2.4449999999999998</v>
      </c>
      <c r="D1871" s="3">
        <v>112.1</v>
      </c>
      <c r="E1871" s="3">
        <v>121.7</v>
      </c>
      <c r="F1871" s="3">
        <v>47.59</v>
      </c>
      <c r="G1871" s="3">
        <v>465</v>
      </c>
      <c r="H1871" s="3">
        <v>2.2280000000000002</v>
      </c>
      <c r="I1871" s="13">
        <f t="shared" si="29"/>
        <v>2.5572599285564195</v>
      </c>
    </row>
    <row r="1872" spans="2:36">
      <c r="C1872" s="46">
        <v>2.4569999999999999</v>
      </c>
      <c r="D1872" s="3">
        <v>118.5</v>
      </c>
      <c r="E1872" s="3">
        <v>121.8</v>
      </c>
      <c r="F1872" s="3">
        <v>47.85</v>
      </c>
      <c r="G1872" s="3">
        <v>470.6</v>
      </c>
      <c r="H1872" s="3">
        <v>2.0830000000000002</v>
      </c>
      <c r="I1872" s="13">
        <f t="shared" si="29"/>
        <v>2.5454545454545454</v>
      </c>
    </row>
    <row r="1873" spans="2:36">
      <c r="C1873" s="46">
        <v>2.415</v>
      </c>
      <c r="D1873" s="3">
        <v>113.1</v>
      </c>
      <c r="E1873" s="3">
        <v>122</v>
      </c>
      <c r="F1873" s="3">
        <v>47.8</v>
      </c>
      <c r="G1873" s="3">
        <v>475.2</v>
      </c>
      <c r="H1873" s="3">
        <v>2.355</v>
      </c>
      <c r="I1873" s="13">
        <f t="shared" si="29"/>
        <v>2.5523012552301259</v>
      </c>
    </row>
    <row r="1874" spans="2:36">
      <c r="C1874" s="46">
        <v>2.3580000000000001</v>
      </c>
      <c r="D1874" s="3">
        <v>106.9</v>
      </c>
      <c r="E1874" s="3">
        <v>122.1</v>
      </c>
      <c r="F1874" s="3">
        <v>47.7</v>
      </c>
      <c r="G1874" s="3">
        <v>475.6</v>
      </c>
      <c r="H1874" s="3">
        <v>2.3820000000000001</v>
      </c>
      <c r="I1874" s="13">
        <f t="shared" si="29"/>
        <v>2.5597484276729556</v>
      </c>
    </row>
    <row r="1875" spans="2:36">
      <c r="C1875" s="46">
        <v>2.3460000000000001</v>
      </c>
      <c r="D1875" s="3">
        <v>121.3</v>
      </c>
      <c r="E1875" s="3">
        <v>122.3</v>
      </c>
      <c r="F1875" s="3">
        <v>47.54</v>
      </c>
      <c r="G1875" s="3">
        <v>472.3</v>
      </c>
      <c r="H1875" s="3">
        <v>2.4079999999999999</v>
      </c>
      <c r="I1875" s="13">
        <f t="shared" si="29"/>
        <v>2.5725704669751788</v>
      </c>
    </row>
    <row r="1876" spans="2:36">
      <c r="C1876" s="46">
        <v>2.4209999999999998</v>
      </c>
      <c r="D1876" s="3">
        <v>111.2</v>
      </c>
      <c r="E1876" s="3">
        <v>122.4</v>
      </c>
      <c r="F1876" s="3">
        <v>47.65</v>
      </c>
      <c r="G1876" s="3">
        <v>470.6</v>
      </c>
      <c r="H1876" s="3">
        <v>2.339</v>
      </c>
      <c r="I1876" s="13">
        <f t="shared" si="29"/>
        <v>2.5687303252885627</v>
      </c>
    </row>
    <row r="1877" spans="2:36">
      <c r="C1877" s="46">
        <v>2.4569999999999999</v>
      </c>
      <c r="D1877" s="3">
        <v>121.9</v>
      </c>
      <c r="E1877" s="3">
        <v>122.4</v>
      </c>
      <c r="F1877" s="3">
        <v>47.71</v>
      </c>
      <c r="G1877" s="3">
        <v>466</v>
      </c>
      <c r="H1877" s="3">
        <v>2.2610000000000001</v>
      </c>
      <c r="I1877" s="13">
        <f t="shared" si="29"/>
        <v>2.5654998952001677</v>
      </c>
    </row>
    <row r="1878" spans="2:36">
      <c r="C1878" s="46">
        <v>2.4809999999999999</v>
      </c>
      <c r="D1878" s="3">
        <v>118.2</v>
      </c>
      <c r="E1878" s="3">
        <v>122.3</v>
      </c>
      <c r="F1878" s="3">
        <v>47.39</v>
      </c>
      <c r="G1878" s="3">
        <v>466.2</v>
      </c>
      <c r="H1878" s="3">
        <v>2.266</v>
      </c>
      <c r="I1878" s="13">
        <f t="shared" ref="I1878:I1941" si="30">E1878/F1878</f>
        <v>2.5807132306393754</v>
      </c>
    </row>
    <row r="1879" spans="2:36">
      <c r="C1879" s="46">
        <v>2.4929999999999999</v>
      </c>
      <c r="D1879" s="3">
        <v>132.1</v>
      </c>
      <c r="E1879" s="3">
        <v>121.8</v>
      </c>
      <c r="F1879" s="3">
        <v>47.51</v>
      </c>
      <c r="G1879" s="3">
        <v>470.6</v>
      </c>
      <c r="H1879" s="3">
        <v>2.2639999999999998</v>
      </c>
      <c r="I1879" s="13">
        <f t="shared" si="30"/>
        <v>2.5636708061460745</v>
      </c>
    </row>
    <row r="1880" spans="2:36">
      <c r="C1880" s="46">
        <v>2.423</v>
      </c>
      <c r="D1880" s="3">
        <v>114.2</v>
      </c>
      <c r="E1880" s="3">
        <v>122.8</v>
      </c>
      <c r="F1880" s="3">
        <v>47.56</v>
      </c>
      <c r="G1880" s="3">
        <v>469</v>
      </c>
      <c r="H1880" s="3">
        <v>2.278</v>
      </c>
      <c r="I1880" s="13">
        <f t="shared" si="30"/>
        <v>2.5820016820857861</v>
      </c>
    </row>
    <row r="1881" spans="2:36">
      <c r="C1881" s="46">
        <v>2.3580000000000001</v>
      </c>
      <c r="D1881" s="3">
        <v>114.5</v>
      </c>
      <c r="E1881" s="3">
        <v>122.3</v>
      </c>
      <c r="F1881" s="3">
        <v>47.29</v>
      </c>
      <c r="G1881" s="3">
        <v>468.1</v>
      </c>
      <c r="H1881" s="3">
        <v>2.2589999999999999</v>
      </c>
      <c r="I1881" s="13">
        <f t="shared" si="30"/>
        <v>2.5861704377246775</v>
      </c>
    </row>
    <row r="1882" spans="2:36" s="35" customFormat="1">
      <c r="B1882" s="16">
        <v>95</v>
      </c>
      <c r="C1882" s="47">
        <v>1.6890000000000001</v>
      </c>
      <c r="D1882" s="16">
        <v>105.1</v>
      </c>
      <c r="E1882" s="16">
        <v>115.8</v>
      </c>
      <c r="F1882" s="16">
        <v>29.32</v>
      </c>
      <c r="G1882" s="16">
        <v>526.5</v>
      </c>
      <c r="H1882" s="16">
        <v>2.7029999999999998</v>
      </c>
      <c r="I1882" s="13">
        <f t="shared" si="30"/>
        <v>3.9495225102319234</v>
      </c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</row>
    <row r="1883" spans="2:36">
      <c r="C1883" s="46">
        <v>1.6759999999999999</v>
      </c>
      <c r="D1883" s="3">
        <v>104.5</v>
      </c>
      <c r="E1883" s="3">
        <v>115.4</v>
      </c>
      <c r="F1883" s="3">
        <v>28.8</v>
      </c>
      <c r="G1883" s="3">
        <v>525.6</v>
      </c>
      <c r="H1883" s="3">
        <v>2.7869999999999999</v>
      </c>
      <c r="I1883" s="13">
        <f t="shared" si="30"/>
        <v>4.0069444444444446</v>
      </c>
    </row>
    <row r="1884" spans="2:36">
      <c r="C1884" s="46">
        <v>1.659</v>
      </c>
      <c r="D1884" s="3">
        <v>107.8</v>
      </c>
      <c r="E1884" s="3">
        <v>116.1</v>
      </c>
      <c r="F1884" s="3">
        <v>29.52</v>
      </c>
      <c r="G1884" s="3">
        <v>524.5</v>
      </c>
      <c r="H1884" s="3">
        <v>2.7650000000000001</v>
      </c>
      <c r="I1884" s="13">
        <f t="shared" si="30"/>
        <v>3.9329268292682924</v>
      </c>
    </row>
    <row r="1885" spans="2:36">
      <c r="C1885" s="46">
        <v>1.7090000000000001</v>
      </c>
      <c r="D1885" s="3">
        <v>120.2</v>
      </c>
      <c r="E1885" s="3">
        <v>116</v>
      </c>
      <c r="F1885" s="3">
        <v>29.65</v>
      </c>
      <c r="G1885" s="3">
        <v>528.20000000000005</v>
      </c>
      <c r="H1885" s="3">
        <v>2.9319999999999999</v>
      </c>
      <c r="I1885" s="13">
        <f t="shared" si="30"/>
        <v>3.9123102866779091</v>
      </c>
    </row>
    <row r="1886" spans="2:36">
      <c r="C1886" s="46">
        <v>1.7190000000000001</v>
      </c>
      <c r="D1886" s="3">
        <v>92.43</v>
      </c>
      <c r="E1886" s="3">
        <v>115.5</v>
      </c>
      <c r="F1886" s="3">
        <v>29.47</v>
      </c>
      <c r="G1886" s="3">
        <v>530</v>
      </c>
      <c r="H1886" s="3">
        <v>2.9220000000000002</v>
      </c>
      <c r="I1886" s="13">
        <f t="shared" si="30"/>
        <v>3.9192399049881237</v>
      </c>
    </row>
    <row r="1887" spans="2:36">
      <c r="C1887" s="46">
        <v>1.7210000000000001</v>
      </c>
      <c r="D1887" s="3">
        <v>98.56</v>
      </c>
      <c r="E1887" s="3">
        <v>115.7</v>
      </c>
      <c r="F1887" s="3">
        <v>29.44</v>
      </c>
      <c r="G1887" s="3">
        <v>530.6</v>
      </c>
      <c r="H1887" s="3">
        <v>2.7959999999999998</v>
      </c>
      <c r="I1887" s="13">
        <f t="shared" si="30"/>
        <v>3.9300271739130435</v>
      </c>
    </row>
    <row r="1888" spans="2:36">
      <c r="C1888" s="46">
        <v>1.7130000000000001</v>
      </c>
      <c r="D1888" s="3">
        <v>121.4</v>
      </c>
      <c r="E1888" s="3">
        <v>116.1</v>
      </c>
      <c r="F1888" s="3">
        <v>29.62</v>
      </c>
      <c r="G1888" s="3">
        <v>532.29999999999995</v>
      </c>
      <c r="H1888" s="3">
        <v>2.7869999999999999</v>
      </c>
      <c r="I1888" s="13">
        <f t="shared" si="30"/>
        <v>3.9196488858879133</v>
      </c>
    </row>
    <row r="1889" spans="2:36">
      <c r="C1889" s="46">
        <v>1.694</v>
      </c>
      <c r="D1889" s="3">
        <v>107.8</v>
      </c>
      <c r="E1889" s="3">
        <v>115.4</v>
      </c>
      <c r="F1889" s="3">
        <v>29.54</v>
      </c>
      <c r="G1889" s="3">
        <v>538.5</v>
      </c>
      <c r="H1889" s="3">
        <v>2.359</v>
      </c>
      <c r="I1889" s="13">
        <f t="shared" si="30"/>
        <v>3.9065673662830065</v>
      </c>
    </row>
    <row r="1890" spans="2:36">
      <c r="C1890" s="46">
        <v>1.6559999999999999</v>
      </c>
      <c r="D1890" s="3">
        <v>103.7</v>
      </c>
      <c r="E1890" s="3">
        <v>115.2</v>
      </c>
      <c r="F1890" s="3">
        <v>29.47</v>
      </c>
      <c r="G1890" s="3">
        <v>546.70000000000005</v>
      </c>
      <c r="H1890" s="3">
        <v>2.351</v>
      </c>
      <c r="I1890" s="13">
        <f t="shared" si="30"/>
        <v>3.9090600610790638</v>
      </c>
    </row>
    <row r="1891" spans="2:36">
      <c r="C1891" s="46">
        <v>1.63</v>
      </c>
      <c r="D1891" s="3">
        <v>106.1</v>
      </c>
      <c r="E1891" s="3">
        <v>115.1</v>
      </c>
      <c r="F1891" s="3">
        <v>29.78</v>
      </c>
      <c r="G1891" s="3">
        <v>532.29999999999995</v>
      </c>
      <c r="H1891" s="3">
        <v>2.6480000000000001</v>
      </c>
      <c r="I1891" s="13">
        <f t="shared" si="30"/>
        <v>3.8650100738750837</v>
      </c>
    </row>
    <row r="1892" spans="2:36">
      <c r="C1892" s="46">
        <v>1.5980000000000001</v>
      </c>
      <c r="D1892" s="3">
        <v>96.72</v>
      </c>
      <c r="E1892" s="3">
        <v>115.7</v>
      </c>
      <c r="F1892" s="3">
        <v>29.86</v>
      </c>
      <c r="G1892" s="3">
        <v>534.6</v>
      </c>
      <c r="H1892" s="3">
        <v>2.6469999999999998</v>
      </c>
      <c r="I1892" s="13">
        <f t="shared" si="30"/>
        <v>3.8747488278633626</v>
      </c>
    </row>
    <row r="1893" spans="2:36">
      <c r="C1893" s="46">
        <v>1.6140000000000001</v>
      </c>
      <c r="D1893" s="3">
        <v>92.43</v>
      </c>
      <c r="E1893" s="3">
        <v>115.2</v>
      </c>
      <c r="F1893" s="3">
        <v>29.33</v>
      </c>
      <c r="G1893" s="3">
        <v>537.79999999999995</v>
      </c>
      <c r="H1893" s="3">
        <v>2.6949999999999998</v>
      </c>
      <c r="I1893" s="13">
        <f t="shared" si="30"/>
        <v>3.9277190589839757</v>
      </c>
    </row>
    <row r="1894" spans="2:36">
      <c r="C1894" s="46">
        <v>1.5609999999999999</v>
      </c>
      <c r="D1894" s="3">
        <v>100.5</v>
      </c>
      <c r="E1894" s="3">
        <v>116.2</v>
      </c>
      <c r="F1894" s="3">
        <v>29.24</v>
      </c>
      <c r="G1894" s="3">
        <v>539</v>
      </c>
      <c r="H1894" s="3">
        <v>2.7589999999999999</v>
      </c>
      <c r="I1894" s="13">
        <f t="shared" si="30"/>
        <v>3.9740082079343368</v>
      </c>
    </row>
    <row r="1895" spans="2:36">
      <c r="C1895" s="46">
        <v>1.655</v>
      </c>
      <c r="D1895" s="3">
        <v>127.4</v>
      </c>
      <c r="E1895" s="3">
        <v>116.3</v>
      </c>
      <c r="F1895" s="3">
        <v>29.33</v>
      </c>
      <c r="G1895" s="3">
        <v>530.29999999999995</v>
      </c>
      <c r="H1895" s="3">
        <v>2.6469999999999998</v>
      </c>
      <c r="I1895" s="13">
        <f t="shared" si="30"/>
        <v>3.965223320831913</v>
      </c>
    </row>
    <row r="1896" spans="2:36">
      <c r="C1896" s="46">
        <v>1.639</v>
      </c>
      <c r="D1896" s="3">
        <v>105.1</v>
      </c>
      <c r="E1896" s="3">
        <v>115.9</v>
      </c>
      <c r="F1896" s="3">
        <v>29.41</v>
      </c>
      <c r="G1896" s="3">
        <v>526.79999999999995</v>
      </c>
      <c r="H1896" s="3">
        <v>2.5489999999999999</v>
      </c>
      <c r="I1896" s="13">
        <f t="shared" si="30"/>
        <v>3.9408364501870112</v>
      </c>
    </row>
    <row r="1897" spans="2:36">
      <c r="C1897" s="46">
        <v>1.62</v>
      </c>
      <c r="D1897" s="3">
        <v>100.1</v>
      </c>
      <c r="E1897" s="3">
        <v>115.8</v>
      </c>
      <c r="F1897" s="3">
        <v>29.58</v>
      </c>
      <c r="G1897" s="3">
        <v>523.4</v>
      </c>
      <c r="H1897" s="3">
        <v>2.6019999999999999</v>
      </c>
      <c r="I1897" s="13">
        <f t="shared" si="30"/>
        <v>3.9148073022312375</v>
      </c>
    </row>
    <row r="1898" spans="2:36">
      <c r="C1898" s="46">
        <v>1.595</v>
      </c>
      <c r="D1898" s="3">
        <v>122.7</v>
      </c>
      <c r="E1898" s="3">
        <v>115.6</v>
      </c>
      <c r="F1898" s="3">
        <v>29.59</v>
      </c>
      <c r="G1898" s="3">
        <v>522.5</v>
      </c>
      <c r="H1898" s="3">
        <v>2.6760000000000002</v>
      </c>
      <c r="I1898" s="13">
        <f t="shared" si="30"/>
        <v>3.9067252450152075</v>
      </c>
    </row>
    <row r="1899" spans="2:36">
      <c r="C1899" s="46">
        <v>1.5620000000000001</v>
      </c>
      <c r="D1899" s="3">
        <v>99.99</v>
      </c>
      <c r="E1899" s="3">
        <v>115.8</v>
      </c>
      <c r="F1899" s="3">
        <v>29.32</v>
      </c>
      <c r="G1899" s="3">
        <v>526.70000000000005</v>
      </c>
      <c r="H1899" s="3">
        <v>2.363</v>
      </c>
      <c r="I1899" s="13">
        <f t="shared" si="30"/>
        <v>3.9495225102319234</v>
      </c>
    </row>
    <row r="1900" spans="2:36">
      <c r="C1900" s="46">
        <v>1.498</v>
      </c>
      <c r="D1900" s="3">
        <v>92.39</v>
      </c>
      <c r="E1900" s="3">
        <v>115.3</v>
      </c>
      <c r="F1900" s="3">
        <v>29.4</v>
      </c>
      <c r="G1900" s="3">
        <v>529.4</v>
      </c>
      <c r="H1900" s="3">
        <v>2.415</v>
      </c>
      <c r="I1900" s="13">
        <f t="shared" si="30"/>
        <v>3.9217687074829932</v>
      </c>
    </row>
    <row r="1901" spans="2:36">
      <c r="C1901" s="46">
        <v>1.589</v>
      </c>
      <c r="D1901" s="3">
        <v>96.72</v>
      </c>
      <c r="E1901" s="3">
        <v>115.6</v>
      </c>
      <c r="F1901" s="3">
        <v>29.49</v>
      </c>
      <c r="G1901" s="3">
        <v>529.5</v>
      </c>
      <c r="H1901" s="3">
        <v>2.4689999999999999</v>
      </c>
      <c r="I1901" s="13">
        <f t="shared" si="30"/>
        <v>3.9199728721600544</v>
      </c>
    </row>
    <row r="1902" spans="2:36" s="35" customFormat="1">
      <c r="B1902" s="16">
        <v>96</v>
      </c>
      <c r="C1902" s="47">
        <v>1.5089999999999999</v>
      </c>
      <c r="D1902" s="16">
        <v>136.19999999999999</v>
      </c>
      <c r="E1902" s="16">
        <v>88.2</v>
      </c>
      <c r="F1902" s="16">
        <v>35.04</v>
      </c>
      <c r="G1902" s="16">
        <v>480.5</v>
      </c>
      <c r="H1902" s="16">
        <v>2.984</v>
      </c>
      <c r="I1902" s="13">
        <f t="shared" si="30"/>
        <v>2.5171232876712328</v>
      </c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</row>
    <row r="1903" spans="2:36">
      <c r="C1903" s="46">
        <v>1.5109999999999999</v>
      </c>
      <c r="D1903" s="3">
        <v>146.4</v>
      </c>
      <c r="E1903" s="3">
        <v>88.68</v>
      </c>
      <c r="F1903" s="3">
        <v>34.81</v>
      </c>
      <c r="G1903" s="3">
        <v>481.3</v>
      </c>
      <c r="H1903" s="3">
        <v>3.1190000000000002</v>
      </c>
      <c r="I1903" s="13">
        <f t="shared" si="30"/>
        <v>2.5475438092502154</v>
      </c>
    </row>
    <row r="1904" spans="2:36">
      <c r="C1904" s="46">
        <v>1.508</v>
      </c>
      <c r="D1904" s="3">
        <v>146.6</v>
      </c>
      <c r="E1904" s="3">
        <v>88.32</v>
      </c>
      <c r="F1904" s="3">
        <v>34.69</v>
      </c>
      <c r="G1904" s="3">
        <v>483.3</v>
      </c>
      <c r="H1904" s="3">
        <v>2.911</v>
      </c>
      <c r="I1904" s="13">
        <f t="shared" si="30"/>
        <v>2.5459786682040932</v>
      </c>
    </row>
    <row r="1905" spans="3:9">
      <c r="C1905" s="46">
        <v>1.4970000000000001</v>
      </c>
      <c r="D1905" s="3">
        <v>149.80000000000001</v>
      </c>
      <c r="E1905" s="3">
        <v>88.98</v>
      </c>
      <c r="F1905" s="3">
        <v>34.619999999999997</v>
      </c>
      <c r="G1905" s="3">
        <v>483.8</v>
      </c>
      <c r="H1905" s="3">
        <v>2.0699999999999998</v>
      </c>
      <c r="I1905" s="13">
        <f t="shared" si="30"/>
        <v>2.5701906412478341</v>
      </c>
    </row>
    <row r="1906" spans="3:9">
      <c r="C1906" s="46">
        <v>1.405</v>
      </c>
      <c r="D1906" s="3">
        <v>150.30000000000001</v>
      </c>
      <c r="E1906" s="3">
        <v>88.26</v>
      </c>
      <c r="F1906" s="3">
        <v>34.69</v>
      </c>
      <c r="G1906" s="3">
        <v>485.9</v>
      </c>
      <c r="H1906" s="3">
        <v>2.1869999999999998</v>
      </c>
      <c r="I1906" s="13">
        <f t="shared" si="30"/>
        <v>2.5442490631305854</v>
      </c>
    </row>
    <row r="1907" spans="3:9">
      <c r="C1907" s="46">
        <v>1.448</v>
      </c>
      <c r="D1907" s="3">
        <v>153.19999999999999</v>
      </c>
      <c r="E1907" s="3">
        <v>88.1</v>
      </c>
      <c r="F1907" s="3">
        <v>34.81</v>
      </c>
      <c r="G1907" s="3">
        <v>487.5</v>
      </c>
      <c r="H1907" s="3">
        <v>2.911</v>
      </c>
      <c r="I1907" s="13">
        <f t="shared" si="30"/>
        <v>2.530881930479747</v>
      </c>
    </row>
    <row r="1908" spans="3:9">
      <c r="C1908" s="46">
        <v>1.4730000000000001</v>
      </c>
      <c r="D1908" s="3">
        <v>150.30000000000001</v>
      </c>
      <c r="E1908" s="3">
        <v>88.22</v>
      </c>
      <c r="F1908" s="3">
        <v>34.46</v>
      </c>
      <c r="G1908" s="3">
        <v>493.8</v>
      </c>
      <c r="H1908" s="3">
        <v>3.214</v>
      </c>
      <c r="I1908" s="13">
        <f t="shared" si="30"/>
        <v>2.5600696459663377</v>
      </c>
    </row>
    <row r="1909" spans="3:9">
      <c r="C1909" s="46">
        <v>1.4970000000000001</v>
      </c>
      <c r="D1909" s="3">
        <v>168.3</v>
      </c>
      <c r="E1909" s="3">
        <v>88.73</v>
      </c>
      <c r="F1909" s="3">
        <v>34.79</v>
      </c>
      <c r="G1909" s="3">
        <v>489.9</v>
      </c>
      <c r="H1909" s="3">
        <v>3.1190000000000002</v>
      </c>
      <c r="I1909" s="13">
        <f t="shared" si="30"/>
        <v>2.5504455303248061</v>
      </c>
    </row>
    <row r="1910" spans="3:9">
      <c r="C1910" s="46">
        <v>1.468</v>
      </c>
      <c r="D1910" s="3">
        <v>160.5</v>
      </c>
      <c r="E1910" s="3">
        <v>88.15</v>
      </c>
      <c r="F1910" s="3">
        <v>35</v>
      </c>
      <c r="G1910" s="3">
        <v>488.6</v>
      </c>
      <c r="H1910" s="3">
        <v>2.5190000000000001</v>
      </c>
      <c r="I1910" s="13">
        <f t="shared" si="30"/>
        <v>2.5185714285714287</v>
      </c>
    </row>
    <row r="1911" spans="3:9">
      <c r="C1911" s="46">
        <v>1.5089999999999999</v>
      </c>
      <c r="D1911" s="3">
        <v>136.19999999999999</v>
      </c>
      <c r="E1911" s="3">
        <v>88.31</v>
      </c>
      <c r="F1911" s="3">
        <v>34.880000000000003</v>
      </c>
      <c r="G1911" s="3">
        <v>494.8</v>
      </c>
      <c r="H1911" s="3">
        <v>3.1989999999999998</v>
      </c>
      <c r="I1911" s="13">
        <f t="shared" si="30"/>
        <v>2.5318233944954129</v>
      </c>
    </row>
    <row r="1912" spans="3:9">
      <c r="C1912" s="46">
        <v>1.492</v>
      </c>
      <c r="D1912" s="3">
        <v>158.80000000000001</v>
      </c>
      <c r="E1912" s="3">
        <v>88.96</v>
      </c>
      <c r="F1912" s="3">
        <v>34.69</v>
      </c>
      <c r="G1912" s="3">
        <v>487.6</v>
      </c>
      <c r="H1912" s="3">
        <v>3.1339999999999999</v>
      </c>
      <c r="I1912" s="13">
        <f t="shared" si="30"/>
        <v>2.5644277889881808</v>
      </c>
    </row>
    <row r="1913" spans="3:9">
      <c r="C1913" s="46">
        <v>1.4630000000000001</v>
      </c>
      <c r="D1913" s="3">
        <v>145.9</v>
      </c>
      <c r="E1913" s="3">
        <v>88.24</v>
      </c>
      <c r="F1913" s="3">
        <v>34.85</v>
      </c>
      <c r="G1913" s="3">
        <v>482.4</v>
      </c>
      <c r="H1913" s="3">
        <v>3.044</v>
      </c>
      <c r="I1913" s="13">
        <f t="shared" si="30"/>
        <v>2.5319942611190815</v>
      </c>
    </row>
    <row r="1914" spans="3:9">
      <c r="C1914" s="46">
        <v>1.462</v>
      </c>
      <c r="D1914" s="3">
        <v>157</v>
      </c>
      <c r="E1914" s="3">
        <v>88.15</v>
      </c>
      <c r="F1914" s="3">
        <v>34.74</v>
      </c>
      <c r="G1914" s="3">
        <v>483.3</v>
      </c>
      <c r="H1914" s="3">
        <v>3.3559999999999999</v>
      </c>
      <c r="I1914" s="13">
        <f t="shared" si="30"/>
        <v>2.537420840529649</v>
      </c>
    </row>
    <row r="1915" spans="3:9">
      <c r="C1915" s="46">
        <v>1.381</v>
      </c>
      <c r="D1915" s="3">
        <v>170.5</v>
      </c>
      <c r="E1915" s="3">
        <v>88.42</v>
      </c>
      <c r="F1915" s="3">
        <v>34.25</v>
      </c>
      <c r="G1915" s="3">
        <v>484.6</v>
      </c>
      <c r="H1915" s="3">
        <v>2.5819999999999999</v>
      </c>
      <c r="I1915" s="13">
        <f t="shared" si="30"/>
        <v>2.5816058394160586</v>
      </c>
    </row>
    <row r="1916" spans="3:9">
      <c r="C1916" s="46">
        <v>1.446</v>
      </c>
      <c r="D1916" s="3">
        <v>158</v>
      </c>
      <c r="E1916" s="3">
        <v>88.58</v>
      </c>
      <c r="F1916" s="3">
        <v>34.369999999999997</v>
      </c>
      <c r="G1916" s="3">
        <v>482.8</v>
      </c>
      <c r="H1916" s="3">
        <v>2.4569999999999999</v>
      </c>
      <c r="I1916" s="13">
        <f t="shared" si="30"/>
        <v>2.5772475996508586</v>
      </c>
    </row>
    <row r="1917" spans="3:9">
      <c r="C1917" s="46">
        <v>1.385</v>
      </c>
      <c r="D1917" s="3">
        <v>169.6</v>
      </c>
      <c r="E1917" s="3">
        <v>88.29</v>
      </c>
      <c r="F1917" s="3">
        <v>34.6</v>
      </c>
      <c r="G1917" s="3">
        <v>483.2</v>
      </c>
      <c r="H1917" s="3">
        <v>3.1190000000000002</v>
      </c>
      <c r="I1917" s="13">
        <f t="shared" si="30"/>
        <v>2.5517341040462429</v>
      </c>
    </row>
    <row r="1918" spans="3:9">
      <c r="C1918" s="46">
        <v>1.401</v>
      </c>
      <c r="D1918" s="3">
        <v>170.5</v>
      </c>
      <c r="E1918" s="3">
        <v>88.58</v>
      </c>
      <c r="F1918" s="3">
        <v>34.72</v>
      </c>
      <c r="G1918" s="3">
        <v>488.6</v>
      </c>
      <c r="H1918" s="3">
        <v>2.08</v>
      </c>
      <c r="I1918" s="13">
        <f t="shared" si="30"/>
        <v>2.5512672811059907</v>
      </c>
    </row>
    <row r="1919" spans="3:9">
      <c r="C1919" s="46">
        <v>1.363</v>
      </c>
      <c r="D1919" s="3">
        <v>157</v>
      </c>
      <c r="E1919" s="3">
        <v>88.67</v>
      </c>
      <c r="F1919" s="3">
        <v>34.69</v>
      </c>
      <c r="G1919" s="3">
        <v>485.3</v>
      </c>
      <c r="H1919" s="3">
        <v>2.1859999999999999</v>
      </c>
      <c r="I1919" s="13">
        <f t="shared" si="30"/>
        <v>2.5560680311328916</v>
      </c>
    </row>
    <row r="1920" spans="3:9">
      <c r="C1920" s="46">
        <v>1.3320000000000001</v>
      </c>
      <c r="D1920" s="3">
        <v>143.9</v>
      </c>
      <c r="E1920" s="3">
        <v>88.68</v>
      </c>
      <c r="F1920" s="3">
        <v>34.14</v>
      </c>
      <c r="G1920" s="3">
        <v>481.2</v>
      </c>
      <c r="H1920" s="3">
        <v>2.984</v>
      </c>
      <c r="I1920" s="13">
        <f t="shared" si="30"/>
        <v>2.5975395430579966</v>
      </c>
    </row>
    <row r="1921" spans="2:36">
      <c r="C1921" s="46">
        <v>1.4179999999999999</v>
      </c>
      <c r="D1921" s="3">
        <v>157</v>
      </c>
      <c r="E1921" s="3">
        <v>88.55</v>
      </c>
      <c r="F1921" s="3">
        <v>34.840000000000003</v>
      </c>
      <c r="G1921" s="3">
        <v>482.3</v>
      </c>
      <c r="H1921" s="3">
        <v>2.5819999999999999</v>
      </c>
      <c r="I1921" s="13">
        <f t="shared" si="30"/>
        <v>2.5416188289322617</v>
      </c>
    </row>
    <row r="1922" spans="2:36" s="35" customFormat="1">
      <c r="B1922" s="16">
        <v>97</v>
      </c>
      <c r="C1922" s="47">
        <v>2.294</v>
      </c>
      <c r="D1922" s="16">
        <v>134.19999999999999</v>
      </c>
      <c r="E1922" s="16">
        <v>115.2</v>
      </c>
      <c r="F1922" s="16">
        <v>33.840000000000003</v>
      </c>
      <c r="G1922" s="16">
        <v>533</v>
      </c>
      <c r="H1922" s="16">
        <v>3.7389999999999999</v>
      </c>
      <c r="I1922" s="13">
        <f t="shared" si="30"/>
        <v>3.4042553191489358</v>
      </c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</row>
    <row r="1923" spans="2:36">
      <c r="C1923" s="46">
        <v>2.4300000000000002</v>
      </c>
      <c r="D1923" s="3">
        <v>138.5</v>
      </c>
      <c r="E1923" s="3">
        <v>114.8</v>
      </c>
      <c r="F1923" s="3">
        <v>33.31</v>
      </c>
      <c r="G1923" s="3">
        <v>539</v>
      </c>
      <c r="H1923" s="3">
        <v>3.8220000000000001</v>
      </c>
      <c r="I1923" s="13">
        <f t="shared" si="30"/>
        <v>3.4464124887421193</v>
      </c>
    </row>
    <row r="1924" spans="2:36">
      <c r="C1924" s="46">
        <v>2.448</v>
      </c>
      <c r="D1924" s="3">
        <v>102.4</v>
      </c>
      <c r="E1924" s="3">
        <v>114.3</v>
      </c>
      <c r="F1924" s="3">
        <v>33.479999999999997</v>
      </c>
      <c r="G1924" s="3">
        <v>529.79999999999995</v>
      </c>
      <c r="H1924" s="3">
        <v>3.6219999999999999</v>
      </c>
      <c r="I1924" s="13">
        <f t="shared" si="30"/>
        <v>3.413978494623656</v>
      </c>
    </row>
    <row r="1925" spans="2:36">
      <c r="C1925" s="46">
        <v>2.5059999999999998</v>
      </c>
      <c r="D1925" s="3">
        <v>102.9</v>
      </c>
      <c r="E1925" s="3">
        <v>114.6</v>
      </c>
      <c r="F1925" s="3">
        <v>33.56</v>
      </c>
      <c r="G1925" s="3">
        <v>530.6</v>
      </c>
      <c r="H1925" s="3">
        <v>3.294</v>
      </c>
      <c r="I1925" s="13">
        <f t="shared" si="30"/>
        <v>3.4147794994040521</v>
      </c>
    </row>
    <row r="1926" spans="2:36">
      <c r="C1926" s="46">
        <v>2.4209999999999998</v>
      </c>
      <c r="D1926" s="3">
        <v>124</v>
      </c>
      <c r="E1926" s="3">
        <v>114.7</v>
      </c>
      <c r="F1926" s="3">
        <v>33.39</v>
      </c>
      <c r="G1926" s="3">
        <v>531.1</v>
      </c>
      <c r="H1926" s="3">
        <v>3.7919999999999998</v>
      </c>
      <c r="I1926" s="13">
        <f t="shared" si="30"/>
        <v>3.4351602276130579</v>
      </c>
    </row>
    <row r="1927" spans="2:36">
      <c r="C1927" s="46">
        <v>2.4460000000000002</v>
      </c>
      <c r="D1927" s="3">
        <v>113.6</v>
      </c>
      <c r="E1927" s="3">
        <v>114.5</v>
      </c>
      <c r="F1927" s="3">
        <v>33.299999999999997</v>
      </c>
      <c r="G1927" s="3">
        <v>531.9</v>
      </c>
      <c r="H1927" s="3">
        <v>3.718</v>
      </c>
      <c r="I1927" s="13">
        <f t="shared" si="30"/>
        <v>3.4384384384384385</v>
      </c>
    </row>
    <row r="1928" spans="2:36">
      <c r="C1928" s="46">
        <v>2.4580000000000002</v>
      </c>
      <c r="D1928" s="3">
        <v>138.5</v>
      </c>
      <c r="E1928" s="3">
        <v>114.6</v>
      </c>
      <c r="F1928" s="3">
        <v>33.130000000000003</v>
      </c>
      <c r="G1928" s="3">
        <v>530.70000000000005</v>
      </c>
      <c r="H1928" s="3">
        <v>3.8740000000000001</v>
      </c>
      <c r="I1928" s="13">
        <f t="shared" si="30"/>
        <v>3.4591005131300929</v>
      </c>
    </row>
    <row r="1929" spans="2:36">
      <c r="C1929" s="46">
        <v>2.4460000000000002</v>
      </c>
      <c r="D1929" s="3">
        <v>130.5</v>
      </c>
      <c r="E1929" s="3">
        <v>114.8</v>
      </c>
      <c r="F1929" s="3">
        <v>33.31</v>
      </c>
      <c r="G1929" s="3">
        <v>528.70000000000005</v>
      </c>
      <c r="H1929" s="3">
        <v>3.6219999999999999</v>
      </c>
      <c r="I1929" s="13">
        <f t="shared" si="30"/>
        <v>3.4464124887421193</v>
      </c>
    </row>
    <row r="1930" spans="2:36">
      <c r="C1930" s="46">
        <v>2.536</v>
      </c>
      <c r="D1930" s="3">
        <v>108.1</v>
      </c>
      <c r="E1930" s="3">
        <v>114.9</v>
      </c>
      <c r="F1930" s="3">
        <v>33.479999999999997</v>
      </c>
      <c r="G1930" s="3">
        <v>531.70000000000005</v>
      </c>
      <c r="H1930" s="3">
        <v>3.6160000000000001</v>
      </c>
      <c r="I1930" s="13">
        <f t="shared" si="30"/>
        <v>3.4318996415770613</v>
      </c>
    </row>
    <row r="1931" spans="2:36">
      <c r="C1931" s="46">
        <v>2.5510000000000002</v>
      </c>
      <c r="D1931" s="3">
        <v>115</v>
      </c>
      <c r="E1931" s="3">
        <v>115.2</v>
      </c>
      <c r="F1931" s="3">
        <v>33.119999999999997</v>
      </c>
      <c r="G1931" s="3">
        <v>535.5</v>
      </c>
      <c r="H1931" s="3">
        <v>3.7389999999999999</v>
      </c>
      <c r="I1931" s="13">
        <f t="shared" si="30"/>
        <v>3.4782608695652177</v>
      </c>
    </row>
    <row r="1932" spans="2:36">
      <c r="C1932" s="46">
        <v>2.5089999999999999</v>
      </c>
      <c r="D1932" s="3">
        <v>124</v>
      </c>
      <c r="E1932" s="3">
        <v>114.5</v>
      </c>
      <c r="F1932" s="3">
        <v>33.4</v>
      </c>
      <c r="G1932" s="3">
        <v>534.6</v>
      </c>
      <c r="H1932" s="3">
        <v>3.6230000000000002</v>
      </c>
      <c r="I1932" s="13">
        <f t="shared" si="30"/>
        <v>3.4281437125748506</v>
      </c>
    </row>
    <row r="1933" spans="2:36">
      <c r="C1933" s="46">
        <v>2.4300000000000002</v>
      </c>
      <c r="D1933" s="3">
        <v>102.9</v>
      </c>
      <c r="E1933" s="3">
        <v>114.8</v>
      </c>
      <c r="F1933" s="3">
        <v>33.58</v>
      </c>
      <c r="G1933" s="3">
        <v>535.79999999999995</v>
      </c>
      <c r="H1933" s="3">
        <v>3.7719999999999998</v>
      </c>
      <c r="I1933" s="13">
        <f t="shared" si="30"/>
        <v>3.4187016081000596</v>
      </c>
    </row>
    <row r="1934" spans="2:36">
      <c r="C1934" s="46">
        <v>2.294</v>
      </c>
      <c r="D1934" s="3">
        <v>115.9</v>
      </c>
      <c r="E1934" s="3">
        <v>115.2</v>
      </c>
      <c r="F1934" s="3">
        <v>33.03</v>
      </c>
      <c r="G1934" s="3">
        <v>535.4</v>
      </c>
      <c r="H1934" s="3">
        <v>3.7919999999999998</v>
      </c>
      <c r="I1934" s="13">
        <f t="shared" si="30"/>
        <v>3.4877384196185286</v>
      </c>
    </row>
    <row r="1935" spans="2:36">
      <c r="C1935" s="46">
        <v>2.1509999999999998</v>
      </c>
      <c r="D1935" s="3">
        <v>135.9</v>
      </c>
      <c r="E1935" s="3">
        <v>115.5</v>
      </c>
      <c r="F1935" s="3">
        <v>33.21</v>
      </c>
      <c r="G1935" s="3">
        <v>537.20000000000005</v>
      </c>
      <c r="H1935" s="3">
        <v>3.8140000000000001</v>
      </c>
      <c r="I1935" s="13">
        <f t="shared" si="30"/>
        <v>3.4778681120144532</v>
      </c>
    </row>
    <row r="1936" spans="2:36">
      <c r="C1936" s="46">
        <v>2.121</v>
      </c>
      <c r="D1936" s="3">
        <v>117.1</v>
      </c>
      <c r="E1936" s="3">
        <v>115.2</v>
      </c>
      <c r="F1936" s="3">
        <v>33.39</v>
      </c>
      <c r="G1936" s="3">
        <v>539.29999999999995</v>
      </c>
      <c r="H1936" s="3">
        <v>3.6160000000000001</v>
      </c>
      <c r="I1936" s="13">
        <f t="shared" si="30"/>
        <v>3.4501347708894881</v>
      </c>
    </row>
    <row r="1937" spans="2:36">
      <c r="C1937" s="46">
        <v>2.2090000000000001</v>
      </c>
      <c r="D1937" s="3">
        <v>153.30000000000001</v>
      </c>
      <c r="E1937" s="3">
        <v>114.4</v>
      </c>
      <c r="F1937" s="3">
        <v>33.57</v>
      </c>
      <c r="G1937" s="3">
        <v>538.20000000000005</v>
      </c>
      <c r="H1937" s="3">
        <v>3.7109999999999999</v>
      </c>
      <c r="I1937" s="13">
        <f t="shared" si="30"/>
        <v>3.4078045874292524</v>
      </c>
    </row>
    <row r="1938" spans="2:36">
      <c r="C1938" s="46">
        <v>2.2450000000000001</v>
      </c>
      <c r="D1938" s="3">
        <v>117</v>
      </c>
      <c r="E1938" s="3">
        <v>114.6</v>
      </c>
      <c r="F1938" s="3">
        <v>33.479999999999997</v>
      </c>
      <c r="G1938" s="3">
        <v>539</v>
      </c>
      <c r="H1938" s="3">
        <v>3.835</v>
      </c>
      <c r="I1938" s="13">
        <f t="shared" si="30"/>
        <v>3.4229390681003586</v>
      </c>
    </row>
    <row r="1939" spans="2:36">
      <c r="C1939" s="46">
        <v>2.3959999999999999</v>
      </c>
      <c r="D1939" s="3">
        <v>107.2</v>
      </c>
      <c r="E1939" s="3">
        <v>114.4</v>
      </c>
      <c r="F1939" s="3">
        <v>33.659999999999997</v>
      </c>
      <c r="G1939" s="3">
        <v>537.6</v>
      </c>
      <c r="H1939" s="3">
        <v>3.8140000000000001</v>
      </c>
      <c r="I1939" s="13">
        <f t="shared" si="30"/>
        <v>3.3986928104575167</v>
      </c>
    </row>
    <row r="1940" spans="2:36">
      <c r="C1940" s="46">
        <v>2.5089999999999999</v>
      </c>
      <c r="D1940" s="3">
        <v>105.2</v>
      </c>
      <c r="E1940" s="3">
        <v>114.8</v>
      </c>
      <c r="F1940" s="3">
        <v>33.42</v>
      </c>
      <c r="G1940" s="3">
        <v>534.5</v>
      </c>
      <c r="H1940" s="3">
        <v>3.508</v>
      </c>
      <c r="I1940" s="13">
        <f t="shared" si="30"/>
        <v>3.4350688210652303</v>
      </c>
    </row>
    <row r="1941" spans="2:36">
      <c r="C1941" s="46">
        <v>2.5619999999999998</v>
      </c>
      <c r="D1941" s="3">
        <v>102.9</v>
      </c>
      <c r="E1941" s="3">
        <v>115</v>
      </c>
      <c r="F1941" s="3">
        <v>33.340000000000003</v>
      </c>
      <c r="G1941" s="3">
        <v>531.1</v>
      </c>
      <c r="H1941" s="3">
        <v>3.2429999999999999</v>
      </c>
      <c r="I1941" s="13">
        <f t="shared" si="30"/>
        <v>3.4493101379724052</v>
      </c>
    </row>
    <row r="1942" spans="2:36" s="35" customFormat="1">
      <c r="B1942" s="16">
        <v>98</v>
      </c>
      <c r="C1942" s="47">
        <v>2.2629999999999999</v>
      </c>
      <c r="D1942" s="16">
        <v>131.6</v>
      </c>
      <c r="E1942" s="16">
        <v>102.3</v>
      </c>
      <c r="F1942" s="16">
        <v>38.5</v>
      </c>
      <c r="G1942" s="16">
        <v>501.1</v>
      </c>
      <c r="H1942" s="16">
        <v>2.4220000000000002</v>
      </c>
      <c r="I1942" s="13">
        <f t="shared" ref="I1942:I2001" si="31">E1942/F1942</f>
        <v>2.657142857142857</v>
      </c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</row>
    <row r="1943" spans="2:36">
      <c r="C1943" s="46">
        <v>2.2589999999999999</v>
      </c>
      <c r="D1943" s="3">
        <v>156.9</v>
      </c>
      <c r="E1943" s="3">
        <v>101.8</v>
      </c>
      <c r="F1943" s="3">
        <v>38.29</v>
      </c>
      <c r="G1943" s="3">
        <v>500.4</v>
      </c>
      <c r="H1943" s="3">
        <v>2.5</v>
      </c>
      <c r="I1943" s="13">
        <f t="shared" si="31"/>
        <v>2.6586576129537738</v>
      </c>
    </row>
    <row r="1944" spans="2:36">
      <c r="C1944" s="46">
        <v>2.266</v>
      </c>
      <c r="D1944" s="3">
        <v>152.30000000000001</v>
      </c>
      <c r="E1944" s="3">
        <v>101.5</v>
      </c>
      <c r="F1944" s="3">
        <v>38.119999999999997</v>
      </c>
      <c r="G1944" s="3">
        <v>502.9</v>
      </c>
      <c r="H1944" s="3">
        <v>2.7839999999999998</v>
      </c>
      <c r="I1944" s="13">
        <f t="shared" si="31"/>
        <v>2.6626442812172089</v>
      </c>
    </row>
    <row r="1945" spans="2:36">
      <c r="C1945" s="46">
        <v>2.2429999999999999</v>
      </c>
      <c r="D1945" s="3">
        <v>111.3</v>
      </c>
      <c r="E1945" s="3">
        <v>102.4</v>
      </c>
      <c r="F1945" s="3">
        <v>38.909999999999997</v>
      </c>
      <c r="G1945" s="3">
        <v>500.8</v>
      </c>
      <c r="H1945" s="3">
        <v>2.7639999999999998</v>
      </c>
      <c r="I1945" s="13">
        <f t="shared" si="31"/>
        <v>2.6317142122847601</v>
      </c>
    </row>
    <row r="1946" spans="2:36">
      <c r="C1946" s="46">
        <v>2.266</v>
      </c>
      <c r="D1946" s="3">
        <v>118.1</v>
      </c>
      <c r="E1946" s="3">
        <v>102</v>
      </c>
      <c r="F1946" s="3">
        <v>38.549999999999997</v>
      </c>
      <c r="G1946" s="3">
        <v>499.6</v>
      </c>
      <c r="H1946" s="3">
        <v>2.9209999999999998</v>
      </c>
      <c r="I1946" s="13">
        <f t="shared" si="31"/>
        <v>2.6459143968871599</v>
      </c>
    </row>
    <row r="1947" spans="2:36">
      <c r="C1947" s="46">
        <v>2.2650000000000001</v>
      </c>
      <c r="D1947" s="3">
        <v>122.9</v>
      </c>
      <c r="E1947" s="3">
        <v>101.5</v>
      </c>
      <c r="F1947" s="3">
        <v>38.450000000000003</v>
      </c>
      <c r="G1947" s="3">
        <v>499.5</v>
      </c>
      <c r="H1947" s="3">
        <v>2.4020000000000001</v>
      </c>
      <c r="I1947" s="13">
        <f t="shared" si="31"/>
        <v>2.6397919375812742</v>
      </c>
    </row>
    <row r="1948" spans="2:36">
      <c r="C1948" s="46">
        <v>2.2610000000000001</v>
      </c>
      <c r="D1948" s="3">
        <v>118.1</v>
      </c>
      <c r="E1948" s="3">
        <v>102.7</v>
      </c>
      <c r="F1948" s="3">
        <v>38.28</v>
      </c>
      <c r="G1948" s="3">
        <v>499.9</v>
      </c>
      <c r="H1948" s="3">
        <v>2.4620000000000002</v>
      </c>
      <c r="I1948" s="13">
        <f t="shared" si="31"/>
        <v>2.6828631138975965</v>
      </c>
    </row>
    <row r="1949" spans="2:36">
      <c r="C1949" s="46">
        <v>2.2519999999999998</v>
      </c>
      <c r="D1949" s="3">
        <v>123.6</v>
      </c>
      <c r="E1949" s="3">
        <v>102.6</v>
      </c>
      <c r="F1949" s="3">
        <v>37.94</v>
      </c>
      <c r="G1949" s="3">
        <v>499.1</v>
      </c>
      <c r="H1949" s="3">
        <v>2.6280000000000001</v>
      </c>
      <c r="I1949" s="13">
        <f t="shared" si="31"/>
        <v>2.7042698998418557</v>
      </c>
    </row>
    <row r="1950" spans="2:36">
      <c r="C1950" s="46">
        <v>2.2490000000000001</v>
      </c>
      <c r="D1950" s="3">
        <v>147.9</v>
      </c>
      <c r="E1950" s="3">
        <v>102.5</v>
      </c>
      <c r="F1950" s="3">
        <v>38.42</v>
      </c>
      <c r="G1950" s="3">
        <v>500.2</v>
      </c>
      <c r="H1950" s="3">
        <v>3.052</v>
      </c>
      <c r="I1950" s="13">
        <f t="shared" si="31"/>
        <v>2.6678813118167621</v>
      </c>
    </row>
    <row r="1951" spans="2:36">
      <c r="C1951" s="46">
        <v>2.23</v>
      </c>
      <c r="D1951" s="3">
        <v>152.30000000000001</v>
      </c>
      <c r="E1951" s="3">
        <v>102.6</v>
      </c>
      <c r="F1951" s="3">
        <v>38.549999999999997</v>
      </c>
      <c r="G1951" s="3">
        <v>501.7</v>
      </c>
      <c r="H1951" s="3">
        <v>3.0880000000000001</v>
      </c>
      <c r="I1951" s="13">
        <f t="shared" si="31"/>
        <v>2.6614785992217898</v>
      </c>
    </row>
    <row r="1952" spans="2:36">
      <c r="C1952" s="46">
        <v>2.2069999999999999</v>
      </c>
      <c r="D1952" s="3">
        <v>131.6</v>
      </c>
      <c r="E1952" s="3">
        <v>102.3</v>
      </c>
      <c r="F1952" s="3">
        <v>38.49</v>
      </c>
      <c r="G1952" s="3">
        <v>500.6</v>
      </c>
      <c r="H1952" s="3">
        <v>2.7839999999999998</v>
      </c>
      <c r="I1952" s="13">
        <f t="shared" si="31"/>
        <v>2.6578332034294618</v>
      </c>
    </row>
    <row r="1953" spans="2:9">
      <c r="C1953" s="46">
        <v>2.2200000000000002</v>
      </c>
      <c r="D1953" s="3">
        <v>135.6</v>
      </c>
      <c r="E1953" s="3">
        <v>102.2</v>
      </c>
      <c r="F1953" s="3">
        <v>38.83</v>
      </c>
      <c r="G1953" s="3">
        <v>500</v>
      </c>
      <c r="H1953" s="3">
        <v>3.0150000000000001</v>
      </c>
      <c r="I1953" s="13">
        <f t="shared" si="31"/>
        <v>2.6319855781612156</v>
      </c>
    </row>
    <row r="1954" spans="2:9">
      <c r="C1954" s="46">
        <v>2.23</v>
      </c>
      <c r="D1954" s="3">
        <v>134.80000000000001</v>
      </c>
      <c r="E1954" s="3">
        <v>101.8</v>
      </c>
      <c r="F1954" s="3">
        <v>38.78</v>
      </c>
      <c r="G1954" s="3">
        <v>501.3</v>
      </c>
      <c r="H1954" s="3">
        <v>2.6280000000000001</v>
      </c>
      <c r="I1954" s="13">
        <f t="shared" si="31"/>
        <v>2.6250644662197007</v>
      </c>
    </row>
    <row r="1955" spans="2:9">
      <c r="C1955" s="46">
        <v>2.2490000000000001</v>
      </c>
      <c r="D1955" s="3">
        <v>119.7</v>
      </c>
      <c r="E1955" s="3">
        <v>101.5</v>
      </c>
      <c r="F1955" s="3">
        <v>38.409999999999997</v>
      </c>
      <c r="G1955" s="3">
        <v>498.4</v>
      </c>
      <c r="H1955" s="3">
        <v>2.7639999999999998</v>
      </c>
      <c r="I1955" s="13">
        <f t="shared" si="31"/>
        <v>2.6425410049466289</v>
      </c>
    </row>
    <row r="1956" spans="2:9">
      <c r="C1956" s="46">
        <v>2.2589999999999999</v>
      </c>
      <c r="D1956" s="3">
        <v>119.3</v>
      </c>
      <c r="E1956" s="3">
        <v>101.6</v>
      </c>
      <c r="F1956" s="3">
        <v>38.58</v>
      </c>
      <c r="G1956" s="3">
        <v>498.2</v>
      </c>
      <c r="H1956" s="3">
        <v>2.4220000000000002</v>
      </c>
      <c r="I1956" s="13">
        <f t="shared" si="31"/>
        <v>2.6334888543286676</v>
      </c>
    </row>
    <row r="1957" spans="2:9">
      <c r="C1957" s="46">
        <v>2.2629999999999999</v>
      </c>
      <c r="D1957" s="3">
        <v>113.9</v>
      </c>
      <c r="E1957" s="3">
        <v>102.2</v>
      </c>
      <c r="F1957" s="3">
        <v>38.85</v>
      </c>
      <c r="G1957" s="3">
        <v>499.3</v>
      </c>
      <c r="H1957" s="3">
        <v>2.4020000000000001</v>
      </c>
      <c r="I1957" s="13">
        <f t="shared" si="31"/>
        <v>2.6306306306306304</v>
      </c>
    </row>
    <row r="1958" spans="2:9">
      <c r="C1958" s="46">
        <v>2.2250000000000001</v>
      </c>
      <c r="D1958" s="3">
        <v>166.4</v>
      </c>
      <c r="E1958" s="3">
        <v>101.6</v>
      </c>
      <c r="F1958" s="3">
        <v>38.68</v>
      </c>
      <c r="G1958" s="3">
        <v>502.3</v>
      </c>
      <c r="H1958" s="3">
        <v>2.9209999999999998</v>
      </c>
      <c r="I1958" s="13">
        <f t="shared" si="31"/>
        <v>2.6266804550155118</v>
      </c>
    </row>
    <row r="1959" spans="2:9">
      <c r="C1959" s="46">
        <v>2.173</v>
      </c>
      <c r="D1959" s="3">
        <v>155.80000000000001</v>
      </c>
      <c r="E1959" s="3">
        <v>102.1</v>
      </c>
      <c r="F1959" s="3">
        <v>38.78</v>
      </c>
      <c r="G1959" s="3">
        <v>501.1</v>
      </c>
      <c r="H1959" s="3">
        <v>2.4119999999999999</v>
      </c>
      <c r="I1959" s="13">
        <f t="shared" si="31"/>
        <v>2.6328004125838058</v>
      </c>
    </row>
    <row r="1960" spans="2:9">
      <c r="C1960" s="46">
        <v>2.2010000000000001</v>
      </c>
      <c r="D1960" s="3">
        <v>131.80000000000001</v>
      </c>
      <c r="E1960" s="3">
        <v>102.3</v>
      </c>
      <c r="F1960" s="3">
        <v>38.89</v>
      </c>
      <c r="G1960" s="3">
        <v>501.2</v>
      </c>
      <c r="H1960" s="3">
        <v>2.718</v>
      </c>
      <c r="I1960" s="13">
        <f t="shared" si="31"/>
        <v>2.6304962715350988</v>
      </c>
    </row>
    <row r="1961" spans="2:9">
      <c r="C1961" s="46">
        <v>2.2589999999999999</v>
      </c>
      <c r="D1961" s="3">
        <v>119.3</v>
      </c>
      <c r="E1961" s="3">
        <v>101.9</v>
      </c>
      <c r="F1961" s="3">
        <v>38.56</v>
      </c>
      <c r="G1961" s="3">
        <v>501.1</v>
      </c>
      <c r="H1961" s="3">
        <v>2.5</v>
      </c>
      <c r="I1961" s="13">
        <f t="shared" si="31"/>
        <v>2.6426348547717842</v>
      </c>
    </row>
    <row r="1962" spans="2:9">
      <c r="B1962" s="16">
        <v>99</v>
      </c>
      <c r="C1962" s="47">
        <v>1.7070000000000001</v>
      </c>
      <c r="D1962" s="16">
        <v>134</v>
      </c>
      <c r="E1962" s="16">
        <v>94.06</v>
      </c>
      <c r="F1962" s="16">
        <v>26.59</v>
      </c>
      <c r="G1962" s="16">
        <v>518.70000000000005</v>
      </c>
      <c r="H1962" s="16">
        <v>2.9260000000000002</v>
      </c>
      <c r="I1962" s="13">
        <f t="shared" si="31"/>
        <v>3.5374200827378717</v>
      </c>
    </row>
    <row r="1963" spans="2:9">
      <c r="C1963" s="46">
        <v>1.65</v>
      </c>
      <c r="D1963" s="3">
        <v>127.7</v>
      </c>
      <c r="E1963" s="3">
        <v>94.43</v>
      </c>
      <c r="F1963" s="3">
        <v>26.84</v>
      </c>
      <c r="G1963" s="3">
        <v>516.70000000000005</v>
      </c>
      <c r="H1963" s="3">
        <v>2.4260000000000002</v>
      </c>
      <c r="I1963" s="13">
        <f t="shared" si="31"/>
        <v>3.5182563338301045</v>
      </c>
    </row>
    <row r="1964" spans="2:9">
      <c r="C1964" s="46">
        <v>1.6379999999999999</v>
      </c>
      <c r="D1964" s="3">
        <v>137.1</v>
      </c>
      <c r="E1964" s="3">
        <v>95.29</v>
      </c>
      <c r="F1964" s="3">
        <v>26.87</v>
      </c>
      <c r="G1964" s="3">
        <v>515.9</v>
      </c>
      <c r="H1964" s="3">
        <v>2.21</v>
      </c>
      <c r="I1964" s="13">
        <f t="shared" si="31"/>
        <v>3.5463342017119466</v>
      </c>
    </row>
    <row r="1965" spans="2:9">
      <c r="C1965" s="46">
        <v>1.573</v>
      </c>
      <c r="D1965" s="3">
        <v>128.69999999999999</v>
      </c>
      <c r="E1965" s="3">
        <v>94.9</v>
      </c>
      <c r="F1965" s="3">
        <v>26.54</v>
      </c>
      <c r="G1965" s="3">
        <v>515.6</v>
      </c>
      <c r="H1965" s="3">
        <v>2.2719999999999998</v>
      </c>
      <c r="I1965" s="13">
        <f t="shared" si="31"/>
        <v>3.5757347400150721</v>
      </c>
    </row>
    <row r="1966" spans="2:9">
      <c r="C1966" s="46">
        <v>1.532</v>
      </c>
      <c r="D1966" s="3">
        <v>122.5</v>
      </c>
      <c r="E1966" s="3">
        <v>95</v>
      </c>
      <c r="F1966" s="3">
        <v>26.34</v>
      </c>
      <c r="G1966" s="3">
        <v>512.29999999999995</v>
      </c>
      <c r="H1966" s="3">
        <v>2.5150000000000001</v>
      </c>
      <c r="I1966" s="13">
        <f t="shared" si="31"/>
        <v>3.60668185269552</v>
      </c>
    </row>
    <row r="1967" spans="2:9">
      <c r="C1967" s="46">
        <v>1.6379999999999999</v>
      </c>
      <c r="D1967" s="3">
        <v>124.5</v>
      </c>
      <c r="E1967" s="3">
        <v>95.11</v>
      </c>
      <c r="F1967" s="3">
        <v>26.12</v>
      </c>
      <c r="G1967" s="3">
        <v>513.6</v>
      </c>
      <c r="H1967" s="3">
        <v>3.157</v>
      </c>
      <c r="I1967" s="13">
        <f t="shared" si="31"/>
        <v>3.6412710566615618</v>
      </c>
    </row>
    <row r="1968" spans="2:9">
      <c r="C1968" s="46">
        <v>1.6919999999999999</v>
      </c>
      <c r="D1968" s="3">
        <v>135.1</v>
      </c>
      <c r="E1968" s="3">
        <v>94.77</v>
      </c>
      <c r="F1968" s="3">
        <v>26.03</v>
      </c>
      <c r="G1968" s="3">
        <v>517.5</v>
      </c>
      <c r="H1968" s="3">
        <v>2.2770000000000001</v>
      </c>
      <c r="I1968" s="13">
        <f t="shared" si="31"/>
        <v>3.6407990779869377</v>
      </c>
    </row>
    <row r="1969" spans="2:9">
      <c r="C1969" s="46">
        <v>1.726</v>
      </c>
      <c r="D1969" s="3">
        <v>147.30000000000001</v>
      </c>
      <c r="E1969" s="3">
        <v>94.58</v>
      </c>
      <c r="F1969" s="3">
        <v>26.23</v>
      </c>
      <c r="G1969" s="3">
        <v>521.6</v>
      </c>
      <c r="H1969" s="3">
        <v>2.7530000000000001</v>
      </c>
      <c r="I1969" s="13">
        <f t="shared" si="31"/>
        <v>3.6057948913457873</v>
      </c>
    </row>
    <row r="1970" spans="2:9">
      <c r="C1970" s="46">
        <v>1.72</v>
      </c>
      <c r="D1970" s="3">
        <v>138.4</v>
      </c>
      <c r="E1970" s="3">
        <v>94.8</v>
      </c>
      <c r="F1970" s="3">
        <v>26.39</v>
      </c>
      <c r="G1970" s="3">
        <v>522.20000000000005</v>
      </c>
      <c r="H1970" s="3">
        <v>2.9710000000000001</v>
      </c>
      <c r="I1970" s="13">
        <f t="shared" si="31"/>
        <v>3.5922697991663508</v>
      </c>
    </row>
    <row r="1971" spans="2:9">
      <c r="C1971" s="46">
        <v>1.6890000000000001</v>
      </c>
      <c r="D1971" s="3">
        <v>144.6</v>
      </c>
      <c r="E1971" s="3">
        <v>95.19</v>
      </c>
      <c r="F1971" s="3">
        <v>26.37</v>
      </c>
      <c r="G1971" s="3">
        <v>521.6</v>
      </c>
      <c r="H1971" s="3">
        <v>2.84</v>
      </c>
      <c r="I1971" s="13">
        <f t="shared" si="31"/>
        <v>3.6097838452787254</v>
      </c>
    </row>
    <row r="1972" spans="2:9">
      <c r="C1972" s="46">
        <v>1.575</v>
      </c>
      <c r="D1972" s="3">
        <v>142.9</v>
      </c>
      <c r="E1972" s="3">
        <v>94.79</v>
      </c>
      <c r="F1972" s="3">
        <v>26.1</v>
      </c>
      <c r="G1972" s="3">
        <v>518.70000000000005</v>
      </c>
      <c r="H1972" s="3">
        <v>2.5139999999999998</v>
      </c>
      <c r="I1972" s="13">
        <f t="shared" si="31"/>
        <v>3.6318007662835248</v>
      </c>
    </row>
    <row r="1973" spans="2:9">
      <c r="C1973" s="46">
        <v>1.4990000000000001</v>
      </c>
      <c r="D1973" s="3">
        <v>137.19999999999999</v>
      </c>
      <c r="E1973" s="3">
        <v>94.74</v>
      </c>
      <c r="F1973" s="3">
        <v>26.51</v>
      </c>
      <c r="G1973" s="3">
        <v>516.5</v>
      </c>
      <c r="H1973" s="3">
        <v>3.0939999999999999</v>
      </c>
      <c r="I1973" s="13">
        <f t="shared" si="31"/>
        <v>3.5737457563183699</v>
      </c>
    </row>
    <row r="1974" spans="2:9">
      <c r="C1974" s="46">
        <v>1.587</v>
      </c>
      <c r="D1974" s="3">
        <v>134</v>
      </c>
      <c r="E1974" s="3">
        <v>94.76</v>
      </c>
      <c r="F1974" s="3">
        <v>26.47</v>
      </c>
      <c r="G1974" s="3">
        <v>515.9</v>
      </c>
      <c r="H1974" s="3">
        <v>3.6120000000000001</v>
      </c>
      <c r="I1974" s="13">
        <f t="shared" si="31"/>
        <v>3.5799017755950135</v>
      </c>
    </row>
    <row r="1975" spans="2:9">
      <c r="C1975" s="46">
        <v>1.639</v>
      </c>
      <c r="D1975" s="3">
        <v>138.4</v>
      </c>
      <c r="E1975" s="3">
        <v>94.21</v>
      </c>
      <c r="F1975" s="3">
        <v>26.1</v>
      </c>
      <c r="G1975" s="3">
        <v>515.4</v>
      </c>
      <c r="H1975" s="3">
        <v>2.4260000000000002</v>
      </c>
      <c r="I1975" s="13">
        <f t="shared" si="31"/>
        <v>3.6095785440613022</v>
      </c>
    </row>
    <row r="1976" spans="2:9">
      <c r="C1976" s="46">
        <v>1.677</v>
      </c>
      <c r="D1976" s="3">
        <v>135.1</v>
      </c>
      <c r="E1976" s="3">
        <v>95.04</v>
      </c>
      <c r="F1976" s="3">
        <v>26.02</v>
      </c>
      <c r="G1976" s="3">
        <v>515.6</v>
      </c>
      <c r="H1976" s="3">
        <v>2.927</v>
      </c>
      <c r="I1976" s="13">
        <f t="shared" si="31"/>
        <v>3.6525749423520373</v>
      </c>
    </row>
    <row r="1977" spans="2:9">
      <c r="C1977" s="46">
        <v>1.6919999999999999</v>
      </c>
      <c r="D1977" s="3">
        <v>144</v>
      </c>
      <c r="E1977" s="3">
        <v>95.1</v>
      </c>
      <c r="F1977" s="3">
        <v>26.49</v>
      </c>
      <c r="G1977" s="3">
        <v>515.9</v>
      </c>
      <c r="H1977" s="3">
        <v>2.2000000000000002</v>
      </c>
      <c r="I1977" s="13">
        <f t="shared" si="31"/>
        <v>3.5900339750849377</v>
      </c>
    </row>
    <row r="1978" spans="2:9">
      <c r="C1978" s="46">
        <v>1.726</v>
      </c>
      <c r="D1978" s="3">
        <v>147.30000000000001</v>
      </c>
      <c r="E1978" s="3">
        <v>94.88</v>
      </c>
      <c r="F1978" s="3">
        <v>26.45</v>
      </c>
      <c r="G1978" s="3">
        <v>516.70000000000005</v>
      </c>
      <c r="H1978" s="3">
        <v>2.2719999999999998</v>
      </c>
      <c r="I1978" s="13">
        <f t="shared" si="31"/>
        <v>3.5871455576559548</v>
      </c>
    </row>
    <row r="1979" spans="2:9">
      <c r="C1979" s="46">
        <v>1.7070000000000001</v>
      </c>
      <c r="D1979" s="3">
        <v>138.19999999999999</v>
      </c>
      <c r="E1979" s="3">
        <v>94.68</v>
      </c>
      <c r="F1979" s="3">
        <v>26.06</v>
      </c>
      <c r="G1979" s="3">
        <v>518.70000000000005</v>
      </c>
      <c r="H1979" s="3">
        <v>2.5139999999999998</v>
      </c>
      <c r="I1979" s="13">
        <f t="shared" si="31"/>
        <v>3.6331542594013819</v>
      </c>
    </row>
    <row r="1980" spans="2:9">
      <c r="C1980" s="46">
        <v>1.61</v>
      </c>
      <c r="D1980" s="3">
        <v>138.4</v>
      </c>
      <c r="E1980" s="3">
        <v>94.63</v>
      </c>
      <c r="F1980" s="3">
        <v>26.23</v>
      </c>
      <c r="G1980" s="3">
        <v>524.29999999999995</v>
      </c>
      <c r="H1980" s="3">
        <v>3.157</v>
      </c>
      <c r="I1980" s="13">
        <f t="shared" si="31"/>
        <v>3.6077011056042698</v>
      </c>
    </row>
    <row r="1981" spans="2:9">
      <c r="C1981" s="46">
        <v>1.5780000000000001</v>
      </c>
      <c r="D1981" s="3">
        <v>127.7</v>
      </c>
      <c r="E1981" s="3">
        <v>94.52</v>
      </c>
      <c r="F1981" s="3">
        <v>26.29</v>
      </c>
      <c r="G1981" s="3">
        <v>518</v>
      </c>
      <c r="H1981" s="3">
        <v>2.84</v>
      </c>
      <c r="I1981" s="13">
        <f t="shared" si="31"/>
        <v>3.5952833777101558</v>
      </c>
    </row>
    <row r="1982" spans="2:9">
      <c r="B1982" s="16">
        <v>100</v>
      </c>
      <c r="C1982" s="47">
        <v>1.891</v>
      </c>
      <c r="D1982" s="16">
        <v>78.010000000000005</v>
      </c>
      <c r="E1982" s="16">
        <v>115.8</v>
      </c>
      <c r="F1982" s="16">
        <v>33.299999999999997</v>
      </c>
      <c r="G1982" s="16">
        <v>476.2</v>
      </c>
      <c r="H1982" s="16">
        <v>3.431</v>
      </c>
      <c r="I1982" s="13">
        <f t="shared" si="31"/>
        <v>3.4774774774774775</v>
      </c>
    </row>
    <row r="1983" spans="2:9">
      <c r="C1983" s="46">
        <v>1.89</v>
      </c>
      <c r="D1983" s="3">
        <v>82.38</v>
      </c>
      <c r="E1983" s="3">
        <v>115.6</v>
      </c>
      <c r="F1983" s="3">
        <v>33.82</v>
      </c>
      <c r="G1983" s="3">
        <v>477.1</v>
      </c>
      <c r="H1983" s="3">
        <v>3.2</v>
      </c>
      <c r="I1983" s="13">
        <f t="shared" si="31"/>
        <v>3.4180958013010052</v>
      </c>
    </row>
    <row r="1984" spans="2:9">
      <c r="C1984" s="46">
        <v>1.873</v>
      </c>
      <c r="D1984" s="3">
        <v>86.82</v>
      </c>
      <c r="E1984" s="3">
        <v>115.5</v>
      </c>
      <c r="F1984" s="3">
        <v>33.24</v>
      </c>
      <c r="G1984" s="3">
        <v>476.6</v>
      </c>
      <c r="H1984" s="3">
        <v>3.2440000000000002</v>
      </c>
      <c r="I1984" s="13">
        <f t="shared" si="31"/>
        <v>3.474729241877256</v>
      </c>
    </row>
    <row r="1985" spans="3:9">
      <c r="C1985" s="46">
        <v>1.883</v>
      </c>
      <c r="D1985" s="3">
        <v>84.81</v>
      </c>
      <c r="E1985" s="3">
        <v>115.4</v>
      </c>
      <c r="F1985" s="3">
        <v>33.54</v>
      </c>
      <c r="G1985" s="3">
        <v>478</v>
      </c>
      <c r="H1985" s="3">
        <v>3.1059999999999999</v>
      </c>
      <c r="I1985" s="13">
        <f t="shared" si="31"/>
        <v>3.4406678592725108</v>
      </c>
    </row>
    <row r="1986" spans="3:9">
      <c r="C1986" s="46">
        <v>1.89</v>
      </c>
      <c r="D1986" s="3">
        <v>93.86</v>
      </c>
      <c r="E1986" s="3">
        <v>115.7</v>
      </c>
      <c r="F1986" s="3">
        <v>33.520000000000003</v>
      </c>
      <c r="G1986" s="3">
        <v>477.3</v>
      </c>
      <c r="H1986" s="3">
        <v>3.27</v>
      </c>
      <c r="I1986" s="13">
        <f t="shared" si="31"/>
        <v>3.4516706443914078</v>
      </c>
    </row>
    <row r="1987" spans="3:9">
      <c r="C1987" s="46">
        <v>1.9079999999999999</v>
      </c>
      <c r="D1987" s="3">
        <v>100.9</v>
      </c>
      <c r="E1987" s="3">
        <v>115.8</v>
      </c>
      <c r="F1987" s="3">
        <v>33.14</v>
      </c>
      <c r="G1987" s="3">
        <v>477.1</v>
      </c>
      <c r="H1987" s="3">
        <v>3.3610000000000002</v>
      </c>
      <c r="I1987" s="13">
        <f t="shared" si="31"/>
        <v>3.4942667471333735</v>
      </c>
    </row>
    <row r="1988" spans="3:9">
      <c r="C1988" s="46">
        <v>1.907</v>
      </c>
      <c r="D1988" s="3">
        <v>94.36</v>
      </c>
      <c r="E1988" s="3">
        <v>115.1</v>
      </c>
      <c r="F1988" s="3">
        <v>33.020000000000003</v>
      </c>
      <c r="G1988" s="3">
        <v>476.2</v>
      </c>
      <c r="H1988" s="3">
        <v>3.21</v>
      </c>
      <c r="I1988" s="13">
        <f t="shared" si="31"/>
        <v>3.4857662023016349</v>
      </c>
    </row>
    <row r="1989" spans="3:9">
      <c r="C1989" s="46">
        <v>1.901</v>
      </c>
      <c r="D1989" s="3">
        <v>89.76</v>
      </c>
      <c r="E1989" s="3">
        <v>115.4</v>
      </c>
      <c r="F1989" s="3">
        <v>33.119999999999997</v>
      </c>
      <c r="G1989" s="3">
        <v>477</v>
      </c>
      <c r="H1989" s="3">
        <v>3.2</v>
      </c>
      <c r="I1989" s="13">
        <f t="shared" si="31"/>
        <v>3.4842995169082132</v>
      </c>
    </row>
    <row r="1990" spans="3:9">
      <c r="C1990" s="46">
        <v>1.89</v>
      </c>
      <c r="D1990" s="3">
        <v>78.45</v>
      </c>
      <c r="E1990" s="3">
        <v>114.9</v>
      </c>
      <c r="F1990" s="3">
        <v>33.270000000000003</v>
      </c>
      <c r="G1990" s="3">
        <v>477.5</v>
      </c>
      <c r="H1990" s="3">
        <v>3.1829999999999998</v>
      </c>
      <c r="I1990" s="13">
        <f t="shared" si="31"/>
        <v>3.4535617673579799</v>
      </c>
    </row>
    <row r="1991" spans="3:9">
      <c r="C1991" s="46">
        <v>1.901</v>
      </c>
      <c r="D1991" s="3">
        <v>78.010000000000005</v>
      </c>
      <c r="E1991" s="3">
        <v>115.1</v>
      </c>
      <c r="F1991" s="3">
        <v>33.479999999999997</v>
      </c>
      <c r="G1991" s="3">
        <v>477.3</v>
      </c>
      <c r="H1991" s="3">
        <v>3.4769999999999999</v>
      </c>
      <c r="I1991" s="13">
        <f t="shared" si="31"/>
        <v>3.4378733572281961</v>
      </c>
    </row>
    <row r="1992" spans="3:9">
      <c r="C1992" s="46">
        <v>1.8959999999999999</v>
      </c>
      <c r="D1992" s="3">
        <v>85.01</v>
      </c>
      <c r="E1992" s="3">
        <v>115.3</v>
      </c>
      <c r="F1992" s="3">
        <v>33.450000000000003</v>
      </c>
      <c r="G1992" s="3">
        <v>479.7</v>
      </c>
      <c r="H1992" s="3">
        <v>3.1829999999999998</v>
      </c>
      <c r="I1992" s="13">
        <f t="shared" si="31"/>
        <v>3.4469357249626302</v>
      </c>
    </row>
    <row r="1993" spans="3:9">
      <c r="C1993" s="46">
        <v>1.907</v>
      </c>
      <c r="D1993" s="3">
        <v>92.05</v>
      </c>
      <c r="E1993" s="3">
        <v>115.4</v>
      </c>
      <c r="F1993" s="3">
        <v>33.299999999999997</v>
      </c>
      <c r="G1993" s="3">
        <v>476.4</v>
      </c>
      <c r="H1993" s="3">
        <v>3.234</v>
      </c>
      <c r="I1993" s="13">
        <f t="shared" si="31"/>
        <v>3.4654654654654657</v>
      </c>
    </row>
    <row r="1994" spans="3:9">
      <c r="C1994" s="46">
        <v>1.9059999999999999</v>
      </c>
      <c r="D1994" s="3">
        <v>85.11</v>
      </c>
      <c r="E1994" s="3">
        <v>114.9</v>
      </c>
      <c r="F1994" s="3">
        <v>33.369999999999997</v>
      </c>
      <c r="G1994" s="3">
        <v>477.7</v>
      </c>
      <c r="H1994" s="3">
        <v>3.0139999999999998</v>
      </c>
      <c r="I1994" s="13">
        <f t="shared" si="31"/>
        <v>3.4432124662870844</v>
      </c>
    </row>
    <row r="1995" spans="3:9">
      <c r="C1995" s="46">
        <v>1.903</v>
      </c>
      <c r="D1995" s="3">
        <v>84.03</v>
      </c>
      <c r="E1995" s="3">
        <v>115.3</v>
      </c>
      <c r="F1995" s="3">
        <v>33.5</v>
      </c>
      <c r="G1995" s="3">
        <v>476</v>
      </c>
      <c r="H1995" s="3">
        <v>3.1059999999999999</v>
      </c>
      <c r="I1995" s="13">
        <f t="shared" si="31"/>
        <v>3.4417910447761195</v>
      </c>
    </row>
    <row r="1996" spans="3:9">
      <c r="C1996" s="46">
        <v>1.867</v>
      </c>
      <c r="D1996" s="3">
        <v>85.15</v>
      </c>
      <c r="E1996" s="3">
        <v>115.8</v>
      </c>
      <c r="F1996" s="3">
        <v>33.630000000000003</v>
      </c>
      <c r="G1996" s="3">
        <v>477.3</v>
      </c>
      <c r="H1996" s="3">
        <v>3.403</v>
      </c>
      <c r="I1996" s="13">
        <f t="shared" si="31"/>
        <v>3.4433541480820691</v>
      </c>
    </row>
    <row r="1997" spans="3:9">
      <c r="C1997" s="46">
        <v>1.8009999999999999</v>
      </c>
      <c r="D1997" s="3">
        <v>89.76</v>
      </c>
      <c r="E1997" s="3">
        <v>115.7</v>
      </c>
      <c r="F1997" s="3">
        <v>33.65</v>
      </c>
      <c r="G1997" s="3">
        <v>477.1</v>
      </c>
      <c r="H1997" s="3">
        <v>3.4580000000000002</v>
      </c>
      <c r="I1997" s="13">
        <f t="shared" si="31"/>
        <v>3.4383358098068353</v>
      </c>
    </row>
    <row r="1998" spans="3:9">
      <c r="C1998" s="46">
        <v>1.851</v>
      </c>
      <c r="D1998" s="3">
        <v>94.36</v>
      </c>
      <c r="E1998" s="3">
        <v>115.7</v>
      </c>
      <c r="F1998" s="3">
        <v>33.520000000000003</v>
      </c>
      <c r="G1998" s="3">
        <v>478</v>
      </c>
      <c r="H1998" s="3">
        <v>3.4089999999999998</v>
      </c>
      <c r="I1998" s="13">
        <f t="shared" si="31"/>
        <v>3.4516706443914078</v>
      </c>
    </row>
    <row r="1999" spans="3:9">
      <c r="C1999" s="46">
        <v>1.8480000000000001</v>
      </c>
      <c r="D1999" s="3">
        <v>93.14</v>
      </c>
      <c r="E1999" s="3">
        <v>115.6</v>
      </c>
      <c r="F1999" s="3">
        <v>33.46</v>
      </c>
      <c r="G1999" s="3">
        <v>480.2</v>
      </c>
      <c r="H1999" s="3">
        <v>3.5840000000000001</v>
      </c>
      <c r="I1999" s="13">
        <f t="shared" si="31"/>
        <v>3.4548714883442915</v>
      </c>
    </row>
    <row r="2000" spans="3:9">
      <c r="C2000" s="46">
        <v>1.877</v>
      </c>
      <c r="D2000" s="3">
        <v>93.42</v>
      </c>
      <c r="E2000" s="3">
        <v>115.5</v>
      </c>
      <c r="F2000" s="3">
        <v>33.14</v>
      </c>
      <c r="G2000" s="3">
        <v>480</v>
      </c>
      <c r="H2000" s="3">
        <v>3.7559999999999998</v>
      </c>
      <c r="I2000" s="13">
        <f t="shared" si="31"/>
        <v>3.4852142426071211</v>
      </c>
    </row>
    <row r="2001" spans="2:9">
      <c r="C2001" s="46">
        <v>1.88</v>
      </c>
      <c r="D2001" s="3">
        <v>83.41</v>
      </c>
      <c r="E2001" s="3">
        <v>115.2</v>
      </c>
      <c r="F2001" s="3">
        <v>33</v>
      </c>
      <c r="G2001" s="3">
        <v>477.2</v>
      </c>
      <c r="H2001" s="3">
        <v>3.0449999999999999</v>
      </c>
      <c r="I2001" s="13">
        <f t="shared" si="31"/>
        <v>3.4909090909090912</v>
      </c>
    </row>
    <row r="2002" spans="2:9">
      <c r="B2002" s="30" t="s">
        <v>8</v>
      </c>
      <c r="C2002" s="58">
        <f t="shared" ref="C2002:I2002" si="32">AVERAGE(C2:C2001)</f>
        <v>2.1666600000000091</v>
      </c>
      <c r="D2002" s="31">
        <f>AVERAGE(D2:D2001)</f>
        <v>117.78807500000001</v>
      </c>
      <c r="E2002" s="58">
        <f t="shared" si="32"/>
        <v>97.450445000000045</v>
      </c>
      <c r="F2002" s="58">
        <f t="shared" si="32"/>
        <v>28.223090500000001</v>
      </c>
      <c r="G2002" s="58">
        <f t="shared" si="32"/>
        <v>486.13468000000017</v>
      </c>
      <c r="H2002" s="58">
        <f t="shared" si="32"/>
        <v>2.7542335000000024</v>
      </c>
      <c r="I2002" s="32">
        <f t="shared" si="32"/>
        <v>3.5948140747362229</v>
      </c>
    </row>
    <row r="2003" spans="2:9">
      <c r="D2003" s="20"/>
      <c r="F2003" s="20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003"/>
  <sheetViews>
    <sheetView topLeftCell="A1946" zoomScale="77" zoomScaleNormal="77" workbookViewId="0">
      <selection activeCell="D1937" sqref="D1:D1048576"/>
    </sheetView>
  </sheetViews>
  <sheetFormatPr defaultColWidth="9.21875" defaultRowHeight="14.4"/>
  <cols>
    <col min="2" max="2" width="10.5546875" style="46" customWidth="1"/>
    <col min="3" max="3" width="20.21875" style="40" customWidth="1"/>
    <col min="4" max="4" width="23.21875" style="34" customWidth="1"/>
    <col min="5" max="6" width="14.109375" style="23" customWidth="1"/>
    <col min="7" max="7" width="20.21875" style="23" customWidth="1"/>
    <col min="8" max="8" width="28.88671875" style="40" customWidth="1"/>
    <col min="9" max="9" width="13.44140625" style="13" customWidth="1"/>
    <col min="10" max="10" width="12.44140625" customWidth="1"/>
  </cols>
  <sheetData>
    <row r="1" spans="2:10" ht="21">
      <c r="B1" s="14" t="s">
        <v>0</v>
      </c>
      <c r="C1" s="54" t="s">
        <v>1</v>
      </c>
      <c r="D1" s="5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48"/>
    </row>
    <row r="2" spans="2:10">
      <c r="B2" s="47">
        <v>1</v>
      </c>
      <c r="C2" s="39">
        <v>2.8679999999999999</v>
      </c>
      <c r="D2" s="37">
        <v>117.3</v>
      </c>
      <c r="E2" s="38">
        <v>106.5</v>
      </c>
      <c r="F2" s="38">
        <v>45.71</v>
      </c>
      <c r="G2" s="38">
        <v>501.8</v>
      </c>
      <c r="H2" s="39">
        <v>3.8780000000000001</v>
      </c>
      <c r="I2" s="13">
        <f>E2/F2</f>
        <v>2.3299059286808137</v>
      </c>
      <c r="J2" s="48"/>
    </row>
    <row r="3" spans="2:10">
      <c r="C3" s="40">
        <v>2.8570000000000002</v>
      </c>
      <c r="D3" s="34">
        <v>120.3</v>
      </c>
      <c r="E3" s="23">
        <v>107.8</v>
      </c>
      <c r="F3" s="23">
        <v>46.32</v>
      </c>
      <c r="G3" s="23">
        <v>504.3</v>
      </c>
      <c r="H3" s="40">
        <v>3.976</v>
      </c>
      <c r="I3" s="13">
        <f t="shared" ref="I3:I66" si="0">E3/F3</f>
        <v>2.3272884283246977</v>
      </c>
      <c r="J3" s="48"/>
    </row>
    <row r="4" spans="2:10">
      <c r="C4" s="40">
        <v>2.7040000000000002</v>
      </c>
      <c r="D4" s="34">
        <v>131.4</v>
      </c>
      <c r="E4" s="23">
        <v>110.4</v>
      </c>
      <c r="F4" s="23">
        <v>46.75</v>
      </c>
      <c r="G4" s="23">
        <v>504.5</v>
      </c>
      <c r="H4" s="40">
        <v>4.1749999999999998</v>
      </c>
      <c r="I4" s="13">
        <f t="shared" si="0"/>
        <v>2.3614973262032088</v>
      </c>
      <c r="J4" s="48"/>
    </row>
    <row r="5" spans="2:10">
      <c r="C5" s="40">
        <v>2.7050000000000001</v>
      </c>
      <c r="D5" s="34">
        <v>147</v>
      </c>
      <c r="E5" s="23">
        <v>110.7</v>
      </c>
      <c r="F5" s="23">
        <v>46.71</v>
      </c>
      <c r="G5" s="23">
        <v>501.8</v>
      </c>
      <c r="H5" s="40">
        <v>3.9279999999999999</v>
      </c>
      <c r="I5" s="13">
        <f t="shared" si="0"/>
        <v>2.3699421965317917</v>
      </c>
      <c r="J5" s="48"/>
    </row>
    <row r="6" spans="2:10">
      <c r="C6" s="40">
        <v>2.8679999999999999</v>
      </c>
      <c r="D6" s="34">
        <v>138.80000000000001</v>
      </c>
      <c r="E6" s="23">
        <v>110.8</v>
      </c>
      <c r="F6" s="23">
        <v>45.87</v>
      </c>
      <c r="G6" s="23">
        <v>500.8</v>
      </c>
      <c r="H6" s="40">
        <v>3.7330000000000001</v>
      </c>
      <c r="I6" s="13">
        <f t="shared" si="0"/>
        <v>2.4155221277523435</v>
      </c>
      <c r="J6" s="48"/>
    </row>
    <row r="7" spans="2:10">
      <c r="C7" s="40">
        <v>2.851</v>
      </c>
      <c r="D7" s="34">
        <v>136.4</v>
      </c>
      <c r="E7" s="23">
        <v>109.6</v>
      </c>
      <c r="F7" s="23">
        <v>43.9</v>
      </c>
      <c r="G7" s="23">
        <v>503.4</v>
      </c>
      <c r="H7" s="40">
        <v>3.8180000000000001</v>
      </c>
      <c r="I7" s="13">
        <f t="shared" si="0"/>
        <v>2.4965831435079728</v>
      </c>
      <c r="J7" s="48"/>
    </row>
    <row r="8" spans="2:10">
      <c r="C8" s="40">
        <v>2.8769999999999998</v>
      </c>
      <c r="D8" s="34">
        <v>140.4</v>
      </c>
      <c r="E8" s="23">
        <v>112.7</v>
      </c>
      <c r="F8" s="23">
        <v>45.99</v>
      </c>
      <c r="G8" s="23">
        <v>504.5</v>
      </c>
      <c r="H8" s="40">
        <v>3.9470000000000001</v>
      </c>
      <c r="I8" s="13">
        <f t="shared" si="0"/>
        <v>2.4505327245053272</v>
      </c>
      <c r="J8" s="48"/>
    </row>
    <row r="9" spans="2:10">
      <c r="C9" s="40">
        <v>2.8679999999999999</v>
      </c>
      <c r="D9" s="34">
        <v>121.6</v>
      </c>
      <c r="E9" s="23">
        <v>111.5</v>
      </c>
      <c r="F9" s="23">
        <v>45.71</v>
      </c>
      <c r="G9" s="23">
        <v>501.6</v>
      </c>
      <c r="H9" s="40">
        <v>3.9860000000000002</v>
      </c>
      <c r="I9" s="13">
        <f t="shared" si="0"/>
        <v>2.4392911835484576</v>
      </c>
      <c r="J9" s="48"/>
    </row>
    <row r="10" spans="2:10">
      <c r="C10" s="40">
        <v>2.8570000000000002</v>
      </c>
      <c r="D10" s="34">
        <v>142</v>
      </c>
      <c r="E10" s="23">
        <v>112.2</v>
      </c>
      <c r="F10" s="23">
        <v>46.61</v>
      </c>
      <c r="G10" s="23">
        <v>500.8</v>
      </c>
      <c r="H10" s="40">
        <v>3.867</v>
      </c>
      <c r="I10" s="13">
        <f t="shared" si="0"/>
        <v>2.4072087534863762</v>
      </c>
      <c r="J10" s="48"/>
    </row>
    <row r="11" spans="2:10">
      <c r="C11" s="40">
        <v>2.7040000000000002</v>
      </c>
      <c r="D11" s="34">
        <v>145.30000000000001</v>
      </c>
      <c r="E11" s="23">
        <v>110.3</v>
      </c>
      <c r="F11" s="23">
        <v>46.54</v>
      </c>
      <c r="G11" s="23">
        <v>501.8</v>
      </c>
      <c r="H11" s="40">
        <v>3.855</v>
      </c>
      <c r="I11" s="13">
        <f t="shared" si="0"/>
        <v>2.3700042973785989</v>
      </c>
      <c r="J11" s="48"/>
    </row>
    <row r="12" spans="2:10">
      <c r="C12" s="40">
        <v>2.7050000000000001</v>
      </c>
      <c r="D12" s="34">
        <v>163.9</v>
      </c>
      <c r="E12" s="23">
        <v>108.9</v>
      </c>
      <c r="F12" s="23">
        <v>46.07</v>
      </c>
      <c r="G12" s="23">
        <v>509.1</v>
      </c>
      <c r="H12" s="40">
        <v>3.863</v>
      </c>
      <c r="I12" s="13">
        <f t="shared" si="0"/>
        <v>2.3637942261775562</v>
      </c>
      <c r="J12" s="48"/>
    </row>
    <row r="13" spans="2:10">
      <c r="C13" s="40">
        <v>2.69</v>
      </c>
      <c r="D13" s="34">
        <v>176.9</v>
      </c>
      <c r="E13" s="23">
        <v>109.4</v>
      </c>
      <c r="F13" s="23">
        <v>46.87</v>
      </c>
      <c r="G13" s="23">
        <v>512.70000000000005</v>
      </c>
      <c r="H13" s="40">
        <v>3.6640000000000001</v>
      </c>
      <c r="I13" s="13">
        <f t="shared" si="0"/>
        <v>2.3341156390014937</v>
      </c>
      <c r="J13" s="48"/>
    </row>
    <row r="14" spans="2:10">
      <c r="C14" s="40">
        <v>2.7010000000000001</v>
      </c>
      <c r="D14" s="34">
        <v>187.8</v>
      </c>
      <c r="E14" s="23">
        <v>109.1</v>
      </c>
      <c r="F14" s="23">
        <v>46.81</v>
      </c>
      <c r="G14" s="23">
        <v>511.2</v>
      </c>
      <c r="H14" s="40">
        <v>4.0780000000000003</v>
      </c>
      <c r="I14" s="13">
        <f t="shared" si="0"/>
        <v>2.3306985686819055</v>
      </c>
      <c r="J14" s="48"/>
    </row>
    <row r="15" spans="2:10">
      <c r="C15" s="40">
        <v>2.7040000000000002</v>
      </c>
      <c r="D15" s="34">
        <v>158.4</v>
      </c>
      <c r="E15" s="23">
        <v>110.1</v>
      </c>
      <c r="F15" s="23">
        <v>45.2</v>
      </c>
      <c r="G15" s="23">
        <v>513.5</v>
      </c>
      <c r="H15" s="40">
        <v>3.9169999999999998</v>
      </c>
      <c r="I15" s="13">
        <f t="shared" si="0"/>
        <v>2.4358407079646014</v>
      </c>
      <c r="J15" s="48"/>
    </row>
    <row r="16" spans="2:10">
      <c r="C16" s="40">
        <v>2.4990000000000001</v>
      </c>
      <c r="D16" s="34">
        <v>145.30000000000001</v>
      </c>
      <c r="E16" s="23">
        <v>111.7</v>
      </c>
      <c r="F16" s="23">
        <v>48.15</v>
      </c>
      <c r="G16" s="23">
        <v>517.5</v>
      </c>
      <c r="H16" s="40">
        <v>3.915</v>
      </c>
      <c r="I16" s="13">
        <f t="shared" si="0"/>
        <v>2.3198338525441331</v>
      </c>
      <c r="J16" s="48"/>
    </row>
    <row r="17" spans="2:10">
      <c r="C17" s="40">
        <v>2.492</v>
      </c>
      <c r="D17" s="34">
        <v>142</v>
      </c>
      <c r="E17" s="23">
        <v>111.3</v>
      </c>
      <c r="F17" s="23">
        <v>46.93</v>
      </c>
      <c r="G17" s="23">
        <v>518.6</v>
      </c>
      <c r="H17" s="40">
        <v>3.8340000000000001</v>
      </c>
      <c r="I17" s="13">
        <f t="shared" si="0"/>
        <v>2.3716173023652249</v>
      </c>
      <c r="J17" s="48"/>
    </row>
    <row r="18" spans="2:10">
      <c r="C18" s="40">
        <v>2.6280000000000001</v>
      </c>
      <c r="D18" s="34">
        <v>140.4</v>
      </c>
      <c r="E18" s="23">
        <v>110.1</v>
      </c>
      <c r="F18" s="23">
        <v>45.81</v>
      </c>
      <c r="G18" s="23">
        <v>518</v>
      </c>
      <c r="H18" s="40">
        <v>4.0590000000000002</v>
      </c>
      <c r="I18" s="13">
        <f t="shared" si="0"/>
        <v>2.4034053700065487</v>
      </c>
      <c r="J18" s="48"/>
    </row>
    <row r="19" spans="2:10">
      <c r="C19" s="40">
        <v>2.6909999999999998</v>
      </c>
      <c r="D19" s="34">
        <v>142.9</v>
      </c>
      <c r="E19" s="23">
        <v>109</v>
      </c>
      <c r="F19" s="23">
        <v>45.08</v>
      </c>
      <c r="G19" s="23">
        <v>511.6</v>
      </c>
      <c r="H19" s="40">
        <v>4.1550000000000002</v>
      </c>
      <c r="I19" s="13">
        <f t="shared" si="0"/>
        <v>2.4179236912156168</v>
      </c>
      <c r="J19" s="48"/>
    </row>
    <row r="20" spans="2:10">
      <c r="C20" s="40">
        <v>2.7050000000000001</v>
      </c>
      <c r="D20" s="34">
        <v>150.19999999999999</v>
      </c>
      <c r="E20" s="23">
        <v>108.5</v>
      </c>
      <c r="F20" s="23">
        <v>45.97</v>
      </c>
      <c r="G20" s="23">
        <v>509.9</v>
      </c>
      <c r="H20" s="40">
        <v>4.0730000000000004</v>
      </c>
      <c r="I20" s="13">
        <f t="shared" si="0"/>
        <v>2.3602349358277137</v>
      </c>
      <c r="J20" s="48"/>
    </row>
    <row r="21" spans="2:10">
      <c r="C21" s="40">
        <v>2.6859999999999999</v>
      </c>
      <c r="D21" s="34">
        <v>119.4</v>
      </c>
      <c r="E21" s="23">
        <v>110.5</v>
      </c>
      <c r="F21" s="23">
        <v>46.91</v>
      </c>
      <c r="G21" s="23">
        <v>509.3</v>
      </c>
      <c r="H21" s="40">
        <v>3.9279999999999999</v>
      </c>
      <c r="I21" s="13">
        <f t="shared" si="0"/>
        <v>2.3555745043700704</v>
      </c>
      <c r="J21" s="48"/>
    </row>
    <row r="22" spans="2:10">
      <c r="B22" s="47">
        <v>2</v>
      </c>
      <c r="C22" s="39">
        <v>3.04</v>
      </c>
      <c r="D22" s="37">
        <v>155.9</v>
      </c>
      <c r="E22" s="38">
        <v>96.11</v>
      </c>
      <c r="F22" s="38">
        <v>24.89</v>
      </c>
      <c r="G22" s="38">
        <v>423.4</v>
      </c>
      <c r="H22" s="39">
        <v>3.9449999999999998</v>
      </c>
      <c r="I22" s="13">
        <f t="shared" si="0"/>
        <v>3.8613901165126556</v>
      </c>
      <c r="J22" s="48"/>
    </row>
    <row r="23" spans="2:10">
      <c r="C23" s="40">
        <v>2.988</v>
      </c>
      <c r="D23" s="34">
        <v>149.1</v>
      </c>
      <c r="E23" s="23">
        <v>94.19</v>
      </c>
      <c r="F23" s="23">
        <v>23.72</v>
      </c>
      <c r="G23" s="23">
        <v>415</v>
      </c>
      <c r="H23" s="40">
        <v>3.9380000000000002</v>
      </c>
      <c r="I23" s="13">
        <f t="shared" si="0"/>
        <v>3.970910623946037</v>
      </c>
      <c r="J23" s="48"/>
    </row>
    <row r="24" spans="2:10">
      <c r="C24" s="40">
        <v>3.1579999999999999</v>
      </c>
      <c r="D24" s="34">
        <v>151.1</v>
      </c>
      <c r="E24" s="23">
        <v>95.88</v>
      </c>
      <c r="F24" s="23">
        <v>24.04</v>
      </c>
      <c r="G24" s="23">
        <v>428.4</v>
      </c>
      <c r="H24" s="40">
        <v>3.9260000000000002</v>
      </c>
      <c r="I24" s="13">
        <f t="shared" si="0"/>
        <v>3.9883527454242929</v>
      </c>
      <c r="J24" s="48"/>
    </row>
    <row r="25" spans="2:10">
      <c r="C25" s="40">
        <v>3.101</v>
      </c>
      <c r="D25" s="34">
        <v>144.6</v>
      </c>
      <c r="E25" s="23">
        <v>94.92</v>
      </c>
      <c r="F25" s="23">
        <v>24.14</v>
      </c>
      <c r="G25" s="23">
        <v>423.8</v>
      </c>
      <c r="H25" s="40">
        <v>4.0279999999999996</v>
      </c>
      <c r="I25" s="13">
        <f t="shared" si="0"/>
        <v>3.932062966031483</v>
      </c>
      <c r="J25" s="48"/>
    </row>
    <row r="26" spans="2:10">
      <c r="C26" s="40">
        <v>3.1070000000000002</v>
      </c>
      <c r="D26" s="34">
        <v>124.4</v>
      </c>
      <c r="E26" s="23">
        <v>96.46</v>
      </c>
      <c r="F26" s="23">
        <v>24.46</v>
      </c>
      <c r="G26" s="23">
        <v>425.3</v>
      </c>
      <c r="H26" s="40">
        <v>4.0410000000000004</v>
      </c>
      <c r="I26" s="13">
        <f t="shared" si="0"/>
        <v>3.9435813573180698</v>
      </c>
      <c r="J26" s="48"/>
    </row>
    <row r="27" spans="2:10">
      <c r="C27" s="40">
        <v>3.0880000000000001</v>
      </c>
      <c r="D27" s="34">
        <v>86.6</v>
      </c>
      <c r="E27" s="23">
        <v>94.52</v>
      </c>
      <c r="F27" s="23">
        <v>23.86</v>
      </c>
      <c r="G27" s="23">
        <v>426</v>
      </c>
      <c r="H27" s="40">
        <v>3.8839999999999999</v>
      </c>
      <c r="I27" s="13">
        <f t="shared" si="0"/>
        <v>3.9614417435037721</v>
      </c>
      <c r="J27" s="48"/>
    </row>
    <row r="28" spans="2:10">
      <c r="C28" s="40">
        <v>3.0339999999999998</v>
      </c>
      <c r="D28" s="34">
        <v>144.6</v>
      </c>
      <c r="E28" s="23">
        <v>94.57</v>
      </c>
      <c r="F28" s="23">
        <v>22.64</v>
      </c>
      <c r="G28" s="23">
        <v>419.3</v>
      </c>
      <c r="H28" s="40">
        <v>4.0279999999999996</v>
      </c>
      <c r="I28" s="13">
        <f t="shared" si="0"/>
        <v>4.1771201413427557</v>
      </c>
      <c r="J28" s="48"/>
    </row>
    <row r="29" spans="2:10">
      <c r="C29" s="40">
        <v>3.0760000000000001</v>
      </c>
      <c r="D29" s="34">
        <v>145.1</v>
      </c>
      <c r="E29" s="23">
        <v>93.59</v>
      </c>
      <c r="F29" s="23">
        <v>24.5</v>
      </c>
      <c r="G29" s="23">
        <v>422.5</v>
      </c>
      <c r="H29" s="40">
        <v>3.782</v>
      </c>
      <c r="I29" s="13">
        <f t="shared" si="0"/>
        <v>3.8200000000000003</v>
      </c>
      <c r="J29" s="48"/>
    </row>
    <row r="30" spans="2:10">
      <c r="C30" s="40">
        <v>3.1579999999999999</v>
      </c>
      <c r="D30" s="34">
        <v>137.9</v>
      </c>
      <c r="E30" s="23">
        <v>94.7</v>
      </c>
      <c r="F30" s="23">
        <v>23.29</v>
      </c>
      <c r="G30" s="23">
        <v>437.5</v>
      </c>
      <c r="H30" s="40">
        <v>4.0430000000000001</v>
      </c>
      <c r="I30" s="13">
        <f t="shared" si="0"/>
        <v>4.0661227994847575</v>
      </c>
      <c r="J30" s="48"/>
    </row>
    <row r="31" spans="2:10">
      <c r="C31" s="40">
        <v>2.976</v>
      </c>
      <c r="D31" s="34">
        <v>154.4</v>
      </c>
      <c r="E31" s="23">
        <v>96.52</v>
      </c>
      <c r="F31" s="23">
        <v>23.48</v>
      </c>
      <c r="G31" s="23">
        <v>442</v>
      </c>
      <c r="H31" s="40">
        <v>4.0010000000000003</v>
      </c>
      <c r="I31" s="13">
        <f t="shared" si="0"/>
        <v>4.1107325383304936</v>
      </c>
      <c r="J31" s="48"/>
    </row>
    <row r="32" spans="2:10">
      <c r="C32" s="40">
        <v>3.1309999999999998</v>
      </c>
      <c r="D32" s="34">
        <v>155</v>
      </c>
      <c r="E32" s="23">
        <v>96.11</v>
      </c>
      <c r="F32" s="23">
        <v>23.29</v>
      </c>
      <c r="G32" s="23">
        <v>438.5</v>
      </c>
      <c r="H32" s="40">
        <v>3.8969999999999998</v>
      </c>
      <c r="I32" s="13">
        <f t="shared" si="0"/>
        <v>4.1266638042078148</v>
      </c>
      <c r="J32" s="48"/>
    </row>
    <row r="33" spans="2:10">
      <c r="C33" s="40">
        <v>3.04</v>
      </c>
      <c r="D33" s="34">
        <v>165.4</v>
      </c>
      <c r="E33" s="23">
        <v>94.48</v>
      </c>
      <c r="F33" s="23">
        <v>23.14</v>
      </c>
      <c r="G33" s="23">
        <v>430.7</v>
      </c>
      <c r="H33" s="40">
        <v>3.8839999999999999</v>
      </c>
      <c r="I33" s="13">
        <f t="shared" si="0"/>
        <v>4.0829732065687123</v>
      </c>
      <c r="J33" s="48"/>
    </row>
    <row r="34" spans="2:10">
      <c r="C34" s="40">
        <v>2.9710000000000001</v>
      </c>
      <c r="D34" s="34">
        <v>183.4</v>
      </c>
      <c r="E34" s="23">
        <v>94.09</v>
      </c>
      <c r="F34" s="23">
        <v>21.92</v>
      </c>
      <c r="G34" s="23">
        <v>430</v>
      </c>
      <c r="H34" s="40">
        <v>3.665</v>
      </c>
      <c r="I34" s="13">
        <f t="shared" si="0"/>
        <v>4.2924270072992696</v>
      </c>
      <c r="J34" s="48"/>
    </row>
    <row r="35" spans="2:10">
      <c r="C35" s="40">
        <v>3.1030000000000002</v>
      </c>
      <c r="D35" s="34">
        <v>180.1</v>
      </c>
      <c r="E35" s="23">
        <v>94.64</v>
      </c>
      <c r="F35" s="23">
        <v>24.91</v>
      </c>
      <c r="G35" s="23">
        <v>428.3</v>
      </c>
      <c r="H35" s="40">
        <v>3.8959999999999999</v>
      </c>
      <c r="I35" s="13">
        <f t="shared" si="0"/>
        <v>3.7992773986350863</v>
      </c>
      <c r="J35" s="48"/>
    </row>
    <row r="36" spans="2:10">
      <c r="C36" s="40">
        <v>3.1320000000000001</v>
      </c>
      <c r="D36" s="34">
        <v>171.8</v>
      </c>
      <c r="E36" s="23">
        <v>94.68</v>
      </c>
      <c r="F36" s="23">
        <v>23.62</v>
      </c>
      <c r="G36" s="23">
        <v>431.2</v>
      </c>
      <c r="H36" s="40">
        <v>3.931</v>
      </c>
      <c r="I36" s="13">
        <f t="shared" si="0"/>
        <v>4.0084674005080441</v>
      </c>
      <c r="J36" s="48"/>
    </row>
    <row r="37" spans="2:10">
      <c r="C37" s="40">
        <v>3.11</v>
      </c>
      <c r="D37" s="34">
        <v>155.9</v>
      </c>
      <c r="E37" s="23">
        <v>95.48</v>
      </c>
      <c r="F37" s="23">
        <v>23.45</v>
      </c>
      <c r="G37" s="23">
        <v>430.7</v>
      </c>
      <c r="H37" s="40">
        <v>4.4139999999999997</v>
      </c>
      <c r="I37" s="13">
        <f t="shared" si="0"/>
        <v>4.071641791044776</v>
      </c>
      <c r="J37" s="48"/>
    </row>
    <row r="38" spans="2:10">
      <c r="C38" s="40">
        <v>3.137</v>
      </c>
      <c r="D38" s="34">
        <v>149.1</v>
      </c>
      <c r="E38" s="23">
        <v>96.25</v>
      </c>
      <c r="F38" s="23">
        <v>23.14</v>
      </c>
      <c r="G38" s="23">
        <v>437.5</v>
      </c>
      <c r="H38" s="40">
        <v>3.8969999999999998</v>
      </c>
      <c r="I38" s="13">
        <f t="shared" si="0"/>
        <v>4.1594641313742438</v>
      </c>
      <c r="J38" s="48"/>
    </row>
    <row r="39" spans="2:10">
      <c r="C39" s="40">
        <v>3.0470000000000002</v>
      </c>
      <c r="D39" s="34">
        <v>149</v>
      </c>
      <c r="E39" s="23">
        <v>94.64</v>
      </c>
      <c r="F39" s="23">
        <v>22.49</v>
      </c>
      <c r="G39" s="23">
        <v>441</v>
      </c>
      <c r="H39" s="40">
        <v>3.9529999999999998</v>
      </c>
      <c r="I39" s="13">
        <f t="shared" si="0"/>
        <v>4.2080924855491331</v>
      </c>
      <c r="J39" s="48"/>
    </row>
    <row r="40" spans="2:10">
      <c r="C40" s="40">
        <v>3.0289999999999999</v>
      </c>
      <c r="D40" s="34">
        <v>144.6</v>
      </c>
      <c r="E40" s="23">
        <v>94.51</v>
      </c>
      <c r="F40" s="23">
        <v>23.02</v>
      </c>
      <c r="G40" s="23">
        <v>442.9</v>
      </c>
      <c r="H40" s="40">
        <v>3.9319999999999999</v>
      </c>
      <c r="I40" s="13">
        <f t="shared" si="0"/>
        <v>4.1055603822762814</v>
      </c>
      <c r="J40" s="48"/>
    </row>
    <row r="41" spans="2:10">
      <c r="C41" s="40">
        <v>3.0179999999999998</v>
      </c>
      <c r="D41" s="34">
        <v>151.1</v>
      </c>
      <c r="E41" s="23">
        <v>96.75</v>
      </c>
      <c r="F41" s="23">
        <v>22.56</v>
      </c>
      <c r="G41" s="23">
        <v>432.8</v>
      </c>
      <c r="H41" s="40">
        <v>3.9220000000000002</v>
      </c>
      <c r="I41" s="13">
        <f t="shared" si="0"/>
        <v>4.2885638297872344</v>
      </c>
      <c r="J41" s="48"/>
    </row>
    <row r="42" spans="2:10">
      <c r="B42" s="47">
        <v>3</v>
      </c>
      <c r="C42" s="39">
        <v>2.1320000000000001</v>
      </c>
      <c r="D42" s="37">
        <v>149.19999999999999</v>
      </c>
      <c r="E42" s="38">
        <v>97.93</v>
      </c>
      <c r="F42" s="38">
        <v>37.99</v>
      </c>
      <c r="G42" s="38">
        <v>410.7</v>
      </c>
      <c r="H42" s="39">
        <v>4.5279999999999996</v>
      </c>
      <c r="I42" s="13">
        <f t="shared" si="0"/>
        <v>2.5777836272703345</v>
      </c>
      <c r="J42" s="48"/>
    </row>
    <row r="43" spans="2:10">
      <c r="C43" s="40">
        <v>2.4580000000000002</v>
      </c>
      <c r="D43" s="34">
        <v>127.7</v>
      </c>
      <c r="E43" s="23">
        <v>96.11</v>
      </c>
      <c r="F43" s="23">
        <v>36.450000000000003</v>
      </c>
      <c r="G43" s="23">
        <v>409.4</v>
      </c>
      <c r="H43" s="40">
        <v>4.4790000000000001</v>
      </c>
      <c r="I43" s="13">
        <f t="shared" si="0"/>
        <v>2.6367626886145401</v>
      </c>
      <c r="J43" s="48"/>
    </row>
    <row r="44" spans="2:10">
      <c r="C44" s="40">
        <v>2.585</v>
      </c>
      <c r="D44" s="34">
        <v>129.4</v>
      </c>
      <c r="E44" s="23">
        <v>99.3</v>
      </c>
      <c r="F44" s="23">
        <v>36.78</v>
      </c>
      <c r="G44" s="23">
        <v>410.6</v>
      </c>
      <c r="H44" s="40">
        <v>5.3209999999999997</v>
      </c>
      <c r="I44" s="13">
        <f t="shared" si="0"/>
        <v>2.6998368678629689</v>
      </c>
      <c r="J44" s="48"/>
    </row>
    <row r="45" spans="2:10">
      <c r="C45" s="40">
        <v>2.7250000000000001</v>
      </c>
      <c r="D45" s="34">
        <v>135.69999999999999</v>
      </c>
      <c r="E45" s="23">
        <v>98.89</v>
      </c>
      <c r="F45" s="23">
        <v>36.479999999999997</v>
      </c>
      <c r="G45" s="23">
        <v>411.8</v>
      </c>
      <c r="H45" s="40">
        <v>5.3860000000000001</v>
      </c>
      <c r="I45" s="13">
        <f t="shared" si="0"/>
        <v>2.7108004385964914</v>
      </c>
      <c r="J45" s="48"/>
    </row>
    <row r="46" spans="2:10">
      <c r="C46" s="40">
        <v>2.8130000000000002</v>
      </c>
      <c r="D46" s="34">
        <v>143.80000000000001</v>
      </c>
      <c r="E46" s="23">
        <v>97.81</v>
      </c>
      <c r="F46" s="23">
        <v>36.299999999999997</v>
      </c>
      <c r="G46" s="23">
        <v>407</v>
      </c>
      <c r="H46" s="40">
        <v>5.0940000000000003</v>
      </c>
      <c r="I46" s="13">
        <f t="shared" si="0"/>
        <v>2.6944903581267221</v>
      </c>
      <c r="J46" s="48"/>
    </row>
    <row r="47" spans="2:10">
      <c r="C47" s="40">
        <v>2.8029999999999999</v>
      </c>
      <c r="D47" s="34">
        <v>147.4</v>
      </c>
      <c r="E47" s="23">
        <v>98.03</v>
      </c>
      <c r="F47" s="23">
        <v>36.61</v>
      </c>
      <c r="G47" s="23">
        <v>408.2</v>
      </c>
      <c r="H47" s="40">
        <v>4.2050000000000001</v>
      </c>
      <c r="I47" s="13">
        <f t="shared" si="0"/>
        <v>2.67768369298006</v>
      </c>
      <c r="J47" s="48"/>
    </row>
    <row r="48" spans="2:10">
      <c r="C48" s="40">
        <v>2.7730000000000001</v>
      </c>
      <c r="D48" s="34">
        <v>145.9</v>
      </c>
      <c r="E48" s="23">
        <v>98.67</v>
      </c>
      <c r="F48" s="23">
        <v>35.96</v>
      </c>
      <c r="G48" s="23">
        <v>409.4</v>
      </c>
      <c r="H48" s="40">
        <v>3.1840000000000002</v>
      </c>
      <c r="I48" s="13">
        <f t="shared" si="0"/>
        <v>2.7438820912124582</v>
      </c>
      <c r="J48" s="48"/>
    </row>
    <row r="49" spans="2:10">
      <c r="C49" s="40">
        <v>2.7250000000000001</v>
      </c>
      <c r="D49" s="34">
        <v>143.80000000000001</v>
      </c>
      <c r="E49" s="23">
        <v>99.4</v>
      </c>
      <c r="F49" s="23">
        <v>37.22</v>
      </c>
      <c r="G49" s="23">
        <v>406.1</v>
      </c>
      <c r="H49" s="40">
        <v>2.806</v>
      </c>
      <c r="I49" s="13">
        <f t="shared" si="0"/>
        <v>2.6706072004298766</v>
      </c>
      <c r="J49" s="48"/>
    </row>
    <row r="50" spans="2:10">
      <c r="C50" s="40">
        <v>2.6579999999999999</v>
      </c>
      <c r="D50" s="34">
        <v>135.69999999999999</v>
      </c>
      <c r="E50" s="23">
        <v>99.35</v>
      </c>
      <c r="F50" s="23">
        <v>36.64</v>
      </c>
      <c r="G50" s="23">
        <v>405.8</v>
      </c>
      <c r="H50" s="40">
        <v>2.4079999999999999</v>
      </c>
      <c r="I50" s="13">
        <f t="shared" si="0"/>
        <v>2.7115174672489082</v>
      </c>
      <c r="J50" s="48"/>
    </row>
    <row r="51" spans="2:10">
      <c r="C51" s="40">
        <v>2.4580000000000002</v>
      </c>
      <c r="D51" s="34">
        <v>127.7</v>
      </c>
      <c r="E51" s="23">
        <v>97.48</v>
      </c>
      <c r="F51" s="23">
        <v>37.409999999999997</v>
      </c>
      <c r="G51" s="23">
        <v>406.7</v>
      </c>
      <c r="H51" s="40">
        <v>2.4969999999999999</v>
      </c>
      <c r="I51" s="13">
        <f t="shared" si="0"/>
        <v>2.6057203956161459</v>
      </c>
      <c r="J51" s="48"/>
    </row>
    <row r="52" spans="2:10">
      <c r="C52" s="40">
        <v>2.5190000000000001</v>
      </c>
      <c r="D52" s="34">
        <v>136.1</v>
      </c>
      <c r="E52" s="23">
        <v>98.94</v>
      </c>
      <c r="F52" s="23">
        <v>36.86</v>
      </c>
      <c r="G52" s="23">
        <v>404.5</v>
      </c>
      <c r="H52" s="40">
        <v>2.1280000000000001</v>
      </c>
      <c r="I52" s="13">
        <f t="shared" si="0"/>
        <v>2.6842105263157894</v>
      </c>
      <c r="J52" s="48"/>
    </row>
    <row r="53" spans="2:10">
      <c r="C53" s="40">
        <v>2.7730000000000001</v>
      </c>
      <c r="D53" s="34">
        <v>125.9</v>
      </c>
      <c r="E53" s="23">
        <v>97.98</v>
      </c>
      <c r="F53" s="23">
        <v>36.270000000000003</v>
      </c>
      <c r="G53" s="23">
        <v>404.7</v>
      </c>
      <c r="H53" s="40">
        <v>3.367</v>
      </c>
      <c r="I53" s="13">
        <f t="shared" si="0"/>
        <v>2.7014061207609594</v>
      </c>
      <c r="J53" s="48"/>
    </row>
    <row r="54" spans="2:10">
      <c r="C54" s="40">
        <v>2.6190000000000002</v>
      </c>
      <c r="D54" s="34">
        <v>145</v>
      </c>
      <c r="E54" s="23">
        <v>98.96</v>
      </c>
      <c r="F54" s="23">
        <v>35.49</v>
      </c>
      <c r="G54" s="23">
        <v>401.6</v>
      </c>
      <c r="H54" s="40">
        <v>3.6480000000000001</v>
      </c>
      <c r="I54" s="13">
        <f t="shared" si="0"/>
        <v>2.7883910960834033</v>
      </c>
      <c r="J54" s="48"/>
    </row>
    <row r="55" spans="2:10">
      <c r="C55" s="40">
        <v>2.41</v>
      </c>
      <c r="D55" s="34">
        <v>172.2</v>
      </c>
      <c r="E55" s="23">
        <v>98.67</v>
      </c>
      <c r="F55" s="23">
        <v>37.14</v>
      </c>
      <c r="G55" s="23">
        <v>403</v>
      </c>
      <c r="H55" s="40">
        <v>4.2050000000000001</v>
      </c>
      <c r="I55" s="13">
        <f t="shared" si="0"/>
        <v>2.6567043618739903</v>
      </c>
      <c r="J55" s="48"/>
    </row>
    <row r="56" spans="2:10">
      <c r="C56" s="40">
        <v>2.399</v>
      </c>
      <c r="D56" s="34">
        <v>173.6</v>
      </c>
      <c r="E56" s="23">
        <v>97.66</v>
      </c>
      <c r="F56" s="23">
        <v>35.380000000000003</v>
      </c>
      <c r="G56" s="23">
        <v>403.5</v>
      </c>
      <c r="H56" s="40">
        <v>4.5170000000000003</v>
      </c>
      <c r="I56" s="13">
        <f t="shared" si="0"/>
        <v>2.76031656302996</v>
      </c>
      <c r="J56" s="48"/>
    </row>
    <row r="57" spans="2:10">
      <c r="C57" s="40">
        <v>2.379</v>
      </c>
      <c r="D57" s="34">
        <v>149.19999999999999</v>
      </c>
      <c r="E57" s="23">
        <v>97.71</v>
      </c>
      <c r="F57" s="23">
        <v>37.08</v>
      </c>
      <c r="G57" s="23">
        <v>408.6</v>
      </c>
      <c r="H57" s="40">
        <v>4.4790000000000001</v>
      </c>
      <c r="I57" s="13">
        <f t="shared" si="0"/>
        <v>2.6351132686084142</v>
      </c>
      <c r="J57" s="48"/>
    </row>
    <row r="58" spans="2:10">
      <c r="C58" s="40">
        <v>2.5190000000000001</v>
      </c>
      <c r="D58" s="34">
        <v>137.5</v>
      </c>
      <c r="E58" s="23">
        <v>98.17</v>
      </c>
      <c r="F58" s="23">
        <v>36.270000000000003</v>
      </c>
      <c r="G58" s="23">
        <v>406.1</v>
      </c>
      <c r="H58" s="40">
        <v>5.0149999999999997</v>
      </c>
      <c r="I58" s="13">
        <f t="shared" si="0"/>
        <v>2.7066446098704162</v>
      </c>
      <c r="J58" s="48"/>
    </row>
    <row r="59" spans="2:10">
      <c r="C59" s="40">
        <v>2.5630000000000002</v>
      </c>
      <c r="D59" s="34">
        <v>134.6</v>
      </c>
      <c r="E59" s="23">
        <v>98</v>
      </c>
      <c r="F59" s="23">
        <v>36.68</v>
      </c>
      <c r="G59" s="23">
        <v>409.5</v>
      </c>
      <c r="H59" s="40">
        <v>6.0739999999999998</v>
      </c>
      <c r="I59" s="13">
        <f t="shared" si="0"/>
        <v>2.6717557251908399</v>
      </c>
      <c r="J59" s="48"/>
    </row>
    <row r="60" spans="2:10">
      <c r="C60" s="40">
        <v>2.77</v>
      </c>
      <c r="D60" s="34">
        <v>153.80000000000001</v>
      </c>
      <c r="E60" s="23">
        <v>99.1</v>
      </c>
      <c r="F60" s="23">
        <v>36.64</v>
      </c>
      <c r="G60" s="23">
        <v>408.4</v>
      </c>
      <c r="H60" s="40">
        <v>5.9569999999999999</v>
      </c>
      <c r="I60" s="13">
        <f t="shared" si="0"/>
        <v>2.7046943231441047</v>
      </c>
      <c r="J60" s="48"/>
    </row>
    <row r="61" spans="2:10">
      <c r="C61" s="40">
        <v>2.8029999999999999</v>
      </c>
      <c r="D61" s="34">
        <v>143.80000000000001</v>
      </c>
      <c r="E61" s="23">
        <v>98.57</v>
      </c>
      <c r="F61" s="23">
        <v>36.03</v>
      </c>
      <c r="G61" s="23">
        <v>405.8</v>
      </c>
      <c r="H61" s="40">
        <v>5.5780000000000003</v>
      </c>
      <c r="I61" s="13">
        <f t="shared" si="0"/>
        <v>2.7357757424368581</v>
      </c>
      <c r="J61" s="48"/>
    </row>
    <row r="62" spans="2:10">
      <c r="B62" s="47">
        <v>4</v>
      </c>
      <c r="C62" s="39">
        <v>3.746</v>
      </c>
      <c r="D62" s="37">
        <v>193.6</v>
      </c>
      <c r="E62" s="38">
        <v>100.4</v>
      </c>
      <c r="F62" s="38">
        <v>43.28</v>
      </c>
      <c r="G62" s="38">
        <v>534.4</v>
      </c>
      <c r="H62" s="39">
        <v>4.66</v>
      </c>
      <c r="I62" s="13">
        <f t="shared" si="0"/>
        <v>2.3197781885397415</v>
      </c>
      <c r="J62" s="48"/>
    </row>
    <row r="63" spans="2:10">
      <c r="C63" s="40">
        <v>3.6909999999999998</v>
      </c>
      <c r="D63" s="34">
        <v>158.5</v>
      </c>
      <c r="E63" s="23">
        <v>102.9</v>
      </c>
      <c r="F63" s="23">
        <v>43.66</v>
      </c>
      <c r="G63" s="23">
        <v>533</v>
      </c>
      <c r="H63" s="40">
        <v>4.7839999999999998</v>
      </c>
      <c r="I63" s="13">
        <f t="shared" si="0"/>
        <v>2.3568483737975265</v>
      </c>
      <c r="J63" s="48"/>
    </row>
    <row r="64" spans="2:10">
      <c r="C64" s="40">
        <v>3.6320000000000001</v>
      </c>
      <c r="D64" s="34">
        <v>151.19999999999999</v>
      </c>
      <c r="E64" s="23">
        <v>101.4</v>
      </c>
      <c r="F64" s="23">
        <v>42.42</v>
      </c>
      <c r="G64" s="23">
        <v>538.5</v>
      </c>
      <c r="H64" s="40">
        <v>4.992</v>
      </c>
      <c r="I64" s="13">
        <f t="shared" si="0"/>
        <v>2.3903818953323905</v>
      </c>
      <c r="J64" s="48"/>
    </row>
    <row r="65" spans="3:10">
      <c r="C65" s="40">
        <v>3.5979999999999999</v>
      </c>
      <c r="D65" s="34">
        <v>163</v>
      </c>
      <c r="E65" s="23">
        <v>101.2</v>
      </c>
      <c r="F65" s="23">
        <v>41.28</v>
      </c>
      <c r="G65" s="23">
        <v>536.20000000000005</v>
      </c>
      <c r="H65" s="40">
        <v>4.9939999999999998</v>
      </c>
      <c r="I65" s="13">
        <f t="shared" si="0"/>
        <v>2.4515503875968991</v>
      </c>
      <c r="J65" s="48"/>
    </row>
    <row r="66" spans="3:10">
      <c r="C66" s="40">
        <v>3.504</v>
      </c>
      <c r="D66" s="34">
        <v>230.4</v>
      </c>
      <c r="E66" s="23">
        <v>100.9</v>
      </c>
      <c r="F66" s="23">
        <v>41.49</v>
      </c>
      <c r="G66" s="23">
        <v>540.79999999999995</v>
      </c>
      <c r="H66" s="40">
        <v>5.2</v>
      </c>
      <c r="I66" s="13">
        <f t="shared" si="0"/>
        <v>2.4319113039286577</v>
      </c>
      <c r="J66" s="48"/>
    </row>
    <row r="67" spans="3:10">
      <c r="C67" s="40">
        <v>3.5590000000000002</v>
      </c>
      <c r="D67" s="34">
        <v>209.7</v>
      </c>
      <c r="E67" s="23">
        <v>99.28</v>
      </c>
      <c r="F67" s="23">
        <v>43.43</v>
      </c>
      <c r="G67" s="23">
        <v>540.4</v>
      </c>
      <c r="H67" s="40">
        <v>4.9489999999999998</v>
      </c>
      <c r="I67" s="13">
        <f t="shared" ref="I67:I130" si="1">E67/F67</f>
        <v>2.2859774349527977</v>
      </c>
      <c r="J67" s="48"/>
    </row>
    <row r="68" spans="3:10">
      <c r="C68" s="40">
        <v>3.633</v>
      </c>
      <c r="D68" s="34">
        <v>258</v>
      </c>
      <c r="E68" s="23">
        <v>100.9</v>
      </c>
      <c r="F68" s="23">
        <v>42.74</v>
      </c>
      <c r="G68" s="23">
        <v>539</v>
      </c>
      <c r="H68" s="40">
        <v>4.9379999999999997</v>
      </c>
      <c r="I68" s="13">
        <f t="shared" si="1"/>
        <v>2.3607861488067385</v>
      </c>
      <c r="J68" s="48"/>
    </row>
    <row r="69" spans="3:10">
      <c r="C69" s="40">
        <v>3.617</v>
      </c>
      <c r="D69" s="34">
        <v>271</v>
      </c>
      <c r="E69" s="23">
        <v>101.6</v>
      </c>
      <c r="F69" s="23">
        <v>42.67</v>
      </c>
      <c r="G69" s="23">
        <v>537.70000000000005</v>
      </c>
      <c r="H69" s="40">
        <v>4.9889999999999999</v>
      </c>
      <c r="I69" s="13">
        <f t="shared" si="1"/>
        <v>2.3810639793766111</v>
      </c>
      <c r="J69" s="48"/>
    </row>
    <row r="70" spans="3:10">
      <c r="C70" s="40">
        <v>3.6320000000000001</v>
      </c>
      <c r="D70" s="34">
        <v>249</v>
      </c>
      <c r="E70" s="23">
        <v>101.5</v>
      </c>
      <c r="F70" s="23">
        <v>42.69</v>
      </c>
      <c r="G70" s="23">
        <v>532.5</v>
      </c>
      <c r="H70" s="40">
        <v>4.6029999999999998</v>
      </c>
      <c r="I70" s="13">
        <f t="shared" si="1"/>
        <v>2.3776059967205434</v>
      </c>
      <c r="J70" s="48"/>
    </row>
    <row r="71" spans="3:10">
      <c r="C71" s="40">
        <v>3.6579999999999999</v>
      </c>
      <c r="D71" s="34">
        <v>230.4</v>
      </c>
      <c r="E71" s="23">
        <v>99.87</v>
      </c>
      <c r="F71" s="23">
        <v>42.74</v>
      </c>
      <c r="G71" s="23">
        <v>539.29999999999995</v>
      </c>
      <c r="H71" s="40">
        <v>4.7270000000000003</v>
      </c>
      <c r="I71" s="13">
        <f t="shared" si="1"/>
        <v>2.3366869443144593</v>
      </c>
      <c r="J71" s="48"/>
    </row>
    <row r="72" spans="3:10">
      <c r="C72" s="40">
        <v>3.6749999999999998</v>
      </c>
      <c r="D72" s="34">
        <v>258</v>
      </c>
      <c r="E72" s="23">
        <v>101.4</v>
      </c>
      <c r="F72" s="23">
        <v>42.9</v>
      </c>
      <c r="G72" s="23">
        <v>527.79999999999995</v>
      </c>
      <c r="H72" s="40">
        <v>5.35</v>
      </c>
      <c r="I72" s="13">
        <f t="shared" si="1"/>
        <v>2.3636363636363638</v>
      </c>
      <c r="J72" s="48"/>
    </row>
    <row r="73" spans="3:10">
      <c r="C73" s="40">
        <v>3.72</v>
      </c>
      <c r="D73" s="34">
        <v>256.8</v>
      </c>
      <c r="E73" s="23">
        <v>100.5</v>
      </c>
      <c r="F73" s="23">
        <v>41.97</v>
      </c>
      <c r="G73" s="23">
        <v>524.5</v>
      </c>
      <c r="H73" s="40">
        <v>5.31</v>
      </c>
      <c r="I73" s="13">
        <f t="shared" si="1"/>
        <v>2.394567548248749</v>
      </c>
      <c r="J73" s="48"/>
    </row>
    <row r="74" spans="3:10">
      <c r="C74" s="40">
        <v>3.7719999999999998</v>
      </c>
      <c r="D74" s="34">
        <v>200.2</v>
      </c>
      <c r="E74" s="23">
        <v>101.7</v>
      </c>
      <c r="F74" s="23">
        <v>41.97</v>
      </c>
      <c r="G74" s="23">
        <v>531.20000000000005</v>
      </c>
      <c r="H74" s="40">
        <v>5.09</v>
      </c>
      <c r="I74" s="13">
        <f t="shared" si="1"/>
        <v>2.4231593995711225</v>
      </c>
      <c r="J74" s="48"/>
    </row>
    <row r="75" spans="3:10">
      <c r="C75" s="40">
        <v>3.7730000000000001</v>
      </c>
      <c r="D75" s="34">
        <v>163</v>
      </c>
      <c r="E75" s="23">
        <v>103</v>
      </c>
      <c r="F75" s="23">
        <v>41.98</v>
      </c>
      <c r="G75" s="23">
        <v>534.29999999999995</v>
      </c>
      <c r="H75" s="40">
        <v>4.9980000000000002</v>
      </c>
      <c r="I75" s="13">
        <f t="shared" si="1"/>
        <v>2.4535493091948548</v>
      </c>
      <c r="J75" s="48"/>
    </row>
    <row r="76" spans="3:10">
      <c r="C76" s="40">
        <v>3.738</v>
      </c>
      <c r="D76" s="34">
        <v>259.7</v>
      </c>
      <c r="E76" s="23">
        <v>101.6</v>
      </c>
      <c r="F76" s="23">
        <v>42.02</v>
      </c>
      <c r="G76" s="23">
        <v>521</v>
      </c>
      <c r="H76" s="40">
        <v>5.4</v>
      </c>
      <c r="I76" s="13">
        <f t="shared" si="1"/>
        <v>2.4178962398857684</v>
      </c>
      <c r="J76" s="48"/>
    </row>
    <row r="77" spans="3:10">
      <c r="C77" s="40">
        <v>3.702</v>
      </c>
      <c r="D77" s="34">
        <v>252.5</v>
      </c>
      <c r="E77" s="23">
        <v>101.2</v>
      </c>
      <c r="F77" s="23">
        <v>41.97</v>
      </c>
      <c r="G77" s="23">
        <v>528.4</v>
      </c>
      <c r="H77" s="40">
        <v>6.2</v>
      </c>
      <c r="I77" s="13">
        <f t="shared" si="1"/>
        <v>2.4112461281868001</v>
      </c>
      <c r="J77" s="48"/>
    </row>
    <row r="78" spans="3:10">
      <c r="C78" s="40">
        <v>3.6459999999999999</v>
      </c>
      <c r="D78" s="34">
        <v>209.7</v>
      </c>
      <c r="E78" s="23">
        <v>100.8</v>
      </c>
      <c r="F78" s="23">
        <v>42.3</v>
      </c>
      <c r="G78" s="23">
        <v>530.79999999999995</v>
      </c>
      <c r="H78" s="40">
        <v>5.48</v>
      </c>
      <c r="I78" s="13">
        <f t="shared" si="1"/>
        <v>2.3829787234042552</v>
      </c>
      <c r="J78" s="48"/>
    </row>
    <row r="79" spans="3:10">
      <c r="C79" s="40">
        <v>3.6920000000000002</v>
      </c>
      <c r="D79" s="34">
        <v>193.6</v>
      </c>
      <c r="E79" s="23">
        <v>102</v>
      </c>
      <c r="F79" s="23">
        <v>42.05</v>
      </c>
      <c r="G79" s="23">
        <v>529.5</v>
      </c>
      <c r="H79" s="40">
        <v>5.51</v>
      </c>
      <c r="I79" s="13">
        <f t="shared" si="1"/>
        <v>2.4256837098692037</v>
      </c>
      <c r="J79" s="48"/>
    </row>
    <row r="80" spans="3:10">
      <c r="C80" s="40">
        <v>3.7080000000000002</v>
      </c>
      <c r="D80" s="34">
        <v>200.2</v>
      </c>
      <c r="E80" s="23">
        <v>101.7</v>
      </c>
      <c r="F80" s="23">
        <v>42.19</v>
      </c>
      <c r="G80" s="23">
        <v>535.6</v>
      </c>
      <c r="H80" s="40">
        <v>5.22</v>
      </c>
      <c r="I80" s="13">
        <f t="shared" si="1"/>
        <v>2.410523820810619</v>
      </c>
      <c r="J80" s="48"/>
    </row>
    <row r="81" spans="2:10">
      <c r="C81" s="40">
        <v>3.7629999999999999</v>
      </c>
      <c r="D81" s="34">
        <v>227.9</v>
      </c>
      <c r="E81" s="23">
        <v>103</v>
      </c>
      <c r="F81" s="23">
        <v>42.75</v>
      </c>
      <c r="G81" s="23">
        <v>534.29999999999995</v>
      </c>
      <c r="H81" s="40">
        <v>5.19</v>
      </c>
      <c r="I81" s="13">
        <f t="shared" si="1"/>
        <v>2.4093567251461989</v>
      </c>
      <c r="J81" s="48"/>
    </row>
    <row r="82" spans="2:10">
      <c r="B82" s="47">
        <v>5</v>
      </c>
      <c r="C82" s="39">
        <v>3.3879999999999999</v>
      </c>
      <c r="D82" s="37">
        <v>116.8</v>
      </c>
      <c r="E82" s="38">
        <v>102</v>
      </c>
      <c r="F82" s="38">
        <v>35.200000000000003</v>
      </c>
      <c r="G82" s="38">
        <v>408.9</v>
      </c>
      <c r="H82" s="39">
        <v>4.29</v>
      </c>
      <c r="I82" s="13">
        <f t="shared" si="1"/>
        <v>2.8977272727272725</v>
      </c>
      <c r="J82" s="48"/>
    </row>
    <row r="83" spans="2:10">
      <c r="C83" s="40">
        <v>3.4529999999999998</v>
      </c>
      <c r="D83" s="34">
        <v>120.7</v>
      </c>
      <c r="E83" s="23">
        <v>100.4</v>
      </c>
      <c r="F83" s="23">
        <v>34.79</v>
      </c>
      <c r="G83" s="23">
        <v>405.7</v>
      </c>
      <c r="H83" s="40">
        <v>3.6080000000000001</v>
      </c>
      <c r="I83" s="13">
        <f t="shared" si="1"/>
        <v>2.8858867490658238</v>
      </c>
      <c r="J83" s="48"/>
    </row>
    <row r="84" spans="2:10">
      <c r="C84" s="40">
        <v>3.4039999999999999</v>
      </c>
      <c r="D84" s="34">
        <v>126.7</v>
      </c>
      <c r="E84" s="23">
        <v>101.4</v>
      </c>
      <c r="F84" s="23">
        <v>34.29</v>
      </c>
      <c r="G84" s="23">
        <v>407.3</v>
      </c>
      <c r="H84" s="40">
        <v>3.2090000000000001</v>
      </c>
      <c r="I84" s="13">
        <f t="shared" si="1"/>
        <v>2.9571303587051623</v>
      </c>
      <c r="J84" s="48"/>
    </row>
    <row r="85" spans="2:10">
      <c r="C85" s="40">
        <v>3.3010000000000002</v>
      </c>
      <c r="D85" s="34">
        <v>119.8</v>
      </c>
      <c r="E85" s="23">
        <v>101</v>
      </c>
      <c r="F85" s="23">
        <v>34.9</v>
      </c>
      <c r="G85" s="23">
        <v>404.3</v>
      </c>
      <c r="H85" s="40">
        <v>3.4249999999999998</v>
      </c>
      <c r="I85" s="13">
        <f t="shared" si="1"/>
        <v>2.8939828080229226</v>
      </c>
      <c r="J85" s="48"/>
    </row>
    <row r="86" spans="2:10">
      <c r="C86" s="40">
        <v>3.2469999999999999</v>
      </c>
      <c r="D86" s="34">
        <v>113.1</v>
      </c>
      <c r="E86" s="23">
        <v>102.1</v>
      </c>
      <c r="F86" s="23">
        <v>36.06</v>
      </c>
      <c r="G86" s="23">
        <v>406.8</v>
      </c>
      <c r="H86" s="40">
        <v>4.2480000000000002</v>
      </c>
      <c r="I86" s="13">
        <f t="shared" si="1"/>
        <v>2.8313921242373818</v>
      </c>
      <c r="J86" s="48"/>
    </row>
    <row r="87" spans="2:10">
      <c r="C87" s="40">
        <v>3.331</v>
      </c>
      <c r="D87" s="34">
        <v>111.3</v>
      </c>
      <c r="E87" s="23">
        <v>102</v>
      </c>
      <c r="F87" s="23">
        <v>36.630000000000003</v>
      </c>
      <c r="G87" s="23">
        <v>405.7</v>
      </c>
      <c r="H87" s="40">
        <v>3.7440000000000002</v>
      </c>
      <c r="I87" s="13">
        <f t="shared" si="1"/>
        <v>2.7846027846027845</v>
      </c>
      <c r="J87" s="48"/>
    </row>
    <row r="88" spans="2:10">
      <c r="C88" s="40">
        <v>3.3879999999999999</v>
      </c>
      <c r="D88" s="34">
        <v>114.5</v>
      </c>
      <c r="E88" s="23">
        <v>100.6</v>
      </c>
      <c r="F88" s="23">
        <v>36.83</v>
      </c>
      <c r="G88" s="23">
        <v>410.8</v>
      </c>
      <c r="H88" s="40">
        <v>4.0730000000000004</v>
      </c>
      <c r="I88" s="13">
        <f t="shared" si="1"/>
        <v>2.7314689112136845</v>
      </c>
      <c r="J88" s="48"/>
    </row>
    <row r="89" spans="2:10">
      <c r="C89" s="40">
        <v>3.3660000000000001</v>
      </c>
      <c r="D89" s="34">
        <v>128.4</v>
      </c>
      <c r="E89" s="23">
        <v>100.9</v>
      </c>
      <c r="F89" s="23">
        <v>36.67</v>
      </c>
      <c r="G89" s="23">
        <v>409.7</v>
      </c>
      <c r="H89" s="40">
        <v>4.1349999999999998</v>
      </c>
      <c r="I89" s="13">
        <f t="shared" si="1"/>
        <v>2.7515680392691575</v>
      </c>
      <c r="J89" s="48"/>
    </row>
    <row r="90" spans="2:10">
      <c r="C90" s="40">
        <v>3.4180000000000001</v>
      </c>
      <c r="D90" s="34">
        <v>164.9</v>
      </c>
      <c r="E90" s="23">
        <v>101.1</v>
      </c>
      <c r="F90" s="23">
        <v>37.57</v>
      </c>
      <c r="G90" s="23">
        <v>403.7</v>
      </c>
      <c r="H90" s="40">
        <v>3.7530000000000001</v>
      </c>
      <c r="I90" s="13">
        <f t="shared" si="1"/>
        <v>2.690976843225978</v>
      </c>
      <c r="J90" s="48"/>
    </row>
    <row r="91" spans="2:10">
      <c r="C91" s="40">
        <v>3.4350000000000001</v>
      </c>
      <c r="D91" s="34">
        <v>119.8</v>
      </c>
      <c r="E91" s="23">
        <v>100.5</v>
      </c>
      <c r="F91" s="23">
        <v>36.42</v>
      </c>
      <c r="G91" s="23">
        <v>405.6</v>
      </c>
      <c r="H91" s="40">
        <v>3.609</v>
      </c>
      <c r="I91" s="13">
        <f t="shared" si="1"/>
        <v>2.7594728171334428</v>
      </c>
      <c r="J91" s="48"/>
    </row>
    <row r="92" spans="2:10">
      <c r="C92" s="40">
        <v>3.4790000000000001</v>
      </c>
      <c r="D92" s="34">
        <v>120.7</v>
      </c>
      <c r="E92" s="23">
        <v>101.4</v>
      </c>
      <c r="F92" s="23">
        <v>27.02</v>
      </c>
      <c r="G92" s="23">
        <v>404.2</v>
      </c>
      <c r="H92" s="40">
        <v>3.552</v>
      </c>
      <c r="I92" s="13">
        <f t="shared" si="1"/>
        <v>3.7527757216876392</v>
      </c>
      <c r="J92" s="48"/>
    </row>
    <row r="93" spans="2:10">
      <c r="C93" s="40">
        <v>3.4390000000000001</v>
      </c>
      <c r="D93" s="34">
        <v>121.5</v>
      </c>
      <c r="E93" s="23">
        <v>100.3</v>
      </c>
      <c r="F93" s="23">
        <v>35.9</v>
      </c>
      <c r="G93" s="23">
        <v>402.6</v>
      </c>
      <c r="H93" s="40">
        <v>2.7730000000000001</v>
      </c>
      <c r="I93" s="13">
        <f t="shared" si="1"/>
        <v>2.7938718662952646</v>
      </c>
      <c r="J93" s="48"/>
    </row>
    <row r="94" spans="2:10">
      <c r="C94" s="40">
        <v>3.47</v>
      </c>
      <c r="D94" s="34">
        <v>138</v>
      </c>
      <c r="E94" s="23">
        <v>101.5</v>
      </c>
      <c r="F94" s="23">
        <v>36.53</v>
      </c>
      <c r="G94" s="23">
        <v>404</v>
      </c>
      <c r="H94" s="40">
        <v>2.9689999999999999</v>
      </c>
      <c r="I94" s="13">
        <f t="shared" si="1"/>
        <v>2.7785381877908568</v>
      </c>
      <c r="J94" s="48"/>
    </row>
    <row r="95" spans="2:10">
      <c r="C95" s="40">
        <v>3.3490000000000002</v>
      </c>
      <c r="D95" s="34">
        <v>132.69999999999999</v>
      </c>
      <c r="E95" s="23">
        <v>102</v>
      </c>
      <c r="F95" s="23">
        <v>36.28</v>
      </c>
      <c r="G95" s="23">
        <v>409.5</v>
      </c>
      <c r="H95" s="40">
        <v>3.028</v>
      </c>
      <c r="I95" s="13">
        <f t="shared" si="1"/>
        <v>2.8114663726571112</v>
      </c>
      <c r="J95" s="48"/>
    </row>
    <row r="96" spans="2:10">
      <c r="C96" s="40">
        <v>3.4470000000000001</v>
      </c>
      <c r="D96" s="34">
        <v>121.5</v>
      </c>
      <c r="E96" s="23">
        <v>102.9</v>
      </c>
      <c r="F96" s="23">
        <v>36.46</v>
      </c>
      <c r="G96" s="23">
        <v>411.8</v>
      </c>
      <c r="H96" s="40">
        <v>2.9820000000000002</v>
      </c>
      <c r="I96" s="13">
        <f t="shared" si="1"/>
        <v>2.8222709818979705</v>
      </c>
      <c r="J96" s="48"/>
    </row>
    <row r="97" spans="2:10">
      <c r="C97" s="40">
        <v>3.4649999999999999</v>
      </c>
      <c r="D97" s="34">
        <v>137.9</v>
      </c>
      <c r="E97" s="23">
        <v>100.5</v>
      </c>
      <c r="F97" s="23">
        <v>38.04</v>
      </c>
      <c r="G97" s="23">
        <v>406.2</v>
      </c>
      <c r="H97" s="40">
        <v>2.6920000000000002</v>
      </c>
      <c r="I97" s="13">
        <f t="shared" si="1"/>
        <v>2.6419558359621451</v>
      </c>
      <c r="J97" s="48"/>
    </row>
    <row r="98" spans="2:10">
      <c r="C98" s="40">
        <v>3.4180000000000001</v>
      </c>
      <c r="D98" s="34">
        <v>138</v>
      </c>
      <c r="E98" s="23">
        <v>101.4</v>
      </c>
      <c r="F98" s="23">
        <v>37.119999999999997</v>
      </c>
      <c r="G98" s="23">
        <v>402.6</v>
      </c>
      <c r="H98" s="40">
        <v>2.0590000000000002</v>
      </c>
      <c r="I98" s="13">
        <f t="shared" si="1"/>
        <v>2.7316810344827589</v>
      </c>
      <c r="J98" s="48"/>
    </row>
    <row r="99" spans="2:10">
      <c r="C99" s="40">
        <v>3.4780000000000002</v>
      </c>
      <c r="D99" s="34">
        <v>121</v>
      </c>
      <c r="E99" s="23">
        <v>100.8</v>
      </c>
      <c r="F99" s="23">
        <v>36.08</v>
      </c>
      <c r="G99" s="23">
        <v>403.3</v>
      </c>
      <c r="H99" s="40">
        <v>2.4319999999999999</v>
      </c>
      <c r="I99" s="13">
        <f t="shared" si="1"/>
        <v>2.7937915742793793</v>
      </c>
      <c r="J99" s="48"/>
    </row>
    <row r="100" spans="2:10">
      <c r="C100" s="40">
        <v>3.4529999999999998</v>
      </c>
      <c r="D100" s="34">
        <v>119.8</v>
      </c>
      <c r="E100" s="23">
        <v>101.2</v>
      </c>
      <c r="F100" s="23">
        <v>37.64</v>
      </c>
      <c r="G100" s="23">
        <v>407.7</v>
      </c>
      <c r="H100" s="40">
        <v>3.4430000000000001</v>
      </c>
      <c r="I100" s="13">
        <f t="shared" si="1"/>
        <v>2.6886291179596173</v>
      </c>
      <c r="J100" s="48"/>
    </row>
    <row r="101" spans="2:10">
      <c r="C101" s="40">
        <v>3.3660000000000001</v>
      </c>
      <c r="D101" s="34">
        <v>148.30000000000001</v>
      </c>
      <c r="E101" s="23">
        <v>102.2</v>
      </c>
      <c r="F101" s="23">
        <v>37.03</v>
      </c>
      <c r="G101" s="23">
        <v>405.7</v>
      </c>
      <c r="H101" s="40">
        <v>2.8959999999999999</v>
      </c>
      <c r="I101" s="13">
        <f t="shared" si="1"/>
        <v>2.7599243856332705</v>
      </c>
      <c r="J101" s="48"/>
    </row>
    <row r="102" spans="2:10">
      <c r="B102" s="47">
        <v>6</v>
      </c>
      <c r="C102" s="39">
        <v>2.6429999999999998</v>
      </c>
      <c r="D102" s="37">
        <v>103.5</v>
      </c>
      <c r="E102" s="38">
        <v>107.2</v>
      </c>
      <c r="F102" s="38">
        <v>29.24</v>
      </c>
      <c r="G102" s="38">
        <v>498.5</v>
      </c>
      <c r="H102" s="39">
        <v>4.6989999999999998</v>
      </c>
      <c r="I102" s="13">
        <f t="shared" si="1"/>
        <v>3.666210670314638</v>
      </c>
      <c r="J102" s="48"/>
    </row>
    <row r="103" spans="2:10">
      <c r="C103" s="40">
        <v>2.7519999999999998</v>
      </c>
      <c r="D103" s="34">
        <v>101.8</v>
      </c>
      <c r="E103" s="23">
        <v>106.7</v>
      </c>
      <c r="F103" s="23">
        <v>28.13</v>
      </c>
      <c r="G103" s="23">
        <v>498.9</v>
      </c>
      <c r="H103" s="40">
        <v>4.8090000000000002</v>
      </c>
      <c r="I103" s="13">
        <f t="shared" si="1"/>
        <v>3.7931034482758621</v>
      </c>
      <c r="J103" s="48"/>
    </row>
    <row r="104" spans="2:10">
      <c r="C104" s="40">
        <v>2.8490000000000002</v>
      </c>
      <c r="D104" s="34">
        <v>100.8</v>
      </c>
      <c r="E104" s="23">
        <v>107.2</v>
      </c>
      <c r="F104" s="23">
        <v>28.76</v>
      </c>
      <c r="G104" s="23">
        <v>497</v>
      </c>
      <c r="H104" s="40">
        <v>4.7640000000000002</v>
      </c>
      <c r="I104" s="13">
        <f t="shared" si="1"/>
        <v>3.7273991655076495</v>
      </c>
      <c r="J104" s="48"/>
    </row>
    <row r="105" spans="2:10">
      <c r="C105" s="40">
        <v>2.806</v>
      </c>
      <c r="D105" s="34">
        <v>106.7</v>
      </c>
      <c r="E105" s="23">
        <v>106.4</v>
      </c>
      <c r="F105" s="23">
        <v>27.56</v>
      </c>
      <c r="G105" s="23">
        <v>496.9</v>
      </c>
      <c r="H105" s="40">
        <v>4.72</v>
      </c>
      <c r="I105" s="13">
        <f t="shared" si="1"/>
        <v>3.8606676342525401</v>
      </c>
      <c r="J105" s="48"/>
    </row>
    <row r="106" spans="2:10">
      <c r="C106" s="40">
        <v>2.641</v>
      </c>
      <c r="D106" s="34">
        <v>103.5</v>
      </c>
      <c r="E106" s="23">
        <v>108.6</v>
      </c>
      <c r="F106" s="23">
        <v>28.2</v>
      </c>
      <c r="G106" s="23">
        <v>496.4</v>
      </c>
      <c r="H106" s="40">
        <v>4.6779999999999999</v>
      </c>
      <c r="I106" s="13">
        <f t="shared" si="1"/>
        <v>3.8510638297872339</v>
      </c>
      <c r="J106" s="48"/>
    </row>
    <row r="107" spans="2:10">
      <c r="C107" s="40">
        <v>2.6619999999999999</v>
      </c>
      <c r="D107" s="34">
        <v>136.5</v>
      </c>
      <c r="E107" s="23">
        <v>108</v>
      </c>
      <c r="F107" s="23">
        <v>29.41</v>
      </c>
      <c r="G107" s="23">
        <v>495.8</v>
      </c>
      <c r="H107" s="40">
        <v>4.8739999999999997</v>
      </c>
      <c r="I107" s="13">
        <f t="shared" si="1"/>
        <v>3.6722203332199932</v>
      </c>
      <c r="J107" s="48"/>
    </row>
    <row r="108" spans="2:10">
      <c r="C108" s="40">
        <v>2.73</v>
      </c>
      <c r="D108" s="34">
        <v>144.1</v>
      </c>
      <c r="E108" s="23">
        <v>108.3</v>
      </c>
      <c r="F108" s="23">
        <v>29.96</v>
      </c>
      <c r="G108" s="23">
        <v>496.8</v>
      </c>
      <c r="H108" s="40">
        <v>5.2060000000000004</v>
      </c>
      <c r="I108" s="13">
        <f t="shared" si="1"/>
        <v>3.6148197596795724</v>
      </c>
      <c r="J108" s="48"/>
    </row>
    <row r="109" spans="2:10">
      <c r="C109" s="40">
        <v>2.645</v>
      </c>
      <c r="D109" s="34">
        <v>132.1</v>
      </c>
      <c r="E109" s="23">
        <v>106.6</v>
      </c>
      <c r="F109" s="23">
        <v>28.48</v>
      </c>
      <c r="G109" s="23">
        <v>498.4</v>
      </c>
      <c r="H109" s="40">
        <v>5.5839999999999996</v>
      </c>
      <c r="I109" s="13">
        <f t="shared" si="1"/>
        <v>3.7429775280898876</v>
      </c>
      <c r="J109" s="48"/>
    </row>
    <row r="110" spans="2:10">
      <c r="C110" s="40">
        <v>2.7120000000000002</v>
      </c>
      <c r="D110" s="34">
        <v>137.4</v>
      </c>
      <c r="E110" s="23">
        <v>107.2</v>
      </c>
      <c r="F110" s="23">
        <v>30.32</v>
      </c>
      <c r="G110" s="23">
        <v>499</v>
      </c>
      <c r="H110" s="40">
        <v>4.7050000000000001</v>
      </c>
      <c r="I110" s="13">
        <f t="shared" si="1"/>
        <v>3.5356200527704487</v>
      </c>
      <c r="J110" s="48"/>
    </row>
    <row r="111" spans="2:10">
      <c r="C111" s="40">
        <v>2.65</v>
      </c>
      <c r="D111" s="34">
        <v>130.5</v>
      </c>
      <c r="E111" s="23">
        <v>107</v>
      </c>
      <c r="F111" s="23">
        <v>29.11</v>
      </c>
      <c r="G111" s="23">
        <v>499.1</v>
      </c>
      <c r="H111" s="40">
        <v>4.8289999999999997</v>
      </c>
      <c r="I111" s="13">
        <f t="shared" si="1"/>
        <v>3.6757128134661627</v>
      </c>
      <c r="J111" s="48"/>
    </row>
    <row r="112" spans="2:10">
      <c r="C112" s="40">
        <v>2.6120000000000001</v>
      </c>
      <c r="D112" s="34">
        <v>129.69999999999999</v>
      </c>
      <c r="E112" s="23">
        <v>106.7</v>
      </c>
      <c r="F112" s="23">
        <v>28.7</v>
      </c>
      <c r="G112" s="23">
        <v>489.9</v>
      </c>
      <c r="H112" s="40">
        <v>4.7610000000000001</v>
      </c>
      <c r="I112" s="13">
        <f t="shared" si="1"/>
        <v>3.7177700348432059</v>
      </c>
      <c r="J112" s="48"/>
    </row>
    <row r="113" spans="2:10">
      <c r="C113" s="40">
        <v>2.819</v>
      </c>
      <c r="D113" s="34">
        <v>121.7</v>
      </c>
      <c r="E113" s="23">
        <v>108.9</v>
      </c>
      <c r="F113" s="23">
        <v>30.42</v>
      </c>
      <c r="G113" s="23">
        <v>489.1</v>
      </c>
      <c r="H113" s="40">
        <v>4.9740000000000002</v>
      </c>
      <c r="I113" s="13">
        <f t="shared" si="1"/>
        <v>3.5798816568047336</v>
      </c>
      <c r="J113" s="48"/>
    </row>
    <row r="114" spans="2:10">
      <c r="C114" s="40">
        <v>2.6019999999999999</v>
      </c>
      <c r="D114" s="34">
        <v>129.69999999999999</v>
      </c>
      <c r="E114" s="23">
        <v>107.2</v>
      </c>
      <c r="F114" s="23">
        <v>30.07</v>
      </c>
      <c r="G114" s="23">
        <v>496.9</v>
      </c>
      <c r="H114" s="40">
        <v>4.758</v>
      </c>
      <c r="I114" s="13">
        <f t="shared" si="1"/>
        <v>3.5650149650814766</v>
      </c>
      <c r="J114" s="48"/>
    </row>
    <row r="115" spans="2:10">
      <c r="C115" s="40">
        <v>2.742</v>
      </c>
      <c r="D115" s="34">
        <v>132.1</v>
      </c>
      <c r="E115" s="23">
        <v>107.3</v>
      </c>
      <c r="F115" s="23">
        <v>29.22</v>
      </c>
      <c r="G115" s="23">
        <v>493.6</v>
      </c>
      <c r="H115" s="40">
        <v>4.8499999999999996</v>
      </c>
      <c r="I115" s="13">
        <f t="shared" si="1"/>
        <v>3.6721423682409311</v>
      </c>
      <c r="J115" s="48"/>
    </row>
    <row r="116" spans="2:10">
      <c r="C116" s="40">
        <v>2.5110000000000001</v>
      </c>
      <c r="D116" s="34">
        <v>145.80000000000001</v>
      </c>
      <c r="E116" s="23">
        <v>106.7</v>
      </c>
      <c r="F116" s="23">
        <v>29.68</v>
      </c>
      <c r="G116" s="23">
        <v>492.5</v>
      </c>
      <c r="H116" s="40">
        <v>4.7450000000000001</v>
      </c>
      <c r="I116" s="13">
        <f t="shared" si="1"/>
        <v>3.595013477088949</v>
      </c>
      <c r="J116" s="48"/>
    </row>
    <row r="117" spans="2:10">
      <c r="C117" s="40">
        <v>2.5880000000000001</v>
      </c>
      <c r="D117" s="34">
        <v>158.69999999999999</v>
      </c>
      <c r="E117" s="23">
        <v>108.6</v>
      </c>
      <c r="F117" s="23">
        <v>29.12</v>
      </c>
      <c r="G117" s="23">
        <v>496.1</v>
      </c>
      <c r="H117" s="40">
        <v>4.7050000000000001</v>
      </c>
      <c r="I117" s="13">
        <f t="shared" si="1"/>
        <v>3.729395604395604</v>
      </c>
      <c r="J117" s="48"/>
    </row>
    <row r="118" spans="2:10">
      <c r="C118" s="40">
        <v>2.5139999999999998</v>
      </c>
      <c r="D118" s="34">
        <v>188.2</v>
      </c>
      <c r="E118" s="23">
        <v>106.7</v>
      </c>
      <c r="F118" s="23">
        <v>28.1</v>
      </c>
      <c r="G118" s="23">
        <v>498.5</v>
      </c>
      <c r="H118" s="40">
        <v>5.04</v>
      </c>
      <c r="I118" s="13">
        <f t="shared" si="1"/>
        <v>3.7971530249110321</v>
      </c>
      <c r="J118" s="48"/>
    </row>
    <row r="119" spans="2:10">
      <c r="C119" s="40">
        <v>2.4889999999999999</v>
      </c>
      <c r="D119" s="34">
        <v>142.30000000000001</v>
      </c>
      <c r="E119" s="23">
        <v>106.9</v>
      </c>
      <c r="F119" s="23">
        <v>30.34</v>
      </c>
      <c r="G119" s="23">
        <v>496.7</v>
      </c>
      <c r="H119" s="40">
        <v>4.8289999999999997</v>
      </c>
      <c r="I119" s="13">
        <f t="shared" si="1"/>
        <v>3.5234014502307187</v>
      </c>
      <c r="J119" s="48"/>
    </row>
    <row r="120" spans="2:10">
      <c r="C120" s="40">
        <v>2.5350000000000001</v>
      </c>
      <c r="D120" s="34">
        <v>121.7</v>
      </c>
      <c r="E120" s="23">
        <v>107.2</v>
      </c>
      <c r="F120" s="23">
        <v>29.49</v>
      </c>
      <c r="G120" s="23">
        <v>490</v>
      </c>
      <c r="H120" s="40">
        <v>4.6989999999999998</v>
      </c>
      <c r="I120" s="13">
        <f t="shared" si="1"/>
        <v>3.6351305527297391</v>
      </c>
      <c r="J120" s="48"/>
    </row>
    <row r="121" spans="2:10">
      <c r="C121" s="40">
        <v>2.5190000000000001</v>
      </c>
      <c r="D121" s="34">
        <v>122</v>
      </c>
      <c r="E121" s="23">
        <v>107.4</v>
      </c>
      <c r="F121" s="23">
        <v>29.96</v>
      </c>
      <c r="G121" s="23">
        <v>493.4</v>
      </c>
      <c r="H121" s="40">
        <v>4.7560000000000002</v>
      </c>
      <c r="I121" s="13">
        <f t="shared" si="1"/>
        <v>3.5847797062750333</v>
      </c>
      <c r="J121" s="48"/>
    </row>
    <row r="122" spans="2:10">
      <c r="B122" s="47">
        <v>7</v>
      </c>
      <c r="C122" s="39">
        <v>3.2269999999999999</v>
      </c>
      <c r="D122" s="37">
        <v>138.6</v>
      </c>
      <c r="E122" s="38">
        <v>78.5</v>
      </c>
      <c r="F122" s="38">
        <v>25.36</v>
      </c>
      <c r="G122" s="38">
        <v>513</v>
      </c>
      <c r="H122" s="39">
        <v>4.5750000000000002</v>
      </c>
      <c r="I122" s="13">
        <f t="shared" si="1"/>
        <v>3.0954258675078865</v>
      </c>
      <c r="J122" s="48"/>
    </row>
    <row r="123" spans="2:10">
      <c r="C123" s="40">
        <v>3.2040000000000002</v>
      </c>
      <c r="D123" s="34">
        <v>146.5</v>
      </c>
      <c r="E123" s="23">
        <v>78.39</v>
      </c>
      <c r="F123" s="23">
        <v>27.05</v>
      </c>
      <c r="G123" s="23">
        <v>513.9</v>
      </c>
      <c r="H123" s="40">
        <v>4.5609999999999999</v>
      </c>
      <c r="I123" s="13">
        <f t="shared" si="1"/>
        <v>2.8979667282809611</v>
      </c>
      <c r="J123" s="48"/>
    </row>
    <row r="124" spans="2:10">
      <c r="C124" s="40">
        <v>3.1890000000000001</v>
      </c>
      <c r="D124" s="34">
        <v>141.30000000000001</v>
      </c>
      <c r="E124" s="23">
        <v>77.3</v>
      </c>
      <c r="F124" s="23">
        <v>25.35</v>
      </c>
      <c r="G124" s="23">
        <v>513.4</v>
      </c>
      <c r="H124" s="40">
        <v>4.4630000000000001</v>
      </c>
      <c r="I124" s="13">
        <f t="shared" si="1"/>
        <v>3.0493096646942797</v>
      </c>
      <c r="J124" s="48"/>
    </row>
    <row r="125" spans="2:10">
      <c r="C125" s="40">
        <v>3.169</v>
      </c>
      <c r="D125" s="34">
        <v>146.5</v>
      </c>
      <c r="E125" s="23">
        <v>78.12</v>
      </c>
      <c r="F125" s="23">
        <v>25.37</v>
      </c>
      <c r="G125" s="23">
        <v>516</v>
      </c>
      <c r="H125" s="40">
        <v>4.4539999999999997</v>
      </c>
      <c r="I125" s="13">
        <f t="shared" si="1"/>
        <v>3.0792274339771386</v>
      </c>
      <c r="J125" s="48"/>
    </row>
    <row r="126" spans="2:10">
      <c r="C126" s="40">
        <v>3.1269999999999998</v>
      </c>
      <c r="D126" s="34">
        <v>147.6</v>
      </c>
      <c r="E126" s="23">
        <v>78.44</v>
      </c>
      <c r="F126" s="23">
        <v>27.18</v>
      </c>
      <c r="G126" s="23">
        <v>523.70000000000005</v>
      </c>
      <c r="H126" s="40">
        <v>4.383</v>
      </c>
      <c r="I126" s="13">
        <f t="shared" si="1"/>
        <v>2.8859455481972036</v>
      </c>
      <c r="J126" s="48"/>
    </row>
    <row r="127" spans="2:10">
      <c r="C127" s="40">
        <v>3.0009999999999999</v>
      </c>
      <c r="D127" s="34">
        <v>141.4</v>
      </c>
      <c r="E127" s="23">
        <v>78.16</v>
      </c>
      <c r="F127" s="23">
        <v>27.05</v>
      </c>
      <c r="G127" s="23">
        <v>517.9</v>
      </c>
      <c r="H127" s="40">
        <v>4.3609999999999998</v>
      </c>
      <c r="I127" s="13">
        <f t="shared" si="1"/>
        <v>2.8894639556377077</v>
      </c>
      <c r="J127" s="48"/>
    </row>
    <row r="128" spans="2:10">
      <c r="C128" s="40">
        <v>3.05</v>
      </c>
      <c r="D128" s="34">
        <v>138.6</v>
      </c>
      <c r="E128" s="23">
        <v>78.67</v>
      </c>
      <c r="F128" s="23">
        <v>27.72</v>
      </c>
      <c r="G128" s="23">
        <v>512.29999999999995</v>
      </c>
      <c r="H128" s="40">
        <v>4.5129999999999999</v>
      </c>
      <c r="I128" s="13">
        <f t="shared" si="1"/>
        <v>2.8380230880230881</v>
      </c>
      <c r="J128" s="48"/>
    </row>
    <row r="129" spans="2:10">
      <c r="C129" s="40">
        <v>3.1070000000000002</v>
      </c>
      <c r="D129" s="34">
        <v>147.6</v>
      </c>
      <c r="E129" s="23">
        <v>78.39</v>
      </c>
      <c r="F129" s="23">
        <v>25.83</v>
      </c>
      <c r="G129" s="23">
        <v>514.70000000000005</v>
      </c>
      <c r="H129" s="40">
        <v>4.3860000000000001</v>
      </c>
      <c r="I129" s="13">
        <f t="shared" si="1"/>
        <v>3.034843205574913</v>
      </c>
      <c r="J129" s="48"/>
    </row>
    <row r="130" spans="2:10">
      <c r="C130" s="40">
        <v>3.2290000000000001</v>
      </c>
      <c r="D130" s="34">
        <v>156.4</v>
      </c>
      <c r="E130" s="23">
        <v>77.709999999999994</v>
      </c>
      <c r="F130" s="23">
        <v>26.53</v>
      </c>
      <c r="G130" s="23">
        <v>511.9</v>
      </c>
      <c r="H130" s="40">
        <v>4.4779999999999998</v>
      </c>
      <c r="I130" s="13">
        <f t="shared" si="1"/>
        <v>2.9291368262344513</v>
      </c>
      <c r="J130" s="48"/>
    </row>
    <row r="131" spans="2:10">
      <c r="C131" s="40">
        <v>3.149</v>
      </c>
      <c r="D131" s="34">
        <v>161</v>
      </c>
      <c r="E131" s="23">
        <v>78.03</v>
      </c>
      <c r="F131" s="23">
        <v>26.77</v>
      </c>
      <c r="G131" s="23">
        <v>513</v>
      </c>
      <c r="H131" s="40">
        <v>4.62</v>
      </c>
      <c r="I131" s="13">
        <f t="shared" ref="I131:I194" si="2">E131/F131</f>
        <v>2.9148300336197237</v>
      </c>
      <c r="J131" s="48"/>
    </row>
    <row r="132" spans="2:10">
      <c r="C132" s="40">
        <v>3.202</v>
      </c>
      <c r="D132" s="34">
        <v>152.9</v>
      </c>
      <c r="E132" s="23">
        <v>77.41</v>
      </c>
      <c r="F132" s="23">
        <v>25.96</v>
      </c>
      <c r="G132" s="23">
        <v>511.9</v>
      </c>
      <c r="H132" s="40">
        <v>4.5609999999999999</v>
      </c>
      <c r="I132" s="13">
        <f t="shared" si="2"/>
        <v>2.9818952234206471</v>
      </c>
      <c r="J132" s="48"/>
    </row>
    <row r="133" spans="2:10">
      <c r="C133" s="40">
        <v>3.2</v>
      </c>
      <c r="D133" s="34">
        <v>140.5</v>
      </c>
      <c r="E133" s="23">
        <v>78.680000000000007</v>
      </c>
      <c r="F133" s="23">
        <v>25.29</v>
      </c>
      <c r="G133" s="23">
        <v>510.4</v>
      </c>
      <c r="H133" s="40">
        <v>4.5869999999999997</v>
      </c>
      <c r="I133" s="13">
        <f t="shared" si="2"/>
        <v>3.1111111111111116</v>
      </c>
      <c r="J133" s="48"/>
    </row>
    <row r="134" spans="2:10">
      <c r="C134" s="40">
        <v>3.0209999999999999</v>
      </c>
      <c r="D134" s="34">
        <v>141</v>
      </c>
      <c r="E134" s="23">
        <v>76.89</v>
      </c>
      <c r="F134" s="23">
        <v>27.36</v>
      </c>
      <c r="G134" s="23">
        <v>517.70000000000005</v>
      </c>
      <c r="H134" s="40">
        <v>4.5270000000000001</v>
      </c>
      <c r="I134" s="13">
        <f t="shared" si="2"/>
        <v>2.8103070175438596</v>
      </c>
      <c r="J134" s="48"/>
    </row>
    <row r="135" spans="2:10">
      <c r="C135" s="40">
        <v>3.0510000000000002</v>
      </c>
      <c r="D135" s="34">
        <v>146.5</v>
      </c>
      <c r="E135" s="23">
        <v>77.2</v>
      </c>
      <c r="F135" s="23">
        <v>27.35</v>
      </c>
      <c r="G135" s="23">
        <v>520.6</v>
      </c>
      <c r="H135" s="40">
        <v>4.468</v>
      </c>
      <c r="I135" s="13">
        <f t="shared" si="2"/>
        <v>2.8226691042047531</v>
      </c>
      <c r="J135" s="48"/>
    </row>
    <row r="136" spans="2:10">
      <c r="C136" s="40">
        <v>2.968</v>
      </c>
      <c r="D136" s="34">
        <v>141.30000000000001</v>
      </c>
      <c r="E136" s="23">
        <v>77.47</v>
      </c>
      <c r="F136" s="23">
        <v>26.53</v>
      </c>
      <c r="G136" s="23">
        <v>523.6</v>
      </c>
      <c r="H136" s="40">
        <v>4.4989999999999997</v>
      </c>
      <c r="I136" s="13">
        <f t="shared" si="2"/>
        <v>2.9200904636260834</v>
      </c>
      <c r="J136" s="48"/>
    </row>
    <row r="137" spans="2:10">
      <c r="C137" s="40">
        <v>3.1440000000000001</v>
      </c>
      <c r="D137" s="34">
        <v>141.69999999999999</v>
      </c>
      <c r="E137" s="23">
        <v>77.239999999999995</v>
      </c>
      <c r="F137" s="23">
        <v>27</v>
      </c>
      <c r="G137" s="23">
        <v>522.70000000000005</v>
      </c>
      <c r="H137" s="40">
        <v>4.4119999999999999</v>
      </c>
      <c r="I137" s="13">
        <f t="shared" si="2"/>
        <v>2.8607407407407406</v>
      </c>
      <c r="J137" s="48"/>
    </row>
    <row r="138" spans="2:10">
      <c r="C138" s="40">
        <v>3.2040000000000002</v>
      </c>
      <c r="D138" s="34">
        <v>146.80000000000001</v>
      </c>
      <c r="E138" s="23">
        <v>77.8</v>
      </c>
      <c r="F138" s="23">
        <v>26.84</v>
      </c>
      <c r="G138" s="23">
        <v>521</v>
      </c>
      <c r="H138" s="40">
        <v>4.3659999999999997</v>
      </c>
      <c r="I138" s="13">
        <f t="shared" si="2"/>
        <v>2.8986587183308492</v>
      </c>
      <c r="J138" s="48"/>
    </row>
    <row r="139" spans="2:10">
      <c r="C139" s="40">
        <v>3.2589999999999999</v>
      </c>
      <c r="D139" s="34">
        <v>146.5</v>
      </c>
      <c r="E139" s="23">
        <v>78.62</v>
      </c>
      <c r="F139" s="23">
        <v>28.23</v>
      </c>
      <c r="G139" s="23">
        <v>520.4</v>
      </c>
      <c r="H139" s="40">
        <v>4.5590000000000002</v>
      </c>
      <c r="I139" s="13">
        <f t="shared" si="2"/>
        <v>2.7849805171803048</v>
      </c>
      <c r="J139" s="48"/>
    </row>
    <row r="140" spans="2:10">
      <c r="C140" s="40">
        <v>3.2450000000000001</v>
      </c>
      <c r="D140" s="34">
        <v>138.6</v>
      </c>
      <c r="E140" s="23">
        <v>78.209999999999994</v>
      </c>
      <c r="F140" s="23">
        <v>27.75</v>
      </c>
      <c r="G140" s="23">
        <v>521.79999999999995</v>
      </c>
      <c r="H140" s="40">
        <v>4.609</v>
      </c>
      <c r="I140" s="13">
        <f t="shared" si="2"/>
        <v>2.818378378378378</v>
      </c>
      <c r="J140" s="48"/>
    </row>
    <row r="141" spans="2:10">
      <c r="C141" s="40">
        <v>3.202</v>
      </c>
      <c r="D141" s="34">
        <v>140.5</v>
      </c>
      <c r="E141" s="23">
        <v>78.739999999999995</v>
      </c>
      <c r="F141" s="23">
        <v>25.56</v>
      </c>
      <c r="G141" s="23">
        <v>518.1</v>
      </c>
      <c r="H141" s="40">
        <v>4.633</v>
      </c>
      <c r="I141" s="13">
        <f t="shared" si="2"/>
        <v>3.0805946791862286</v>
      </c>
      <c r="J141" s="48"/>
    </row>
    <row r="142" spans="2:10">
      <c r="B142" s="47">
        <v>8</v>
      </c>
      <c r="C142" s="39">
        <v>2.9969999999999999</v>
      </c>
      <c r="D142" s="37">
        <v>128</v>
      </c>
      <c r="E142" s="38">
        <v>89.25</v>
      </c>
      <c r="F142" s="38">
        <v>40.36</v>
      </c>
      <c r="G142" s="38">
        <v>484.3</v>
      </c>
      <c r="H142" s="39">
        <v>3.5</v>
      </c>
      <c r="I142" s="13">
        <f t="shared" si="2"/>
        <v>2.2113478691774033</v>
      </c>
      <c r="J142" s="48"/>
    </row>
    <row r="143" spans="2:10">
      <c r="C143" s="40">
        <v>2.9260000000000002</v>
      </c>
      <c r="D143" s="34">
        <v>148.80000000000001</v>
      </c>
      <c r="E143" s="23">
        <v>88.87</v>
      </c>
      <c r="F143" s="23">
        <v>41.33</v>
      </c>
      <c r="G143" s="23">
        <v>482.8</v>
      </c>
      <c r="H143" s="40">
        <v>3.86</v>
      </c>
      <c r="I143" s="13">
        <f t="shared" si="2"/>
        <v>2.1502540527461895</v>
      </c>
      <c r="J143" s="48"/>
    </row>
    <row r="144" spans="2:10">
      <c r="C144" s="40">
        <v>2.8519999999999999</v>
      </c>
      <c r="D144" s="34">
        <v>168.7</v>
      </c>
      <c r="E144" s="23">
        <v>90.07</v>
      </c>
      <c r="F144" s="23">
        <v>41.63</v>
      </c>
      <c r="G144" s="23">
        <v>483</v>
      </c>
      <c r="H144" s="40">
        <v>3.1459999999999999</v>
      </c>
      <c r="I144" s="13">
        <f t="shared" si="2"/>
        <v>2.1635839538794137</v>
      </c>
      <c r="J144" s="48"/>
    </row>
    <row r="145" spans="3:10">
      <c r="C145" s="40">
        <v>2.899</v>
      </c>
      <c r="D145" s="34">
        <v>146.6</v>
      </c>
      <c r="E145" s="23">
        <v>89.25</v>
      </c>
      <c r="F145" s="23">
        <v>41.19</v>
      </c>
      <c r="G145" s="23">
        <v>486</v>
      </c>
      <c r="H145" s="40">
        <v>3.21</v>
      </c>
      <c r="I145" s="13">
        <f t="shared" si="2"/>
        <v>2.166788055353241</v>
      </c>
      <c r="J145" s="48"/>
    </row>
    <row r="146" spans="3:10">
      <c r="C146" s="40">
        <v>2.9060000000000001</v>
      </c>
      <c r="D146" s="34">
        <v>131.5</v>
      </c>
      <c r="E146" s="23">
        <v>89.58</v>
      </c>
      <c r="F146" s="23">
        <v>41.46</v>
      </c>
      <c r="G146" s="23">
        <v>486.5</v>
      </c>
      <c r="H146" s="40">
        <v>3.31</v>
      </c>
      <c r="I146" s="13">
        <f t="shared" si="2"/>
        <v>2.1606367583212736</v>
      </c>
      <c r="J146" s="48"/>
    </row>
    <row r="147" spans="3:10">
      <c r="C147" s="40">
        <v>2.968</v>
      </c>
      <c r="D147" s="34">
        <v>139.4</v>
      </c>
      <c r="E147" s="23">
        <v>88.7</v>
      </c>
      <c r="F147" s="23">
        <v>39.369999999999997</v>
      </c>
      <c r="G147" s="23">
        <v>487.5</v>
      </c>
      <c r="H147" s="40">
        <v>2.9239999999999999</v>
      </c>
      <c r="I147" s="13">
        <f t="shared" si="2"/>
        <v>2.2529845059690121</v>
      </c>
      <c r="J147" s="48"/>
    </row>
    <row r="148" spans="3:10">
      <c r="C148" s="40">
        <v>3.0070000000000001</v>
      </c>
      <c r="D148" s="34">
        <v>188.7</v>
      </c>
      <c r="E148" s="23">
        <v>90.32</v>
      </c>
      <c r="F148" s="23">
        <v>41</v>
      </c>
      <c r="G148" s="23">
        <v>488.1</v>
      </c>
      <c r="H148" s="40">
        <v>2.74</v>
      </c>
      <c r="I148" s="13">
        <f t="shared" si="2"/>
        <v>2.2029268292682924</v>
      </c>
      <c r="J148" s="48"/>
    </row>
    <row r="149" spans="3:10">
      <c r="C149" s="40">
        <v>3.0310000000000001</v>
      </c>
      <c r="D149" s="34">
        <v>187.2</v>
      </c>
      <c r="E149" s="23">
        <v>89.52</v>
      </c>
      <c r="F149" s="23">
        <v>39.97</v>
      </c>
      <c r="G149" s="23">
        <v>488.1</v>
      </c>
      <c r="H149" s="40">
        <v>2.7639999999999998</v>
      </c>
      <c r="I149" s="13">
        <f t="shared" si="2"/>
        <v>2.239679759819865</v>
      </c>
      <c r="J149" s="48"/>
    </row>
    <row r="150" spans="3:10">
      <c r="C150" s="40">
        <v>3.0259999999999998</v>
      </c>
      <c r="D150" s="34">
        <v>185.3</v>
      </c>
      <c r="E150" s="23">
        <v>90.39</v>
      </c>
      <c r="F150" s="23">
        <v>41.3</v>
      </c>
      <c r="G150" s="23">
        <v>488.5</v>
      </c>
      <c r="H150" s="40">
        <v>2.927</v>
      </c>
      <c r="I150" s="13">
        <f t="shared" si="2"/>
        <v>2.1886198547215496</v>
      </c>
      <c r="J150" s="48"/>
    </row>
    <row r="151" spans="3:10">
      <c r="C151" s="40">
        <v>3.0049999999999999</v>
      </c>
      <c r="D151" s="34">
        <v>168.7</v>
      </c>
      <c r="E151" s="23">
        <v>90.64</v>
      </c>
      <c r="F151" s="23">
        <v>41.45</v>
      </c>
      <c r="G151" s="23">
        <v>485.4</v>
      </c>
      <c r="H151" s="40">
        <v>3.23</v>
      </c>
      <c r="I151" s="13">
        <f t="shared" si="2"/>
        <v>2.1867310012062724</v>
      </c>
      <c r="J151" s="48"/>
    </row>
    <row r="152" spans="3:10">
      <c r="C152" s="40">
        <v>2.9950000000000001</v>
      </c>
      <c r="D152" s="34">
        <v>171.4</v>
      </c>
      <c r="E152" s="23">
        <v>90.1</v>
      </c>
      <c r="F152" s="23">
        <v>39.68</v>
      </c>
      <c r="G152" s="23">
        <v>484.1</v>
      </c>
      <c r="H152" s="40">
        <v>3.25</v>
      </c>
      <c r="I152" s="13">
        <f t="shared" si="2"/>
        <v>2.270665322580645</v>
      </c>
      <c r="J152" s="48"/>
    </row>
    <row r="153" spans="3:10">
      <c r="C153" s="40">
        <v>2.9750000000000001</v>
      </c>
      <c r="D153" s="34">
        <v>168.7</v>
      </c>
      <c r="E153" s="23">
        <v>88.8</v>
      </c>
      <c r="F153" s="23">
        <v>39.369999999999997</v>
      </c>
      <c r="G153" s="23">
        <v>485.6</v>
      </c>
      <c r="H153" s="40">
        <v>2.7360000000000002</v>
      </c>
      <c r="I153" s="13">
        <f t="shared" si="2"/>
        <v>2.2555245110490221</v>
      </c>
      <c r="J153" s="48"/>
    </row>
    <row r="154" spans="3:10">
      <c r="C154" s="40">
        <v>2.97</v>
      </c>
      <c r="D154" s="34">
        <v>166.9</v>
      </c>
      <c r="E154" s="23">
        <v>89.34</v>
      </c>
      <c r="F154" s="23">
        <v>41.18</v>
      </c>
      <c r="G154" s="23">
        <v>478.9</v>
      </c>
      <c r="H154" s="40">
        <v>2.5830000000000002</v>
      </c>
      <c r="I154" s="13">
        <f t="shared" si="2"/>
        <v>2.1694997571636718</v>
      </c>
      <c r="J154" s="48"/>
    </row>
    <row r="155" spans="3:10">
      <c r="C155" s="40">
        <v>2.8959999999999999</v>
      </c>
      <c r="D155" s="34">
        <v>163.9</v>
      </c>
      <c r="E155" s="23">
        <v>87.9</v>
      </c>
      <c r="F155" s="23">
        <v>41.15</v>
      </c>
      <c r="G155" s="23">
        <v>478.6</v>
      </c>
      <c r="H155" s="40">
        <v>2.7589999999999999</v>
      </c>
      <c r="I155" s="13">
        <f t="shared" si="2"/>
        <v>2.1360874848116649</v>
      </c>
      <c r="J155" s="48"/>
    </row>
    <row r="156" spans="3:10">
      <c r="C156" s="40">
        <v>2.9060000000000001</v>
      </c>
      <c r="D156" s="34">
        <v>171.4</v>
      </c>
      <c r="E156" s="23">
        <v>88.45</v>
      </c>
      <c r="F156" s="23">
        <v>40.11</v>
      </c>
      <c r="G156" s="23">
        <v>476.9</v>
      </c>
      <c r="H156" s="40">
        <v>2.919</v>
      </c>
      <c r="I156" s="13">
        <f t="shared" si="2"/>
        <v>2.205185739217153</v>
      </c>
      <c r="J156" s="48"/>
    </row>
    <row r="157" spans="3:10">
      <c r="C157" s="40">
        <v>2.8439999999999999</v>
      </c>
      <c r="D157" s="34">
        <v>158.19999999999999</v>
      </c>
      <c r="E157" s="23">
        <v>89.1</v>
      </c>
      <c r="F157" s="23">
        <v>40.53</v>
      </c>
      <c r="G157" s="23">
        <v>474</v>
      </c>
      <c r="H157" s="40">
        <v>3.23</v>
      </c>
      <c r="I157" s="13">
        <f t="shared" si="2"/>
        <v>2.1983715766099183</v>
      </c>
      <c r="J157" s="48"/>
    </row>
    <row r="158" spans="3:10">
      <c r="C158" s="40">
        <v>2.891</v>
      </c>
      <c r="D158" s="34">
        <v>153.6</v>
      </c>
      <c r="E158" s="23">
        <v>89.5</v>
      </c>
      <c r="F158" s="23">
        <v>39.53</v>
      </c>
      <c r="G158" s="23">
        <v>476.1</v>
      </c>
      <c r="H158" s="40">
        <v>3.82</v>
      </c>
      <c r="I158" s="13">
        <f t="shared" si="2"/>
        <v>2.2641032127498102</v>
      </c>
      <c r="J158" s="48"/>
    </row>
    <row r="159" spans="3:10">
      <c r="C159" s="40">
        <v>2.9350000000000001</v>
      </c>
      <c r="D159" s="34">
        <v>168.7</v>
      </c>
      <c r="E159" s="23">
        <v>90.8</v>
      </c>
      <c r="F159" s="23">
        <v>39.869999999999997</v>
      </c>
      <c r="G159" s="23">
        <v>477.3</v>
      </c>
      <c r="H159" s="40">
        <v>3.0649999999999999</v>
      </c>
      <c r="I159" s="13">
        <f t="shared" si="2"/>
        <v>2.2774015550539253</v>
      </c>
      <c r="J159" s="48"/>
    </row>
    <row r="160" spans="3:10">
      <c r="C160" s="40">
        <v>2.99</v>
      </c>
      <c r="D160" s="34">
        <v>173.9</v>
      </c>
      <c r="E160" s="23">
        <v>90.17</v>
      </c>
      <c r="F160" s="23">
        <v>40.98</v>
      </c>
      <c r="G160" s="23">
        <v>484.8</v>
      </c>
      <c r="H160" s="40">
        <v>3.43</v>
      </c>
      <c r="I160" s="13">
        <f t="shared" si="2"/>
        <v>2.2003416300634457</v>
      </c>
      <c r="J160" s="48"/>
    </row>
    <row r="161" spans="2:10">
      <c r="C161" s="40">
        <v>3.0139999999999998</v>
      </c>
      <c r="D161" s="34">
        <v>168.7</v>
      </c>
      <c r="E161" s="23">
        <v>89.82</v>
      </c>
      <c r="F161" s="23">
        <v>40.700000000000003</v>
      </c>
      <c r="G161" s="23">
        <v>482.3</v>
      </c>
      <c r="H161" s="40">
        <v>3.21</v>
      </c>
      <c r="I161" s="13">
        <f t="shared" si="2"/>
        <v>2.2068796068796064</v>
      </c>
      <c r="J161" s="48"/>
    </row>
    <row r="162" spans="2:10">
      <c r="B162" s="47">
        <v>9</v>
      </c>
      <c r="C162" s="39">
        <v>3.056</v>
      </c>
      <c r="D162" s="37">
        <v>117.7</v>
      </c>
      <c r="E162" s="38">
        <v>100.6</v>
      </c>
      <c r="F162" s="38">
        <v>37.53</v>
      </c>
      <c r="G162" s="38">
        <v>510.6</v>
      </c>
      <c r="H162" s="39">
        <v>3.2530000000000001</v>
      </c>
      <c r="I162" s="13">
        <f t="shared" si="2"/>
        <v>2.6805222488675722</v>
      </c>
      <c r="J162" s="48"/>
    </row>
    <row r="163" spans="2:10">
      <c r="C163" s="40">
        <v>3.0750000000000002</v>
      </c>
      <c r="D163" s="34">
        <v>100.2</v>
      </c>
      <c r="E163" s="23">
        <v>100.1</v>
      </c>
      <c r="F163" s="23">
        <v>38.22</v>
      </c>
      <c r="G163" s="23">
        <v>509.3</v>
      </c>
      <c r="H163" s="40">
        <v>3.1920000000000002</v>
      </c>
      <c r="I163" s="13">
        <f t="shared" si="2"/>
        <v>2.6190476190476191</v>
      </c>
      <c r="J163" s="48"/>
    </row>
    <row r="164" spans="2:10">
      <c r="C164" s="40">
        <v>3.0590000000000002</v>
      </c>
      <c r="D164" s="34">
        <v>108</v>
      </c>
      <c r="E164" s="23">
        <v>100.6</v>
      </c>
      <c r="F164" s="23">
        <v>38.43</v>
      </c>
      <c r="G164" s="23">
        <v>509.8</v>
      </c>
      <c r="H164" s="40">
        <v>2.5659999999999998</v>
      </c>
      <c r="I164" s="13">
        <f t="shared" si="2"/>
        <v>2.6177465521727816</v>
      </c>
      <c r="J164" s="48"/>
    </row>
    <row r="165" spans="2:10">
      <c r="C165" s="40">
        <v>3.0710000000000002</v>
      </c>
      <c r="D165" s="34">
        <v>107.3</v>
      </c>
      <c r="E165" s="23">
        <v>98.48</v>
      </c>
      <c r="F165" s="23">
        <v>38.44</v>
      </c>
      <c r="G165" s="23">
        <v>511.2</v>
      </c>
      <c r="H165" s="40">
        <v>2.234</v>
      </c>
      <c r="I165" s="13">
        <f t="shared" si="2"/>
        <v>2.5619146722164414</v>
      </c>
      <c r="J165" s="48"/>
    </row>
    <row r="166" spans="2:10">
      <c r="C166" s="40">
        <v>3.0169999999999999</v>
      </c>
      <c r="D166" s="34">
        <v>126</v>
      </c>
      <c r="E166" s="23">
        <v>99.01</v>
      </c>
      <c r="F166" s="23">
        <v>36.380000000000003</v>
      </c>
      <c r="G166" s="23">
        <v>514.70000000000005</v>
      </c>
      <c r="H166" s="40">
        <v>3.226</v>
      </c>
      <c r="I166" s="13">
        <f t="shared" si="2"/>
        <v>2.7215503023639362</v>
      </c>
      <c r="J166" s="48"/>
    </row>
    <row r="167" spans="2:10">
      <c r="C167" s="40">
        <v>2.9969999999999999</v>
      </c>
      <c r="D167" s="34">
        <v>131</v>
      </c>
      <c r="E167" s="23">
        <v>99.11</v>
      </c>
      <c r="F167" s="23">
        <v>38.96</v>
      </c>
      <c r="G167" s="23">
        <v>512.4</v>
      </c>
      <c r="H167" s="40">
        <v>3.0619999999999998</v>
      </c>
      <c r="I167" s="13">
        <f t="shared" si="2"/>
        <v>2.5438911704312113</v>
      </c>
      <c r="J167" s="48"/>
    </row>
    <row r="168" spans="2:10">
      <c r="C168" s="40">
        <v>2.9</v>
      </c>
      <c r="D168" s="34">
        <v>134.1</v>
      </c>
      <c r="E168" s="23">
        <v>98.55</v>
      </c>
      <c r="F168" s="23">
        <v>37.81</v>
      </c>
      <c r="G168" s="23">
        <v>516.1</v>
      </c>
      <c r="H168" s="40">
        <v>4.173</v>
      </c>
      <c r="I168" s="13">
        <f t="shared" si="2"/>
        <v>2.6064533192277173</v>
      </c>
      <c r="J168" s="48"/>
    </row>
    <row r="169" spans="2:10">
      <c r="C169" s="40">
        <v>2.9049999999999998</v>
      </c>
      <c r="D169" s="34">
        <v>142.1</v>
      </c>
      <c r="E169" s="23">
        <v>100.3</v>
      </c>
      <c r="F169" s="23">
        <v>39.19</v>
      </c>
      <c r="G169" s="23">
        <v>518.4</v>
      </c>
      <c r="H169" s="40">
        <v>3.544</v>
      </c>
      <c r="I169" s="13">
        <f t="shared" si="2"/>
        <v>2.559326358764991</v>
      </c>
      <c r="J169" s="48"/>
    </row>
    <row r="170" spans="2:10">
      <c r="C170" s="40">
        <v>2.94</v>
      </c>
      <c r="D170" s="34">
        <v>108</v>
      </c>
      <c r="E170" s="23">
        <v>97.54</v>
      </c>
      <c r="F170" s="23">
        <v>38.67</v>
      </c>
      <c r="G170" s="23">
        <v>520.9</v>
      </c>
      <c r="H170" s="40">
        <v>3.4119999999999999</v>
      </c>
      <c r="I170" s="13">
        <f t="shared" si="2"/>
        <v>2.5223687613136798</v>
      </c>
      <c r="J170" s="48"/>
    </row>
    <row r="171" spans="2:10">
      <c r="C171" s="40">
        <v>2.9790000000000001</v>
      </c>
      <c r="D171" s="34">
        <v>117.7</v>
      </c>
      <c r="E171" s="23">
        <v>98.92</v>
      </c>
      <c r="F171" s="23">
        <v>37.81</v>
      </c>
      <c r="G171" s="23">
        <v>514.5</v>
      </c>
      <c r="H171" s="40">
        <v>3.3359999999999999</v>
      </c>
      <c r="I171" s="13">
        <f t="shared" si="2"/>
        <v>2.616239090187781</v>
      </c>
      <c r="J171" s="48"/>
    </row>
    <row r="172" spans="2:10">
      <c r="C172" s="40">
        <v>3.0230000000000001</v>
      </c>
      <c r="D172" s="34">
        <v>126</v>
      </c>
      <c r="E172" s="23">
        <v>97.49</v>
      </c>
      <c r="F172" s="23">
        <v>37.619999999999997</v>
      </c>
      <c r="G172" s="23">
        <v>517</v>
      </c>
      <c r="H172" s="40">
        <v>3.2360000000000002</v>
      </c>
      <c r="I172" s="13">
        <f t="shared" si="2"/>
        <v>2.5914407230196703</v>
      </c>
      <c r="J172" s="48"/>
    </row>
    <row r="173" spans="2:10">
      <c r="C173" s="40">
        <v>3.1</v>
      </c>
      <c r="D173" s="34">
        <v>106.6</v>
      </c>
      <c r="E173" s="23">
        <v>97.84</v>
      </c>
      <c r="F173" s="23">
        <v>38.42</v>
      </c>
      <c r="G173" s="23">
        <v>516.20000000000005</v>
      </c>
      <c r="H173" s="40">
        <v>3</v>
      </c>
      <c r="I173" s="13">
        <f t="shared" si="2"/>
        <v>2.5465903175429463</v>
      </c>
      <c r="J173" s="48"/>
    </row>
    <row r="174" spans="2:10">
      <c r="C174" s="40">
        <v>3.113</v>
      </c>
      <c r="D174" s="34">
        <v>93.01</v>
      </c>
      <c r="E174" s="23">
        <v>98.04</v>
      </c>
      <c r="F174" s="23">
        <v>38.67</v>
      </c>
      <c r="G174" s="23">
        <v>514.6</v>
      </c>
      <c r="H174" s="40">
        <v>2.5659999999999998</v>
      </c>
      <c r="I174" s="13">
        <f t="shared" si="2"/>
        <v>2.535298681148177</v>
      </c>
      <c r="J174" s="48"/>
    </row>
    <row r="175" spans="2:10">
      <c r="C175" s="40">
        <v>3.1120000000000001</v>
      </c>
      <c r="D175" s="34">
        <v>131</v>
      </c>
      <c r="E175" s="23">
        <v>99.76</v>
      </c>
      <c r="F175" s="23">
        <v>38.909999999999997</v>
      </c>
      <c r="G175" s="23">
        <v>515</v>
      </c>
      <c r="H175" s="40">
        <v>2.1829999999999998</v>
      </c>
      <c r="I175" s="13">
        <f t="shared" si="2"/>
        <v>2.5638653302492935</v>
      </c>
      <c r="J175" s="48"/>
    </row>
    <row r="176" spans="2:10">
      <c r="C176" s="40">
        <v>3.12</v>
      </c>
      <c r="D176" s="34">
        <v>126.1</v>
      </c>
      <c r="E176" s="23">
        <v>98.76</v>
      </c>
      <c r="F176" s="23">
        <v>36.31</v>
      </c>
      <c r="G176" s="23">
        <v>511.2</v>
      </c>
      <c r="H176" s="40">
        <v>3.0979999999999999</v>
      </c>
      <c r="I176" s="13">
        <f t="shared" si="2"/>
        <v>2.7199118700082621</v>
      </c>
      <c r="J176" s="48"/>
    </row>
    <row r="177" spans="2:10">
      <c r="C177" s="40">
        <v>3.0880000000000001</v>
      </c>
      <c r="D177" s="34">
        <v>118.4</v>
      </c>
      <c r="E177" s="23">
        <v>97.48</v>
      </c>
      <c r="F177" s="23">
        <v>38</v>
      </c>
      <c r="G177" s="23">
        <v>509.4</v>
      </c>
      <c r="H177" s="40">
        <v>3.0960000000000001</v>
      </c>
      <c r="I177" s="13">
        <f t="shared" si="2"/>
        <v>2.5652631578947371</v>
      </c>
      <c r="J177" s="48"/>
    </row>
    <row r="178" spans="2:10">
      <c r="C178" s="40">
        <v>3.12</v>
      </c>
      <c r="D178" s="34">
        <v>127.2</v>
      </c>
      <c r="E178" s="23">
        <v>99.7</v>
      </c>
      <c r="F178" s="23">
        <v>37.14</v>
      </c>
      <c r="G178" s="23">
        <v>509.2</v>
      </c>
      <c r="H178" s="40">
        <v>2.036</v>
      </c>
      <c r="I178" s="13">
        <f t="shared" si="2"/>
        <v>2.6844372644049543</v>
      </c>
      <c r="J178" s="48"/>
    </row>
    <row r="179" spans="2:10">
      <c r="C179" s="40">
        <v>3.0649999999999999</v>
      </c>
      <c r="D179" s="34">
        <v>117.5</v>
      </c>
      <c r="E179" s="23">
        <v>98.37</v>
      </c>
      <c r="F179" s="23">
        <v>37.94</v>
      </c>
      <c r="G179" s="23">
        <v>509.1</v>
      </c>
      <c r="H179" s="40">
        <v>2.9910000000000001</v>
      </c>
      <c r="I179" s="13">
        <f t="shared" si="2"/>
        <v>2.5927780706378494</v>
      </c>
      <c r="J179" s="48"/>
    </row>
    <row r="180" spans="2:10">
      <c r="C180" s="40">
        <v>2.98</v>
      </c>
      <c r="D180" s="34">
        <v>100.9</v>
      </c>
      <c r="E180" s="23">
        <v>97.56</v>
      </c>
      <c r="F180" s="23">
        <v>37.299999999999997</v>
      </c>
      <c r="G180" s="23">
        <v>512.29999999999995</v>
      </c>
      <c r="H180" s="40">
        <v>1.9279999999999999</v>
      </c>
      <c r="I180" s="13">
        <f t="shared" si="2"/>
        <v>2.6155495978552281</v>
      </c>
      <c r="J180" s="48"/>
    </row>
    <row r="181" spans="2:10">
      <c r="C181" s="40">
        <v>3.0590000000000002</v>
      </c>
      <c r="D181" s="34">
        <v>131.6</v>
      </c>
      <c r="E181" s="23">
        <v>98.34</v>
      </c>
      <c r="F181" s="23">
        <v>36.42</v>
      </c>
      <c r="G181" s="23">
        <v>512.5</v>
      </c>
      <c r="H181" s="40">
        <v>3.907</v>
      </c>
      <c r="I181" s="13">
        <f t="shared" si="2"/>
        <v>2.7001647446457988</v>
      </c>
      <c r="J181" s="48"/>
    </row>
    <row r="182" spans="2:10">
      <c r="B182" s="47">
        <v>10</v>
      </c>
      <c r="C182" s="39">
        <v>2.4220000000000002</v>
      </c>
      <c r="D182" s="37">
        <v>172.5</v>
      </c>
      <c r="E182" s="38">
        <v>109.1</v>
      </c>
      <c r="F182" s="38">
        <v>37.57</v>
      </c>
      <c r="G182" s="38">
        <v>577.29999999999995</v>
      </c>
      <c r="H182" s="39">
        <v>2.8839999999999999</v>
      </c>
      <c r="I182" s="13">
        <f t="shared" si="2"/>
        <v>2.9039126963002393</v>
      </c>
      <c r="J182" s="48"/>
    </row>
    <row r="183" spans="2:10">
      <c r="C183" s="40">
        <v>2.4329999999999998</v>
      </c>
      <c r="D183" s="34">
        <v>125.1</v>
      </c>
      <c r="E183" s="23">
        <v>111.3</v>
      </c>
      <c r="F183" s="23">
        <v>39.08</v>
      </c>
      <c r="G183" s="23">
        <v>609.6</v>
      </c>
      <c r="H183" s="40">
        <v>2.8159999999999998</v>
      </c>
      <c r="I183" s="13">
        <f t="shared" si="2"/>
        <v>2.8480040941658138</v>
      </c>
      <c r="J183" s="48"/>
    </row>
    <row r="184" spans="2:10">
      <c r="C184" s="40">
        <v>2.327</v>
      </c>
      <c r="D184" s="34">
        <v>150.80000000000001</v>
      </c>
      <c r="E184" s="23">
        <v>114.6</v>
      </c>
      <c r="F184" s="23">
        <v>39.51</v>
      </c>
      <c r="G184" s="23">
        <v>604.5</v>
      </c>
      <c r="H184" s="40">
        <v>2.7410000000000001</v>
      </c>
      <c r="I184" s="13">
        <f t="shared" si="2"/>
        <v>2.9005315110098708</v>
      </c>
      <c r="J184" s="48"/>
    </row>
    <row r="185" spans="2:10">
      <c r="C185" s="40">
        <v>2.3719999999999999</v>
      </c>
      <c r="D185" s="34">
        <v>164.2</v>
      </c>
      <c r="E185" s="23">
        <v>114.1</v>
      </c>
      <c r="F185" s="23">
        <v>38.04</v>
      </c>
      <c r="G185" s="23">
        <v>603.5</v>
      </c>
      <c r="H185" s="40">
        <v>2.7730000000000001</v>
      </c>
      <c r="I185" s="13">
        <f t="shared" si="2"/>
        <v>2.9994742376445847</v>
      </c>
      <c r="J185" s="48"/>
    </row>
    <row r="186" spans="2:10">
      <c r="C186" s="40">
        <v>2.335</v>
      </c>
      <c r="D186" s="34">
        <v>140.9</v>
      </c>
      <c r="E186" s="23">
        <v>113</v>
      </c>
      <c r="F186" s="23">
        <v>39.22</v>
      </c>
      <c r="G186" s="23">
        <v>621.6</v>
      </c>
      <c r="H186" s="40">
        <v>2.9009999999999998</v>
      </c>
      <c r="I186" s="13">
        <f t="shared" si="2"/>
        <v>2.8811830698623151</v>
      </c>
      <c r="J186" s="48"/>
    </row>
    <row r="187" spans="2:10">
      <c r="C187" s="40">
        <v>2.399</v>
      </c>
      <c r="D187" s="34">
        <v>117.8</v>
      </c>
      <c r="E187" s="23">
        <v>112.9</v>
      </c>
      <c r="F187" s="23">
        <v>38.950000000000003</v>
      </c>
      <c r="G187" s="23">
        <v>617.4</v>
      </c>
      <c r="H187" s="40">
        <v>2.621</v>
      </c>
      <c r="I187" s="13">
        <f t="shared" si="2"/>
        <v>2.8985879332477533</v>
      </c>
      <c r="J187" s="48"/>
    </row>
    <row r="188" spans="2:10">
      <c r="C188" s="40">
        <v>2.472</v>
      </c>
      <c r="D188" s="34">
        <v>111.6</v>
      </c>
      <c r="E188" s="23">
        <v>112</v>
      </c>
      <c r="F188" s="23">
        <v>38.770000000000003</v>
      </c>
      <c r="G188" s="23">
        <v>605.70000000000005</v>
      </c>
      <c r="H188" s="40">
        <v>2.702</v>
      </c>
      <c r="I188" s="13">
        <f t="shared" si="2"/>
        <v>2.8888315708021666</v>
      </c>
      <c r="J188" s="48"/>
    </row>
    <row r="189" spans="2:10">
      <c r="C189" s="40">
        <v>2.4380000000000002</v>
      </c>
      <c r="D189" s="34">
        <v>143.9</v>
      </c>
      <c r="E189" s="23">
        <v>111.2</v>
      </c>
      <c r="F189" s="23">
        <v>38.630000000000003</v>
      </c>
      <c r="G189" s="23">
        <v>621.6</v>
      </c>
      <c r="H189" s="40">
        <v>3.04</v>
      </c>
      <c r="I189" s="13">
        <f t="shared" si="2"/>
        <v>2.878591768055915</v>
      </c>
      <c r="J189" s="48"/>
    </row>
    <row r="190" spans="2:10">
      <c r="C190" s="40">
        <v>2.4239999999999999</v>
      </c>
      <c r="D190" s="34">
        <v>131.1</v>
      </c>
      <c r="E190" s="23">
        <v>107.1</v>
      </c>
      <c r="F190" s="23">
        <v>39.270000000000003</v>
      </c>
      <c r="G190" s="23">
        <v>620</v>
      </c>
      <c r="H190" s="40">
        <v>2.5609999999999999</v>
      </c>
      <c r="I190" s="13">
        <f t="shared" si="2"/>
        <v>2.7272727272727271</v>
      </c>
      <c r="J190" s="48"/>
    </row>
    <row r="191" spans="2:10">
      <c r="C191" s="40">
        <v>2.4329999999999998</v>
      </c>
      <c r="D191" s="34">
        <v>150.5</v>
      </c>
      <c r="E191" s="23">
        <v>112.6</v>
      </c>
      <c r="F191" s="23">
        <v>39.22</v>
      </c>
      <c r="G191" s="23">
        <v>612.4</v>
      </c>
      <c r="H191" s="40">
        <v>2.6480000000000001</v>
      </c>
      <c r="I191" s="13">
        <f t="shared" si="2"/>
        <v>2.8709841917389087</v>
      </c>
      <c r="J191" s="48"/>
    </row>
    <row r="192" spans="2:10">
      <c r="C192" s="40">
        <v>2.3559999999999999</v>
      </c>
      <c r="D192" s="34">
        <v>133.6</v>
      </c>
      <c r="E192" s="23">
        <v>113</v>
      </c>
      <c r="F192" s="23">
        <v>39.869999999999997</v>
      </c>
      <c r="G192" s="23">
        <v>608.79999999999995</v>
      </c>
      <c r="H192" s="40">
        <v>2.8610000000000002</v>
      </c>
      <c r="I192" s="13">
        <f t="shared" si="2"/>
        <v>2.8342111863556561</v>
      </c>
      <c r="J192" s="48"/>
    </row>
    <row r="193" spans="2:10">
      <c r="C193" s="40">
        <v>2.262</v>
      </c>
      <c r="D193" s="34">
        <v>139.4</v>
      </c>
      <c r="E193" s="23">
        <v>114.2</v>
      </c>
      <c r="F193" s="23">
        <v>38.950000000000003</v>
      </c>
      <c r="G193" s="23">
        <v>609.5</v>
      </c>
      <c r="H193" s="40">
        <v>2.706</v>
      </c>
      <c r="I193" s="13">
        <f t="shared" si="2"/>
        <v>2.9319640564826699</v>
      </c>
      <c r="J193" s="48"/>
    </row>
    <row r="194" spans="2:10">
      <c r="C194" s="40">
        <v>2.3439999999999999</v>
      </c>
      <c r="D194" s="34">
        <v>117.2</v>
      </c>
      <c r="E194" s="23">
        <v>114.3</v>
      </c>
      <c r="F194" s="23">
        <v>39.4</v>
      </c>
      <c r="G194" s="23">
        <v>603.9</v>
      </c>
      <c r="H194" s="40">
        <v>2.6760000000000002</v>
      </c>
      <c r="I194" s="13">
        <f t="shared" si="2"/>
        <v>2.9010152284263961</v>
      </c>
      <c r="J194" s="48"/>
    </row>
    <row r="195" spans="2:10">
      <c r="C195" s="40">
        <v>2.3239999999999998</v>
      </c>
      <c r="D195" s="34">
        <v>116.2</v>
      </c>
      <c r="E195" s="23">
        <v>114.4</v>
      </c>
      <c r="F195" s="23">
        <v>38.869999999999997</v>
      </c>
      <c r="G195" s="23">
        <v>607.20000000000005</v>
      </c>
      <c r="H195" s="40">
        <v>2.8039999999999998</v>
      </c>
      <c r="I195" s="13">
        <f t="shared" ref="I195:I258" si="3">E195/F195</f>
        <v>2.9431438127090304</v>
      </c>
      <c r="J195" s="48"/>
    </row>
    <row r="196" spans="2:10">
      <c r="C196" s="40">
        <v>2.363</v>
      </c>
      <c r="D196" s="34">
        <v>124.6</v>
      </c>
      <c r="E196" s="23">
        <v>114.9</v>
      </c>
      <c r="F196" s="23">
        <v>38.590000000000003</v>
      </c>
      <c r="G196" s="23">
        <v>605.1</v>
      </c>
      <c r="H196" s="40">
        <v>2.863</v>
      </c>
      <c r="I196" s="13">
        <f t="shared" si="3"/>
        <v>2.9774552993003369</v>
      </c>
      <c r="J196" s="48"/>
    </row>
    <row r="197" spans="2:10">
      <c r="C197" s="40">
        <v>2.3929999999999998</v>
      </c>
      <c r="D197" s="34">
        <v>150.30000000000001</v>
      </c>
      <c r="E197" s="23">
        <v>114.3</v>
      </c>
      <c r="F197" s="23">
        <v>39.049999999999997</v>
      </c>
      <c r="G197" s="23">
        <v>577.79999999999995</v>
      </c>
      <c r="H197" s="40">
        <v>3.0710000000000002</v>
      </c>
      <c r="I197" s="13">
        <f t="shared" si="3"/>
        <v>2.9270166453265047</v>
      </c>
      <c r="J197" s="48"/>
    </row>
    <row r="198" spans="2:10">
      <c r="C198" s="40">
        <v>2.4359999999999999</v>
      </c>
      <c r="D198" s="34">
        <v>153.9</v>
      </c>
      <c r="E198" s="23">
        <v>113</v>
      </c>
      <c r="F198" s="23">
        <v>38.76</v>
      </c>
      <c r="G198" s="23">
        <v>616.20000000000005</v>
      </c>
      <c r="H198" s="40">
        <v>3.274</v>
      </c>
      <c r="I198" s="13">
        <f t="shared" si="3"/>
        <v>2.9153766769865843</v>
      </c>
      <c r="J198" s="48"/>
    </row>
    <row r="199" spans="2:10">
      <c r="C199" s="40">
        <v>2.4009999999999998</v>
      </c>
      <c r="D199" s="34">
        <v>107.5</v>
      </c>
      <c r="E199" s="23">
        <v>112.1</v>
      </c>
      <c r="F199" s="23">
        <v>39.57</v>
      </c>
      <c r="G199" s="23">
        <v>611.9</v>
      </c>
      <c r="H199" s="40">
        <v>3.2589999999999999</v>
      </c>
      <c r="I199" s="13">
        <f t="shared" si="3"/>
        <v>2.8329542582764717</v>
      </c>
      <c r="J199" s="48"/>
    </row>
    <row r="200" spans="2:10">
      <c r="C200" s="40">
        <v>2.4329999999999998</v>
      </c>
      <c r="D200" s="34">
        <v>108.1</v>
      </c>
      <c r="E200" s="23">
        <v>114.1</v>
      </c>
      <c r="F200" s="23">
        <v>39.799999999999997</v>
      </c>
      <c r="G200" s="23">
        <v>603.70000000000005</v>
      </c>
      <c r="H200" s="40">
        <v>3.3849999999999998</v>
      </c>
      <c r="I200" s="13">
        <f t="shared" si="3"/>
        <v>2.8668341708542715</v>
      </c>
      <c r="J200" s="48"/>
    </row>
    <row r="201" spans="2:10">
      <c r="C201" s="40">
        <v>2.4359999999999999</v>
      </c>
      <c r="D201" s="34">
        <v>116.4</v>
      </c>
      <c r="E201" s="23">
        <v>114.6</v>
      </c>
      <c r="F201" s="23">
        <v>38.46</v>
      </c>
      <c r="G201" s="23">
        <v>613.29999999999995</v>
      </c>
      <c r="H201" s="40">
        <v>3.5550000000000002</v>
      </c>
      <c r="I201" s="13">
        <f t="shared" si="3"/>
        <v>2.9797191887675507</v>
      </c>
      <c r="J201" s="48"/>
    </row>
    <row r="202" spans="2:10">
      <c r="B202" s="47">
        <v>11</v>
      </c>
      <c r="C202" s="39">
        <v>3.3540000000000001</v>
      </c>
      <c r="D202" s="37">
        <v>165</v>
      </c>
      <c r="E202" s="38">
        <v>108.3</v>
      </c>
      <c r="F202" s="38">
        <v>41.49</v>
      </c>
      <c r="G202" s="38">
        <v>449.3</v>
      </c>
      <c r="H202" s="39">
        <v>5.8</v>
      </c>
      <c r="I202" s="13">
        <f t="shared" si="3"/>
        <v>2.6102675343456254</v>
      </c>
      <c r="J202" s="48"/>
    </row>
    <row r="203" spans="2:10">
      <c r="C203" s="40">
        <v>3.327</v>
      </c>
      <c r="D203" s="34">
        <v>164.2</v>
      </c>
      <c r="E203" s="23">
        <v>108.8</v>
      </c>
      <c r="F203" s="23">
        <v>39.4</v>
      </c>
      <c r="G203" s="23">
        <v>416.8</v>
      </c>
      <c r="H203" s="40">
        <v>6.11</v>
      </c>
      <c r="I203" s="13">
        <f t="shared" si="3"/>
        <v>2.7614213197969542</v>
      </c>
      <c r="J203" s="48"/>
    </row>
    <row r="204" spans="2:10">
      <c r="C204" s="40">
        <v>3.2919999999999998</v>
      </c>
      <c r="D204" s="34">
        <v>170.6</v>
      </c>
      <c r="E204" s="23">
        <v>107.4</v>
      </c>
      <c r="F204" s="23">
        <v>40.6</v>
      </c>
      <c r="G204" s="23">
        <v>417.3</v>
      </c>
      <c r="H204" s="40">
        <v>5.4260000000000002</v>
      </c>
      <c r="I204" s="13">
        <f t="shared" si="3"/>
        <v>2.645320197044335</v>
      </c>
      <c r="J204" s="48"/>
    </row>
    <row r="205" spans="2:10">
      <c r="C205" s="40">
        <v>3.2320000000000002</v>
      </c>
      <c r="D205" s="34">
        <v>172.5</v>
      </c>
      <c r="E205" s="23">
        <v>108</v>
      </c>
      <c r="F205" s="23">
        <v>41.6</v>
      </c>
      <c r="G205" s="23">
        <v>419.4</v>
      </c>
      <c r="H205" s="40">
        <v>6.3390000000000004</v>
      </c>
      <c r="I205" s="13">
        <f t="shared" si="3"/>
        <v>2.5961538461538463</v>
      </c>
      <c r="J205" s="48"/>
    </row>
    <row r="206" spans="2:10">
      <c r="C206" s="40">
        <v>3.15</v>
      </c>
      <c r="D206" s="34">
        <v>163.5</v>
      </c>
      <c r="E206" s="23">
        <v>107.8</v>
      </c>
      <c r="F206" s="23">
        <v>40.880000000000003</v>
      </c>
      <c r="G206" s="23">
        <v>474.5</v>
      </c>
      <c r="H206" s="40">
        <v>7.1150000000000002</v>
      </c>
      <c r="I206" s="13">
        <f t="shared" si="3"/>
        <v>2.6369863013698627</v>
      </c>
      <c r="J206" s="48"/>
    </row>
    <row r="207" spans="2:10">
      <c r="C207" s="40">
        <v>3.282</v>
      </c>
      <c r="D207" s="34">
        <v>155.6</v>
      </c>
      <c r="E207" s="23">
        <v>109.2</v>
      </c>
      <c r="F207" s="23">
        <v>39.11</v>
      </c>
      <c r="G207" s="23">
        <v>449.1</v>
      </c>
      <c r="H207" s="40">
        <v>6.6440000000000001</v>
      </c>
      <c r="I207" s="13">
        <f t="shared" si="3"/>
        <v>2.7921247762720531</v>
      </c>
      <c r="J207" s="48"/>
    </row>
    <row r="208" spans="2:10">
      <c r="C208" s="40">
        <v>3.3359999999999999</v>
      </c>
      <c r="D208" s="34">
        <v>155.69999999999999</v>
      </c>
      <c r="E208" s="23">
        <v>109.9</v>
      </c>
      <c r="F208" s="23">
        <v>40.28</v>
      </c>
      <c r="G208" s="23">
        <v>450</v>
      </c>
      <c r="H208" s="40">
        <v>4.633</v>
      </c>
      <c r="I208" s="13">
        <f t="shared" si="3"/>
        <v>2.7284011916583912</v>
      </c>
      <c r="J208" s="48"/>
    </row>
    <row r="209" spans="2:10">
      <c r="C209" s="40">
        <v>3.3719999999999999</v>
      </c>
      <c r="D209" s="34">
        <v>156</v>
      </c>
      <c r="E209" s="23">
        <v>109.3</v>
      </c>
      <c r="F209" s="23">
        <v>40.86</v>
      </c>
      <c r="G209" s="23">
        <v>475.1</v>
      </c>
      <c r="H209" s="40">
        <v>5.5739999999999998</v>
      </c>
      <c r="I209" s="13">
        <f t="shared" si="3"/>
        <v>2.67498776309349</v>
      </c>
      <c r="J209" s="48"/>
    </row>
    <row r="210" spans="2:10">
      <c r="C210" s="40">
        <v>3.3839999999999999</v>
      </c>
      <c r="D210" s="34">
        <v>149.9</v>
      </c>
      <c r="E210" s="23">
        <v>109.4</v>
      </c>
      <c r="F210" s="23">
        <v>38.04</v>
      </c>
      <c r="G210" s="23">
        <v>495.4</v>
      </c>
      <c r="H210" s="40">
        <v>6.1779999999999999</v>
      </c>
      <c r="I210" s="13">
        <f t="shared" si="3"/>
        <v>2.8759200841219772</v>
      </c>
      <c r="J210" s="48"/>
    </row>
    <row r="211" spans="2:10">
      <c r="C211" s="40">
        <v>3.38</v>
      </c>
      <c r="D211" s="34">
        <v>153.19999999999999</v>
      </c>
      <c r="E211" s="23">
        <v>106</v>
      </c>
      <c r="F211" s="23">
        <v>38.659999999999997</v>
      </c>
      <c r="G211" s="23">
        <v>493.8</v>
      </c>
      <c r="H211" s="40">
        <v>6.0090000000000003</v>
      </c>
      <c r="I211" s="13">
        <f t="shared" si="3"/>
        <v>2.7418520434557685</v>
      </c>
      <c r="J211" s="48"/>
    </row>
    <row r="212" spans="2:10">
      <c r="C212" s="40">
        <v>3.343</v>
      </c>
      <c r="D212" s="34">
        <v>156.19999999999999</v>
      </c>
      <c r="E212" s="23">
        <v>107.1</v>
      </c>
      <c r="F212" s="23">
        <v>39.86</v>
      </c>
      <c r="G212" s="23">
        <v>511.6</v>
      </c>
      <c r="H212" s="40">
        <v>6.4050000000000002</v>
      </c>
      <c r="I212" s="13">
        <f t="shared" si="3"/>
        <v>2.6869041645760161</v>
      </c>
      <c r="J212" s="48"/>
    </row>
    <row r="213" spans="2:10">
      <c r="C213" s="40">
        <v>3.3109999999999999</v>
      </c>
      <c r="D213" s="34">
        <v>150.9</v>
      </c>
      <c r="E213" s="23">
        <v>107.4</v>
      </c>
      <c r="F213" s="23">
        <v>39.83</v>
      </c>
      <c r="G213" s="23">
        <v>494.3</v>
      </c>
      <c r="H213" s="40">
        <v>6.5490000000000004</v>
      </c>
      <c r="I213" s="13">
        <f t="shared" si="3"/>
        <v>2.696459954807934</v>
      </c>
      <c r="J213" s="48"/>
    </row>
    <row r="214" spans="2:10">
      <c r="C214" s="40">
        <v>3.2530000000000001</v>
      </c>
      <c r="D214" s="34">
        <v>169.4</v>
      </c>
      <c r="E214" s="23">
        <v>107.8</v>
      </c>
      <c r="F214" s="23">
        <v>40.11</v>
      </c>
      <c r="G214" s="23">
        <v>511.4</v>
      </c>
      <c r="H214" s="40">
        <v>6.2930000000000001</v>
      </c>
      <c r="I214" s="13">
        <f t="shared" si="3"/>
        <v>2.6876090750436301</v>
      </c>
      <c r="J214" s="48"/>
    </row>
    <row r="215" spans="2:10">
      <c r="C215" s="40">
        <v>3.2010000000000001</v>
      </c>
      <c r="D215" s="34">
        <v>157.19999999999999</v>
      </c>
      <c r="E215" s="23">
        <v>107.6</v>
      </c>
      <c r="F215" s="23">
        <v>40.020000000000003</v>
      </c>
      <c r="G215" s="23">
        <v>474.9</v>
      </c>
      <c r="H215" s="40">
        <v>6.5819999999999999</v>
      </c>
      <c r="I215" s="13">
        <f t="shared" si="3"/>
        <v>2.6886556721639177</v>
      </c>
      <c r="J215" s="48"/>
    </row>
    <row r="216" spans="2:10">
      <c r="C216" s="40">
        <v>3.2349999999999999</v>
      </c>
      <c r="D216" s="34">
        <v>172.2</v>
      </c>
      <c r="E216" s="23">
        <v>109.8</v>
      </c>
      <c r="F216" s="23">
        <v>39.72</v>
      </c>
      <c r="G216" s="23">
        <v>449</v>
      </c>
      <c r="H216" s="40">
        <v>6.9130000000000003</v>
      </c>
      <c r="I216" s="13">
        <f t="shared" si="3"/>
        <v>2.7643504531722054</v>
      </c>
      <c r="J216" s="48"/>
    </row>
    <row r="217" spans="2:10">
      <c r="C217" s="40">
        <v>3.2389999999999999</v>
      </c>
      <c r="D217" s="34">
        <v>166</v>
      </c>
      <c r="E217" s="23">
        <v>108</v>
      </c>
      <c r="F217" s="23">
        <v>39.72</v>
      </c>
      <c r="G217" s="23">
        <v>448.5</v>
      </c>
      <c r="H217" s="40">
        <v>5.8940000000000001</v>
      </c>
      <c r="I217" s="13">
        <f t="shared" si="3"/>
        <v>2.7190332326283988</v>
      </c>
      <c r="J217" s="48"/>
    </row>
    <row r="218" spans="2:10">
      <c r="C218" s="40">
        <v>3.3109999999999999</v>
      </c>
      <c r="D218" s="34">
        <v>182.9</v>
      </c>
      <c r="E218" s="23">
        <v>108.6</v>
      </c>
      <c r="F218" s="23">
        <v>39.76</v>
      </c>
      <c r="G218" s="23">
        <v>449.3</v>
      </c>
      <c r="H218" s="40">
        <v>5.7539999999999996</v>
      </c>
      <c r="I218" s="13">
        <f t="shared" si="3"/>
        <v>2.7313883299798793</v>
      </c>
      <c r="J218" s="48"/>
    </row>
    <row r="219" spans="2:10">
      <c r="C219" s="40">
        <v>3.3279999999999998</v>
      </c>
      <c r="D219" s="34">
        <v>159.4</v>
      </c>
      <c r="E219" s="23">
        <v>107.8</v>
      </c>
      <c r="F219" s="23">
        <v>40.4</v>
      </c>
      <c r="G219" s="23">
        <v>446.9</v>
      </c>
      <c r="H219" s="40">
        <v>5.9409999999999998</v>
      </c>
      <c r="I219" s="13">
        <f t="shared" si="3"/>
        <v>2.6683168316831685</v>
      </c>
      <c r="J219" s="48"/>
    </row>
    <row r="220" spans="2:10">
      <c r="C220" s="40">
        <v>3.343</v>
      </c>
      <c r="D220" s="34">
        <v>170.6</v>
      </c>
      <c r="E220" s="23">
        <v>105.4</v>
      </c>
      <c r="F220" s="23">
        <v>37.57</v>
      </c>
      <c r="G220" s="23">
        <v>448.3</v>
      </c>
      <c r="H220" s="40">
        <v>6.165</v>
      </c>
      <c r="I220" s="13">
        <f t="shared" si="3"/>
        <v>2.8054298642533939</v>
      </c>
      <c r="J220" s="48"/>
    </row>
    <row r="221" spans="2:10">
      <c r="C221" s="40">
        <v>3.3639999999999999</v>
      </c>
      <c r="D221" s="34">
        <v>168.6</v>
      </c>
      <c r="E221" s="23">
        <v>109.6</v>
      </c>
      <c r="F221" s="23">
        <v>38.04</v>
      </c>
      <c r="G221" s="23">
        <v>471.8</v>
      </c>
      <c r="H221" s="40">
        <v>6.5640000000000001</v>
      </c>
      <c r="I221" s="13">
        <f t="shared" si="3"/>
        <v>2.8811777076761302</v>
      </c>
      <c r="J221" s="48"/>
    </row>
    <row r="222" spans="2:10">
      <c r="B222" s="47">
        <v>12</v>
      </c>
      <c r="C222" s="39">
        <v>2.9260000000000002</v>
      </c>
      <c r="D222" s="37">
        <v>143.30000000000001</v>
      </c>
      <c r="E222" s="38">
        <v>124.5</v>
      </c>
      <c r="F222" s="38">
        <v>55.03</v>
      </c>
      <c r="G222" s="38">
        <v>529</v>
      </c>
      <c r="H222" s="39">
        <v>4.2380000000000004</v>
      </c>
      <c r="I222" s="13">
        <f t="shared" si="3"/>
        <v>2.2624023260039978</v>
      </c>
      <c r="J222" s="48"/>
    </row>
    <row r="223" spans="2:10">
      <c r="C223" s="40">
        <v>3.109</v>
      </c>
      <c r="D223" s="34">
        <v>143.30000000000001</v>
      </c>
      <c r="E223" s="23">
        <v>122.6</v>
      </c>
      <c r="F223" s="23">
        <v>56</v>
      </c>
      <c r="G223" s="23">
        <v>528.5</v>
      </c>
      <c r="H223" s="40">
        <v>4.2789999999999999</v>
      </c>
      <c r="I223" s="13">
        <f t="shared" si="3"/>
        <v>2.1892857142857141</v>
      </c>
      <c r="J223" s="48"/>
    </row>
    <row r="224" spans="2:10">
      <c r="C224" s="40">
        <v>2.9889999999999999</v>
      </c>
      <c r="D224" s="34">
        <v>149.6</v>
      </c>
      <c r="E224" s="23">
        <v>125.2</v>
      </c>
      <c r="F224" s="23">
        <v>56.08</v>
      </c>
      <c r="G224" s="23">
        <v>526.70000000000005</v>
      </c>
      <c r="H224" s="40">
        <v>4.57</v>
      </c>
      <c r="I224" s="13">
        <f t="shared" si="3"/>
        <v>2.2325249643366618</v>
      </c>
      <c r="J224" s="48"/>
    </row>
    <row r="225" spans="3:10">
      <c r="C225" s="40">
        <v>3.0449999999999999</v>
      </c>
      <c r="D225" s="34">
        <v>139.19999999999999</v>
      </c>
      <c r="E225" s="23">
        <v>123.3</v>
      </c>
      <c r="F225" s="23">
        <v>59.53</v>
      </c>
      <c r="G225" s="23">
        <v>526.9</v>
      </c>
      <c r="H225" s="40">
        <v>3.9780000000000002</v>
      </c>
      <c r="I225" s="13">
        <f t="shared" si="3"/>
        <v>2.0712245926423649</v>
      </c>
      <c r="J225" s="48"/>
    </row>
    <row r="226" spans="3:10">
      <c r="C226" s="40">
        <v>2.911</v>
      </c>
      <c r="D226" s="34">
        <v>130.4</v>
      </c>
      <c r="E226" s="23">
        <v>124.2</v>
      </c>
      <c r="F226" s="23">
        <v>59.07</v>
      </c>
      <c r="G226" s="23">
        <v>531.1</v>
      </c>
      <c r="H226" s="40">
        <v>3.988</v>
      </c>
      <c r="I226" s="13">
        <f t="shared" si="3"/>
        <v>2.1025901472828847</v>
      </c>
      <c r="J226" s="48"/>
    </row>
    <row r="227" spans="3:10">
      <c r="C227" s="40">
        <v>2.9870000000000001</v>
      </c>
      <c r="D227" s="34">
        <v>127.7</v>
      </c>
      <c r="E227" s="23">
        <v>125.9</v>
      </c>
      <c r="F227" s="23">
        <v>58.74</v>
      </c>
      <c r="G227" s="23">
        <v>532</v>
      </c>
      <c r="H227" s="40">
        <v>3.5750000000000002</v>
      </c>
      <c r="I227" s="13">
        <f t="shared" si="3"/>
        <v>2.1433435478379299</v>
      </c>
      <c r="J227" s="48"/>
    </row>
    <row r="228" spans="3:10">
      <c r="C228" s="40">
        <v>2.9209999999999998</v>
      </c>
      <c r="D228" s="34">
        <v>146.1</v>
      </c>
      <c r="E228" s="23">
        <v>126.6</v>
      </c>
      <c r="F228" s="23">
        <v>58.55</v>
      </c>
      <c r="G228" s="23">
        <v>529.29999999999995</v>
      </c>
      <c r="H228" s="40">
        <v>4.234</v>
      </c>
      <c r="I228" s="13">
        <f t="shared" si="3"/>
        <v>2.1622544833475663</v>
      </c>
      <c r="J228" s="48"/>
    </row>
    <row r="229" spans="3:10">
      <c r="C229" s="40">
        <v>2.899</v>
      </c>
      <c r="D229" s="34">
        <v>127.7</v>
      </c>
      <c r="E229" s="23">
        <v>124.7</v>
      </c>
      <c r="F229" s="23">
        <v>58.01</v>
      </c>
      <c r="G229" s="23">
        <v>526.6</v>
      </c>
      <c r="H229" s="40">
        <v>4.3959999999999999</v>
      </c>
      <c r="I229" s="13">
        <f t="shared" si="3"/>
        <v>2.1496293742458197</v>
      </c>
      <c r="J229" s="48"/>
    </row>
    <row r="230" spans="3:10">
      <c r="C230" s="40">
        <v>2.7050000000000001</v>
      </c>
      <c r="D230" s="34">
        <v>141.80000000000001</v>
      </c>
      <c r="E230" s="23">
        <v>126.6</v>
      </c>
      <c r="F230" s="23">
        <v>59.52</v>
      </c>
      <c r="G230" s="23">
        <v>528.9</v>
      </c>
      <c r="H230" s="40">
        <v>4.282</v>
      </c>
      <c r="I230" s="13">
        <f t="shared" si="3"/>
        <v>2.127016129032258</v>
      </c>
      <c r="J230" s="48"/>
    </row>
    <row r="231" spans="3:10">
      <c r="C231" s="40">
        <v>2.7850000000000001</v>
      </c>
      <c r="D231" s="34">
        <v>149.19999999999999</v>
      </c>
      <c r="E231" s="23">
        <v>127.8</v>
      </c>
      <c r="F231" s="23">
        <v>58.77</v>
      </c>
      <c r="G231" s="23">
        <v>528.20000000000005</v>
      </c>
      <c r="H231" s="40">
        <v>3.3610000000000002</v>
      </c>
      <c r="I231" s="13">
        <f t="shared" si="3"/>
        <v>2.1745788667687593</v>
      </c>
      <c r="J231" s="48"/>
    </row>
    <row r="232" spans="3:10">
      <c r="C232" s="40">
        <v>2.9329999999999998</v>
      </c>
      <c r="D232" s="34">
        <v>153.80000000000001</v>
      </c>
      <c r="E232" s="23">
        <v>128.69999999999999</v>
      </c>
      <c r="F232" s="23">
        <v>59.02</v>
      </c>
      <c r="G232" s="23">
        <v>528</v>
      </c>
      <c r="H232" s="40">
        <v>2.7930000000000001</v>
      </c>
      <c r="I232" s="13">
        <f t="shared" si="3"/>
        <v>2.1806167400881056</v>
      </c>
      <c r="J232" s="48"/>
    </row>
    <row r="233" spans="3:10">
      <c r="C233" s="40">
        <v>2.899</v>
      </c>
      <c r="D233" s="34">
        <v>160.19999999999999</v>
      </c>
      <c r="E233" s="23">
        <v>126.8</v>
      </c>
      <c r="F233" s="23">
        <v>60.67</v>
      </c>
      <c r="G233" s="23">
        <v>526.20000000000005</v>
      </c>
      <c r="H233" s="40">
        <v>2.8069999999999999</v>
      </c>
      <c r="I233" s="13">
        <f t="shared" si="3"/>
        <v>2.0899950552167463</v>
      </c>
      <c r="J233" s="48"/>
    </row>
    <row r="234" spans="3:10">
      <c r="C234" s="40">
        <v>3.004</v>
      </c>
      <c r="D234" s="34">
        <v>149.9</v>
      </c>
      <c r="E234" s="23">
        <v>126.3</v>
      </c>
      <c r="F234" s="23">
        <v>59.61</v>
      </c>
      <c r="G234" s="23">
        <v>523.29999999999995</v>
      </c>
      <c r="H234" s="40">
        <v>2.843</v>
      </c>
      <c r="I234" s="13">
        <f t="shared" si="3"/>
        <v>2.1187720181177654</v>
      </c>
      <c r="J234" s="48"/>
    </row>
    <row r="235" spans="3:10">
      <c r="C235" s="40">
        <v>3.0710000000000002</v>
      </c>
      <c r="D235" s="34">
        <v>143.30000000000001</v>
      </c>
      <c r="E235" s="23">
        <v>127.5</v>
      </c>
      <c r="F235" s="23">
        <v>58</v>
      </c>
      <c r="G235" s="23">
        <v>527.29999999999995</v>
      </c>
      <c r="H235" s="40">
        <v>2.5129999999999999</v>
      </c>
      <c r="I235" s="13">
        <f t="shared" si="3"/>
        <v>2.1982758620689653</v>
      </c>
      <c r="J235" s="48"/>
    </row>
    <row r="236" spans="3:10">
      <c r="C236" s="40">
        <v>3.1320000000000001</v>
      </c>
      <c r="D236" s="34">
        <v>133.9</v>
      </c>
      <c r="E236" s="23">
        <v>126.7</v>
      </c>
      <c r="F236" s="23">
        <v>57.76</v>
      </c>
      <c r="G236" s="23">
        <v>526.6</v>
      </c>
      <c r="H236" s="40">
        <v>2.5670000000000002</v>
      </c>
      <c r="I236" s="13">
        <f t="shared" si="3"/>
        <v>2.1935595567867039</v>
      </c>
      <c r="J236" s="48"/>
    </row>
    <row r="237" spans="3:10">
      <c r="C237" s="40">
        <v>3.2120000000000002</v>
      </c>
      <c r="D237" s="34">
        <v>165.8</v>
      </c>
      <c r="E237" s="23">
        <v>126.6</v>
      </c>
      <c r="F237" s="23">
        <v>58.48</v>
      </c>
      <c r="G237" s="23">
        <v>524.9</v>
      </c>
      <c r="H237" s="40">
        <v>2.2719999999999998</v>
      </c>
      <c r="I237" s="13">
        <f t="shared" si="3"/>
        <v>2.1648426812585502</v>
      </c>
      <c r="J237" s="48"/>
    </row>
    <row r="238" spans="3:10">
      <c r="C238" s="40">
        <v>3.149</v>
      </c>
      <c r="D238" s="34">
        <v>157.80000000000001</v>
      </c>
      <c r="E238" s="23">
        <v>125.9</v>
      </c>
      <c r="F238" s="23">
        <v>59.84</v>
      </c>
      <c r="G238" s="23">
        <v>523.70000000000005</v>
      </c>
      <c r="H238" s="40">
        <v>2.927</v>
      </c>
      <c r="I238" s="13">
        <f t="shared" si="3"/>
        <v>2.1039438502673797</v>
      </c>
      <c r="J238" s="48"/>
    </row>
    <row r="239" spans="3:10">
      <c r="C239" s="40">
        <v>3.0539999999999998</v>
      </c>
      <c r="D239" s="34">
        <v>133.9</v>
      </c>
      <c r="E239" s="23">
        <v>126.1</v>
      </c>
      <c r="F239" s="23">
        <v>59.78</v>
      </c>
      <c r="G239" s="23">
        <v>526.29999999999995</v>
      </c>
      <c r="H239" s="40">
        <v>3.0339999999999998</v>
      </c>
      <c r="I239" s="13">
        <f t="shared" si="3"/>
        <v>2.1094011375041819</v>
      </c>
      <c r="J239" s="48"/>
    </row>
    <row r="240" spans="3:10">
      <c r="C240" s="40">
        <v>2.9020000000000001</v>
      </c>
      <c r="D240" s="34">
        <v>145.5</v>
      </c>
      <c r="E240" s="23">
        <v>126.8</v>
      </c>
      <c r="F240" s="23">
        <v>59.92</v>
      </c>
      <c r="G240" s="23">
        <v>531.20000000000005</v>
      </c>
      <c r="H240" s="40">
        <v>3.0030000000000001</v>
      </c>
      <c r="I240" s="13">
        <f t="shared" si="3"/>
        <v>2.116154873164219</v>
      </c>
      <c r="J240" s="48"/>
    </row>
    <row r="241" spans="2:10">
      <c r="C241" s="40">
        <v>3.0640000000000001</v>
      </c>
      <c r="D241" s="34">
        <v>149</v>
      </c>
      <c r="E241" s="23">
        <v>127.8</v>
      </c>
      <c r="F241" s="23">
        <v>57.3</v>
      </c>
      <c r="G241" s="23">
        <v>532</v>
      </c>
      <c r="H241" s="40">
        <v>2.968</v>
      </c>
      <c r="I241" s="13">
        <f t="shared" si="3"/>
        <v>2.2303664921465969</v>
      </c>
      <c r="J241" s="48"/>
    </row>
    <row r="242" spans="2:10">
      <c r="B242" s="47">
        <v>13</v>
      </c>
      <c r="C242" s="39">
        <v>2.8929999999999998</v>
      </c>
      <c r="D242" s="37">
        <v>197.2</v>
      </c>
      <c r="E242" s="38">
        <v>77.989999999999995</v>
      </c>
      <c r="F242" s="38">
        <v>28.64</v>
      </c>
      <c r="G242" s="38">
        <v>564.5</v>
      </c>
      <c r="H242" s="39">
        <v>3.8010000000000002</v>
      </c>
      <c r="I242" s="13">
        <f t="shared" si="3"/>
        <v>2.7231145251396645</v>
      </c>
      <c r="J242" s="48"/>
    </row>
    <row r="243" spans="2:10">
      <c r="C243" s="40">
        <v>3.0459999999999998</v>
      </c>
      <c r="D243" s="34">
        <v>170.7</v>
      </c>
      <c r="E243" s="23">
        <v>79.94</v>
      </c>
      <c r="F243" s="23">
        <v>28.32</v>
      </c>
      <c r="G243" s="23">
        <v>571.5</v>
      </c>
      <c r="H243" s="40">
        <v>3.8090000000000002</v>
      </c>
      <c r="I243" s="13">
        <f t="shared" si="3"/>
        <v>2.8227401129943503</v>
      </c>
      <c r="J243" s="48"/>
    </row>
    <row r="244" spans="2:10">
      <c r="C244" s="40">
        <v>3.0470000000000002</v>
      </c>
      <c r="D244" s="34">
        <v>135.80000000000001</v>
      </c>
      <c r="E244" s="23">
        <v>79.44</v>
      </c>
      <c r="F244" s="23">
        <v>29.11</v>
      </c>
      <c r="G244" s="23">
        <v>574.70000000000005</v>
      </c>
      <c r="H244" s="40">
        <v>3.8279999999999998</v>
      </c>
      <c r="I244" s="13">
        <f t="shared" si="3"/>
        <v>2.7289591205771213</v>
      </c>
      <c r="J244" s="48"/>
    </row>
    <row r="245" spans="2:10">
      <c r="C245" s="40">
        <v>3.1909999999999998</v>
      </c>
      <c r="D245" s="34">
        <v>170.7</v>
      </c>
      <c r="E245" s="23">
        <v>79.86</v>
      </c>
      <c r="F245" s="23">
        <v>27.59</v>
      </c>
      <c r="G245" s="23">
        <v>569.6</v>
      </c>
      <c r="H245" s="40">
        <v>3.7890000000000001</v>
      </c>
      <c r="I245" s="13">
        <f t="shared" si="3"/>
        <v>2.894527002537151</v>
      </c>
      <c r="J245" s="48"/>
    </row>
    <row r="246" spans="2:10">
      <c r="C246" s="40">
        <v>3.2360000000000002</v>
      </c>
      <c r="D246" s="34">
        <v>228.6</v>
      </c>
      <c r="E246" s="23">
        <v>80.02</v>
      </c>
      <c r="F246" s="23">
        <v>28.11</v>
      </c>
      <c r="G246" s="23">
        <v>575.70000000000005</v>
      </c>
      <c r="H246" s="40">
        <v>3.8090000000000002</v>
      </c>
      <c r="I246" s="13">
        <f t="shared" si="3"/>
        <v>2.8466737815723939</v>
      </c>
      <c r="J246" s="48"/>
    </row>
    <row r="247" spans="2:10">
      <c r="C247" s="40">
        <v>3.13</v>
      </c>
      <c r="D247" s="34">
        <v>197.7</v>
      </c>
      <c r="E247" s="23">
        <v>78.87</v>
      </c>
      <c r="F247" s="23">
        <v>28.77</v>
      </c>
      <c r="G247" s="23">
        <v>574.70000000000005</v>
      </c>
      <c r="H247" s="40">
        <v>3.7610000000000001</v>
      </c>
      <c r="I247" s="13">
        <f t="shared" si="3"/>
        <v>2.7413972888425446</v>
      </c>
      <c r="J247" s="48"/>
    </row>
    <row r="248" spans="2:10">
      <c r="C248" s="40">
        <v>3.194</v>
      </c>
      <c r="D248" s="34">
        <v>197.2</v>
      </c>
      <c r="E248" s="23">
        <v>78.81</v>
      </c>
      <c r="F248" s="23">
        <v>26.89</v>
      </c>
      <c r="G248" s="23">
        <v>579.79999999999995</v>
      </c>
      <c r="H248" s="40">
        <v>3.8290000000000002</v>
      </c>
      <c r="I248" s="13">
        <f t="shared" si="3"/>
        <v>2.9308293045741913</v>
      </c>
      <c r="J248" s="48"/>
    </row>
    <row r="249" spans="2:10">
      <c r="C249" s="40">
        <v>3.0990000000000002</v>
      </c>
      <c r="D249" s="34">
        <v>226.7</v>
      </c>
      <c r="E249" s="23">
        <v>79.760000000000005</v>
      </c>
      <c r="F249" s="23">
        <v>27.63</v>
      </c>
      <c r="G249" s="23">
        <v>591.29999999999995</v>
      </c>
      <c r="H249" s="40">
        <v>3.7349999999999999</v>
      </c>
      <c r="I249" s="13">
        <f t="shared" si="3"/>
        <v>2.8867173362287373</v>
      </c>
      <c r="J249" s="48"/>
    </row>
    <row r="250" spans="2:10">
      <c r="C250" s="40">
        <v>2.9620000000000002</v>
      </c>
      <c r="D250" s="34">
        <v>216.4</v>
      </c>
      <c r="E250" s="23">
        <v>78.64</v>
      </c>
      <c r="F250" s="23">
        <v>26</v>
      </c>
      <c r="G250" s="23">
        <v>581.79999999999995</v>
      </c>
      <c r="H250" s="40">
        <v>3.7040000000000002</v>
      </c>
      <c r="I250" s="13">
        <f t="shared" si="3"/>
        <v>3.0246153846153847</v>
      </c>
      <c r="J250" s="48"/>
    </row>
    <row r="251" spans="2:10">
      <c r="C251" s="40">
        <v>2.8170000000000002</v>
      </c>
      <c r="D251" s="34">
        <v>130.4</v>
      </c>
      <c r="E251" s="23">
        <v>78.78</v>
      </c>
      <c r="F251" s="23">
        <v>26.74</v>
      </c>
      <c r="G251" s="23">
        <v>572.20000000000005</v>
      </c>
      <c r="H251" s="40">
        <v>3.8650000000000002</v>
      </c>
      <c r="I251" s="13">
        <f t="shared" si="3"/>
        <v>2.9461480927449517</v>
      </c>
      <c r="J251" s="48"/>
    </row>
    <row r="252" spans="2:10">
      <c r="C252" s="40">
        <v>2.8220000000000001</v>
      </c>
      <c r="D252" s="34">
        <v>163.4</v>
      </c>
      <c r="E252" s="23">
        <v>78.83</v>
      </c>
      <c r="F252" s="23">
        <v>26.93</v>
      </c>
      <c r="G252" s="23">
        <v>563.5</v>
      </c>
      <c r="H252" s="40">
        <v>3.8639999999999999</v>
      </c>
      <c r="I252" s="13">
        <f t="shared" si="3"/>
        <v>2.9272187151875233</v>
      </c>
      <c r="J252" s="48"/>
    </row>
    <row r="253" spans="2:10">
      <c r="C253" s="40">
        <v>2.8109999999999999</v>
      </c>
      <c r="D253" s="34">
        <v>170.7</v>
      </c>
      <c r="E253" s="23">
        <v>79.430000000000007</v>
      </c>
      <c r="F253" s="23">
        <v>26.03</v>
      </c>
      <c r="G253" s="23">
        <v>571</v>
      </c>
      <c r="H253" s="40">
        <v>3.8050000000000002</v>
      </c>
      <c r="I253" s="13">
        <f t="shared" si="3"/>
        <v>3.0514790626200541</v>
      </c>
      <c r="J253" s="48"/>
    </row>
    <row r="254" spans="2:10">
      <c r="C254" s="40">
        <v>2.98</v>
      </c>
      <c r="D254" s="34">
        <v>216.4</v>
      </c>
      <c r="E254" s="23">
        <v>80.92</v>
      </c>
      <c r="F254" s="23">
        <v>26.72</v>
      </c>
      <c r="G254" s="23">
        <v>572.4</v>
      </c>
      <c r="H254" s="40">
        <v>3.8029999999999999</v>
      </c>
      <c r="I254" s="13">
        <f t="shared" si="3"/>
        <v>3.0284431137724552</v>
      </c>
      <c r="J254" s="48"/>
    </row>
    <row r="255" spans="2:10">
      <c r="C255" s="40">
        <v>3.0609999999999999</v>
      </c>
      <c r="D255" s="34">
        <v>247.7</v>
      </c>
      <c r="E255" s="23">
        <v>79.510000000000005</v>
      </c>
      <c r="F255" s="23">
        <v>26.47</v>
      </c>
      <c r="G255" s="23">
        <v>569.6</v>
      </c>
      <c r="H255" s="40">
        <v>3.71</v>
      </c>
      <c r="I255" s="13">
        <f t="shared" si="3"/>
        <v>3.0037778617302608</v>
      </c>
      <c r="J255" s="48"/>
    </row>
    <row r="256" spans="2:10">
      <c r="C256" s="40">
        <v>2.8929999999999998</v>
      </c>
      <c r="D256" s="34">
        <v>223.6</v>
      </c>
      <c r="E256" s="23">
        <v>80.59</v>
      </c>
      <c r="F256" s="23">
        <v>26.76</v>
      </c>
      <c r="G256" s="23">
        <v>579.79999999999995</v>
      </c>
      <c r="H256" s="40">
        <v>3.798</v>
      </c>
      <c r="I256" s="13">
        <f t="shared" si="3"/>
        <v>3.0115844544095665</v>
      </c>
      <c r="J256" s="48"/>
    </row>
    <row r="257" spans="2:10">
      <c r="C257" s="40">
        <v>2.9060000000000001</v>
      </c>
      <c r="D257" s="34">
        <v>202.1</v>
      </c>
      <c r="E257" s="23">
        <v>79.260000000000005</v>
      </c>
      <c r="F257" s="23">
        <v>27.04</v>
      </c>
      <c r="G257" s="23">
        <v>587.20000000000005</v>
      </c>
      <c r="H257" s="40">
        <v>3.7970000000000002</v>
      </c>
      <c r="I257" s="13">
        <f t="shared" si="3"/>
        <v>2.9312130177514795</v>
      </c>
      <c r="J257" s="48"/>
    </row>
    <row r="258" spans="2:10">
      <c r="C258" s="40">
        <v>2.98</v>
      </c>
      <c r="D258" s="34">
        <v>197.2</v>
      </c>
      <c r="E258" s="23">
        <v>79.180000000000007</v>
      </c>
      <c r="F258" s="23">
        <v>28.3</v>
      </c>
      <c r="G258" s="23">
        <v>580.79999999999995</v>
      </c>
      <c r="H258" s="40">
        <v>3.8260000000000001</v>
      </c>
      <c r="I258" s="13">
        <f t="shared" si="3"/>
        <v>2.797879858657244</v>
      </c>
      <c r="J258" s="48"/>
    </row>
    <row r="259" spans="2:10">
      <c r="C259" s="40">
        <v>2.93</v>
      </c>
      <c r="D259" s="34">
        <v>170.7</v>
      </c>
      <c r="E259" s="23">
        <v>78.819999999999993</v>
      </c>
      <c r="F259" s="23">
        <v>27.06</v>
      </c>
      <c r="G259" s="23">
        <v>577.70000000000005</v>
      </c>
      <c r="H259" s="40">
        <v>3.82</v>
      </c>
      <c r="I259" s="13">
        <f t="shared" ref="I259:I322" si="4">E259/F259</f>
        <v>2.9127864005912785</v>
      </c>
      <c r="J259" s="48"/>
    </row>
    <row r="260" spans="2:10">
      <c r="C260" s="40">
        <v>2.9540000000000002</v>
      </c>
      <c r="D260" s="34">
        <v>163.19999999999999</v>
      </c>
      <c r="E260" s="23">
        <v>79.03</v>
      </c>
      <c r="F260" s="23">
        <v>27.82</v>
      </c>
      <c r="G260" s="23">
        <v>573.9</v>
      </c>
      <c r="H260" s="40">
        <v>3.7559999999999998</v>
      </c>
      <c r="I260" s="13">
        <f t="shared" si="4"/>
        <v>2.8407620416966211</v>
      </c>
      <c r="J260" s="48"/>
    </row>
    <row r="261" spans="2:10">
      <c r="C261" s="40">
        <v>2.6749999999999998</v>
      </c>
      <c r="D261" s="34">
        <v>198.5</v>
      </c>
      <c r="E261" s="23">
        <v>79.09</v>
      </c>
      <c r="F261" s="23">
        <v>28.32</v>
      </c>
      <c r="G261" s="23">
        <v>575.70000000000005</v>
      </c>
      <c r="H261" s="40">
        <v>3.875</v>
      </c>
      <c r="I261" s="13">
        <f t="shared" si="4"/>
        <v>2.7927259887005649</v>
      </c>
      <c r="J261" s="48"/>
    </row>
    <row r="262" spans="2:10">
      <c r="B262" s="47">
        <v>14</v>
      </c>
      <c r="C262" s="39">
        <v>2.915</v>
      </c>
      <c r="D262" s="37">
        <v>99.1</v>
      </c>
      <c r="E262" s="38">
        <v>111.1</v>
      </c>
      <c r="F262" s="38">
        <v>58.31</v>
      </c>
      <c r="G262" s="38">
        <v>488.4</v>
      </c>
      <c r="H262" s="39">
        <v>4.0149999999999997</v>
      </c>
      <c r="I262" s="13">
        <f t="shared" si="4"/>
        <v>1.9053335619962268</v>
      </c>
      <c r="J262" s="48"/>
    </row>
    <row r="263" spans="2:10">
      <c r="C263" s="40">
        <v>2.9319999999999999</v>
      </c>
      <c r="D263" s="34">
        <v>109.3</v>
      </c>
      <c r="E263" s="23">
        <v>110.1</v>
      </c>
      <c r="F263" s="23">
        <v>59.1</v>
      </c>
      <c r="G263" s="23">
        <v>510</v>
      </c>
      <c r="H263" s="40">
        <v>3.7770000000000001</v>
      </c>
      <c r="I263" s="13">
        <f t="shared" si="4"/>
        <v>1.8629441624365481</v>
      </c>
      <c r="J263" s="48"/>
    </row>
    <row r="264" spans="2:10">
      <c r="C264" s="40">
        <v>2.806</v>
      </c>
      <c r="D264" s="34">
        <v>136.19999999999999</v>
      </c>
      <c r="E264" s="23">
        <v>108.8</v>
      </c>
      <c r="F264" s="23">
        <v>59.4</v>
      </c>
      <c r="G264" s="23">
        <v>509.6</v>
      </c>
      <c r="H264" s="40">
        <v>3.7280000000000002</v>
      </c>
      <c r="I264" s="13">
        <f t="shared" si="4"/>
        <v>1.8316498316498318</v>
      </c>
      <c r="J264" s="48"/>
    </row>
    <row r="265" spans="2:10">
      <c r="C265" s="40">
        <v>2.8119999999999998</v>
      </c>
      <c r="D265" s="34">
        <v>110.3</v>
      </c>
      <c r="E265" s="23">
        <v>108.6</v>
      </c>
      <c r="F265" s="23">
        <v>60.06</v>
      </c>
      <c r="G265" s="23">
        <v>507.6</v>
      </c>
      <c r="H265" s="40">
        <v>3.6970000000000001</v>
      </c>
      <c r="I265" s="13">
        <f t="shared" si="4"/>
        <v>1.808191808191808</v>
      </c>
      <c r="J265" s="48"/>
    </row>
    <row r="266" spans="2:10">
      <c r="C266" s="40">
        <v>2.9350000000000001</v>
      </c>
      <c r="D266" s="34">
        <v>98.9</v>
      </c>
      <c r="E266" s="23">
        <v>108.1</v>
      </c>
      <c r="F266" s="23">
        <v>60.03</v>
      </c>
      <c r="G266" s="23">
        <v>534.4</v>
      </c>
      <c r="H266" s="40">
        <v>3.6309999999999998</v>
      </c>
      <c r="I266" s="13">
        <f t="shared" si="4"/>
        <v>1.8007662835249041</v>
      </c>
      <c r="J266" s="48"/>
    </row>
    <row r="267" spans="2:10">
      <c r="C267" s="40">
        <v>3.0630000000000002</v>
      </c>
      <c r="D267" s="34">
        <v>97.6</v>
      </c>
      <c r="E267" s="23">
        <v>109.9</v>
      </c>
      <c r="F267" s="23">
        <v>60.88</v>
      </c>
      <c r="G267" s="23">
        <v>511.9</v>
      </c>
      <c r="H267" s="40">
        <v>3.5979999999999999</v>
      </c>
      <c r="I267" s="13">
        <f t="shared" si="4"/>
        <v>1.8051905387647833</v>
      </c>
      <c r="J267" s="48"/>
    </row>
    <row r="268" spans="2:10">
      <c r="C268" s="40">
        <v>2.9849999999999999</v>
      </c>
      <c r="D268" s="34">
        <v>122.7</v>
      </c>
      <c r="E268" s="23">
        <v>109.6</v>
      </c>
      <c r="F268" s="23">
        <v>60.7</v>
      </c>
      <c r="G268" s="23">
        <v>512.70000000000005</v>
      </c>
      <c r="H268" s="40">
        <v>3.738</v>
      </c>
      <c r="I268" s="13">
        <f t="shared" si="4"/>
        <v>1.8056013179571662</v>
      </c>
      <c r="J268" s="48"/>
    </row>
    <row r="269" spans="2:10">
      <c r="C269" s="40">
        <v>3.1840000000000002</v>
      </c>
      <c r="D269" s="34">
        <v>132.5</v>
      </c>
      <c r="E269" s="23">
        <v>109.2</v>
      </c>
      <c r="F269" s="23">
        <v>60.77</v>
      </c>
      <c r="G269" s="23">
        <v>508.6</v>
      </c>
      <c r="H269" s="40">
        <v>4.1589999999999998</v>
      </c>
      <c r="I269" s="13">
        <f t="shared" si="4"/>
        <v>1.7969392792496297</v>
      </c>
      <c r="J269" s="48"/>
    </row>
    <row r="270" spans="2:10">
      <c r="C270" s="40">
        <v>3.0350000000000001</v>
      </c>
      <c r="D270" s="34">
        <v>107.1</v>
      </c>
      <c r="E270" s="23">
        <v>109.7</v>
      </c>
      <c r="F270" s="23">
        <v>60.39</v>
      </c>
      <c r="G270" s="23">
        <v>519.29999999999995</v>
      </c>
      <c r="H270" s="40">
        <v>4.2370000000000001</v>
      </c>
      <c r="I270" s="13">
        <f t="shared" si="4"/>
        <v>1.8165259148865707</v>
      </c>
      <c r="J270" s="48"/>
    </row>
    <row r="271" spans="2:10">
      <c r="C271" s="40">
        <v>2.7440000000000002</v>
      </c>
      <c r="D271" s="34">
        <v>90</v>
      </c>
      <c r="E271" s="23">
        <v>109.2</v>
      </c>
      <c r="F271" s="23">
        <v>59.47</v>
      </c>
      <c r="G271" s="23">
        <v>520.79999999999995</v>
      </c>
      <c r="H271" s="40">
        <v>4.2679999999999998</v>
      </c>
      <c r="I271" s="13">
        <f t="shared" si="4"/>
        <v>1.8362199428283168</v>
      </c>
      <c r="J271" s="48"/>
    </row>
    <row r="272" spans="2:10">
      <c r="C272" s="40">
        <v>2.9510000000000001</v>
      </c>
      <c r="D272" s="34">
        <v>99.8</v>
      </c>
      <c r="E272" s="23">
        <v>110.2</v>
      </c>
      <c r="F272" s="23">
        <v>59.08</v>
      </c>
      <c r="G272" s="23">
        <v>490.4</v>
      </c>
      <c r="H272" s="40">
        <v>4.2519999999999998</v>
      </c>
      <c r="I272" s="13">
        <f t="shared" si="4"/>
        <v>1.8652674339878133</v>
      </c>
      <c r="J272" s="48"/>
    </row>
    <row r="273" spans="2:10">
      <c r="C273" s="40">
        <v>2.6280000000000001</v>
      </c>
      <c r="D273" s="34">
        <v>106.5</v>
      </c>
      <c r="E273" s="23">
        <v>110.7</v>
      </c>
      <c r="F273" s="23">
        <v>58.43</v>
      </c>
      <c r="G273" s="23">
        <v>490.3</v>
      </c>
      <c r="H273" s="40">
        <v>4.4290000000000003</v>
      </c>
      <c r="I273" s="13">
        <f t="shared" si="4"/>
        <v>1.8945747047749444</v>
      </c>
      <c r="J273" s="48"/>
    </row>
    <row r="274" spans="2:10">
      <c r="C274" s="40">
        <v>2.5099999999999998</v>
      </c>
      <c r="D274" s="34">
        <v>136</v>
      </c>
      <c r="E274" s="23">
        <v>111.1</v>
      </c>
      <c r="F274" s="23">
        <v>59.18</v>
      </c>
      <c r="G274" s="23">
        <v>490.8</v>
      </c>
      <c r="H274" s="40">
        <v>4.1379999999999999</v>
      </c>
      <c r="I274" s="13">
        <f t="shared" si="4"/>
        <v>1.8773234200743494</v>
      </c>
      <c r="J274" s="48"/>
    </row>
    <row r="275" spans="2:10">
      <c r="C275" s="40">
        <v>2.7919999999999998</v>
      </c>
      <c r="D275" s="34">
        <v>117.3</v>
      </c>
      <c r="E275" s="23">
        <v>110.9</v>
      </c>
      <c r="F275" s="23">
        <v>59.93</v>
      </c>
      <c r="G275" s="23">
        <v>489.6</v>
      </c>
      <c r="H275" s="40">
        <v>3.8170000000000002</v>
      </c>
      <c r="I275" s="13">
        <f t="shared" si="4"/>
        <v>1.8504922409477724</v>
      </c>
      <c r="J275" s="48"/>
    </row>
    <row r="276" spans="2:10">
      <c r="C276" s="40">
        <v>2.9319999999999999</v>
      </c>
      <c r="D276" s="34">
        <v>104.9</v>
      </c>
      <c r="E276" s="23">
        <v>110.2</v>
      </c>
      <c r="F276" s="23">
        <v>57.97</v>
      </c>
      <c r="G276" s="23">
        <v>487.8</v>
      </c>
      <c r="H276" s="40">
        <v>3.7240000000000002</v>
      </c>
      <c r="I276" s="13">
        <f t="shared" si="4"/>
        <v>1.9009832672071763</v>
      </c>
      <c r="J276" s="48"/>
    </row>
    <row r="277" spans="2:10">
      <c r="C277" s="40">
        <v>3.0659999999999998</v>
      </c>
      <c r="D277" s="34">
        <v>130.6</v>
      </c>
      <c r="E277" s="23">
        <v>109.7</v>
      </c>
      <c r="F277" s="23">
        <v>58.43</v>
      </c>
      <c r="G277" s="23">
        <v>486</v>
      </c>
      <c r="H277" s="40">
        <v>3.4929999999999999</v>
      </c>
      <c r="I277" s="13">
        <f t="shared" si="4"/>
        <v>1.877460208796851</v>
      </c>
      <c r="J277" s="48"/>
    </row>
    <row r="278" spans="2:10">
      <c r="C278" s="40">
        <v>2.8119999999999998</v>
      </c>
      <c r="D278" s="34">
        <v>167.6</v>
      </c>
      <c r="E278" s="23">
        <v>109.5</v>
      </c>
      <c r="F278" s="23">
        <v>59.47</v>
      </c>
      <c r="G278" s="23">
        <v>515.79999999999995</v>
      </c>
      <c r="H278" s="40">
        <v>2.7919999999999998</v>
      </c>
      <c r="I278" s="13">
        <f t="shared" si="4"/>
        <v>1.8412645031108121</v>
      </c>
      <c r="J278" s="48"/>
    </row>
    <row r="279" spans="2:10">
      <c r="C279" s="40">
        <v>2.677</v>
      </c>
      <c r="D279" s="34">
        <v>173.4</v>
      </c>
      <c r="E279" s="23">
        <v>109.9</v>
      </c>
      <c r="F279" s="23">
        <v>59.63</v>
      </c>
      <c r="G279" s="23">
        <v>490.8</v>
      </c>
      <c r="H279" s="40">
        <v>3.9470000000000001</v>
      </c>
      <c r="I279" s="13">
        <f t="shared" si="4"/>
        <v>1.8430320308569512</v>
      </c>
      <c r="J279" s="48"/>
    </row>
    <row r="280" spans="2:10">
      <c r="C280" s="40">
        <v>2.91</v>
      </c>
      <c r="D280" s="34">
        <v>156.4</v>
      </c>
      <c r="E280" s="23">
        <v>110.2</v>
      </c>
      <c r="F280" s="23">
        <v>59.97</v>
      </c>
      <c r="G280" s="23">
        <v>520.70000000000005</v>
      </c>
      <c r="H280" s="40">
        <v>4.1589999999999998</v>
      </c>
      <c r="I280" s="13">
        <f t="shared" si="4"/>
        <v>1.837585459396365</v>
      </c>
      <c r="J280" s="48"/>
    </row>
    <row r="281" spans="2:10">
      <c r="C281" s="40">
        <v>2.7770000000000001</v>
      </c>
      <c r="D281" s="34">
        <v>121.3</v>
      </c>
      <c r="E281" s="23">
        <v>109.6</v>
      </c>
      <c r="F281" s="23">
        <v>58.3</v>
      </c>
      <c r="G281" s="23">
        <v>543.1</v>
      </c>
      <c r="H281" s="40">
        <v>4.226</v>
      </c>
      <c r="I281" s="13">
        <f t="shared" si="4"/>
        <v>1.8799313893653515</v>
      </c>
      <c r="J281" s="48"/>
    </row>
    <row r="282" spans="2:10">
      <c r="B282" s="47">
        <v>15</v>
      </c>
      <c r="C282" s="39">
        <v>2.7</v>
      </c>
      <c r="D282" s="37">
        <v>174.7</v>
      </c>
      <c r="E282" s="38">
        <v>99.69</v>
      </c>
      <c r="F282" s="38">
        <v>33.75</v>
      </c>
      <c r="G282" s="38">
        <v>498.7</v>
      </c>
      <c r="H282" s="39">
        <v>4.1230000000000002</v>
      </c>
      <c r="I282" s="13">
        <f t="shared" si="4"/>
        <v>2.9537777777777778</v>
      </c>
      <c r="J282" s="48"/>
    </row>
    <row r="283" spans="2:10">
      <c r="C283" s="40">
        <v>2.6629999999999998</v>
      </c>
      <c r="D283" s="34">
        <v>154</v>
      </c>
      <c r="E283" s="23">
        <v>99.24</v>
      </c>
      <c r="F283" s="23">
        <v>35.270000000000003</v>
      </c>
      <c r="G283" s="23">
        <v>491.7</v>
      </c>
      <c r="H283" s="40">
        <v>4.1779999999999999</v>
      </c>
      <c r="I283" s="13">
        <f t="shared" si="4"/>
        <v>2.8137227105188543</v>
      </c>
      <c r="J283" s="48"/>
    </row>
    <row r="284" spans="2:10">
      <c r="C284" s="40">
        <v>2.6360000000000001</v>
      </c>
      <c r="D284" s="34">
        <v>158.1</v>
      </c>
      <c r="E284" s="23">
        <v>99.12</v>
      </c>
      <c r="F284" s="23">
        <v>35.229999999999997</v>
      </c>
      <c r="G284" s="23">
        <v>496.9</v>
      </c>
      <c r="H284" s="40">
        <v>4.1959999999999997</v>
      </c>
      <c r="I284" s="13">
        <f t="shared" si="4"/>
        <v>2.8135112120351975</v>
      </c>
      <c r="J284" s="48"/>
    </row>
    <row r="285" spans="2:10">
      <c r="C285" s="40">
        <v>2.617</v>
      </c>
      <c r="D285" s="34">
        <v>166.4</v>
      </c>
      <c r="E285" s="23">
        <v>100.1</v>
      </c>
      <c r="F285" s="23">
        <v>35.630000000000003</v>
      </c>
      <c r="G285" s="23">
        <v>498.4</v>
      </c>
      <c r="H285" s="40">
        <v>4.2</v>
      </c>
      <c r="I285" s="13">
        <f t="shared" si="4"/>
        <v>2.8094302554027499</v>
      </c>
      <c r="J285" s="48"/>
    </row>
    <row r="286" spans="2:10">
      <c r="C286" s="40">
        <v>2.6139999999999999</v>
      </c>
      <c r="D286" s="34">
        <v>166</v>
      </c>
      <c r="E286" s="23">
        <v>99.68</v>
      </c>
      <c r="F286" s="23">
        <v>35.96</v>
      </c>
      <c r="G286" s="23">
        <v>495.3</v>
      </c>
      <c r="H286" s="40">
        <v>4.24</v>
      </c>
      <c r="I286" s="13">
        <f t="shared" si="4"/>
        <v>2.7719688542825365</v>
      </c>
      <c r="J286" s="48"/>
    </row>
    <row r="287" spans="2:10">
      <c r="C287" s="40">
        <v>2.843</v>
      </c>
      <c r="D287" s="34">
        <v>136.80000000000001</v>
      </c>
      <c r="E287" s="23">
        <v>100</v>
      </c>
      <c r="F287" s="23">
        <v>35</v>
      </c>
      <c r="G287" s="23">
        <v>491.8</v>
      </c>
      <c r="H287" s="40">
        <v>4.1900000000000004</v>
      </c>
      <c r="I287" s="13">
        <f t="shared" si="4"/>
        <v>2.8571428571428572</v>
      </c>
      <c r="J287" s="48"/>
    </row>
    <row r="288" spans="2:10">
      <c r="C288" s="40">
        <v>2.6030000000000002</v>
      </c>
      <c r="D288" s="34">
        <v>119.6</v>
      </c>
      <c r="E288" s="23">
        <v>101.1</v>
      </c>
      <c r="F288" s="23">
        <v>35.51</v>
      </c>
      <c r="G288" s="23">
        <v>493.3</v>
      </c>
      <c r="H288" s="40">
        <v>4.1689999999999996</v>
      </c>
      <c r="I288" s="13">
        <f t="shared" si="4"/>
        <v>2.8470853280765982</v>
      </c>
      <c r="J288" s="48"/>
    </row>
    <row r="289" spans="2:10">
      <c r="C289" s="40">
        <v>2.5289999999999999</v>
      </c>
      <c r="D289" s="34">
        <v>136.80000000000001</v>
      </c>
      <c r="E289" s="23">
        <v>101.9</v>
      </c>
      <c r="F289" s="23">
        <v>34.799999999999997</v>
      </c>
      <c r="G289" s="23">
        <v>497</v>
      </c>
      <c r="H289" s="40">
        <v>4.2750000000000004</v>
      </c>
      <c r="I289" s="13">
        <f t="shared" si="4"/>
        <v>2.9281609195402303</v>
      </c>
      <c r="J289" s="48"/>
    </row>
    <row r="290" spans="2:10">
      <c r="C290" s="40">
        <v>2.488</v>
      </c>
      <c r="D290" s="34">
        <v>147.4</v>
      </c>
      <c r="E290" s="23">
        <v>102</v>
      </c>
      <c r="F290" s="23">
        <v>35.76</v>
      </c>
      <c r="G290" s="23">
        <v>496.3</v>
      </c>
      <c r="H290" s="40">
        <v>4.3360000000000003</v>
      </c>
      <c r="I290" s="13">
        <f t="shared" si="4"/>
        <v>2.8523489932885906</v>
      </c>
      <c r="J290" s="48"/>
    </row>
    <row r="291" spans="2:10">
      <c r="C291" s="40">
        <v>2.5289999999999999</v>
      </c>
      <c r="D291" s="34">
        <v>151.9</v>
      </c>
      <c r="E291" s="23">
        <v>100.2</v>
      </c>
      <c r="F291" s="23">
        <v>35.630000000000003</v>
      </c>
      <c r="G291" s="23">
        <v>501.4</v>
      </c>
      <c r="H291" s="40">
        <v>4.4340000000000002</v>
      </c>
      <c r="I291" s="13">
        <f t="shared" si="4"/>
        <v>2.8122368790345211</v>
      </c>
      <c r="J291" s="48"/>
    </row>
    <row r="292" spans="2:10">
      <c r="C292" s="40">
        <v>2.3940000000000001</v>
      </c>
      <c r="D292" s="34">
        <v>149.1</v>
      </c>
      <c r="E292" s="23">
        <v>100.8</v>
      </c>
      <c r="F292" s="23">
        <v>35.71</v>
      </c>
      <c r="G292" s="23">
        <v>497.7</v>
      </c>
      <c r="H292" s="40">
        <v>4.4779999999999998</v>
      </c>
      <c r="I292" s="13">
        <f t="shared" si="4"/>
        <v>2.8227387286474377</v>
      </c>
      <c r="J292" s="48"/>
    </row>
    <row r="293" spans="2:10">
      <c r="C293" s="40">
        <v>2.1949999999999998</v>
      </c>
      <c r="D293" s="34">
        <v>158.69999999999999</v>
      </c>
      <c r="E293" s="23">
        <v>101.7</v>
      </c>
      <c r="F293" s="23">
        <v>35.18</v>
      </c>
      <c r="G293" s="23">
        <v>500.6</v>
      </c>
      <c r="H293" s="40">
        <v>4.4509999999999996</v>
      </c>
      <c r="I293" s="13">
        <f t="shared" si="4"/>
        <v>2.8908470722001138</v>
      </c>
      <c r="J293" s="48"/>
    </row>
    <row r="294" spans="2:10">
      <c r="C294" s="40">
        <v>2.0049999999999999</v>
      </c>
      <c r="D294" s="34">
        <v>183.7</v>
      </c>
      <c r="E294" s="23">
        <v>101.8</v>
      </c>
      <c r="F294" s="23">
        <v>35.24</v>
      </c>
      <c r="G294" s="23">
        <v>503.2</v>
      </c>
      <c r="H294" s="40">
        <v>4.5019999999999998</v>
      </c>
      <c r="I294" s="13">
        <f t="shared" si="4"/>
        <v>2.8887627695800226</v>
      </c>
      <c r="J294" s="48"/>
    </row>
    <row r="295" spans="2:10">
      <c r="C295" s="40">
        <v>2.23</v>
      </c>
      <c r="D295" s="34">
        <v>159.69999999999999</v>
      </c>
      <c r="E295" s="23">
        <v>101.7</v>
      </c>
      <c r="F295" s="23">
        <v>35.630000000000003</v>
      </c>
      <c r="G295" s="23">
        <v>503</v>
      </c>
      <c r="H295" s="40">
        <v>4.524</v>
      </c>
      <c r="I295" s="13">
        <f t="shared" si="4"/>
        <v>2.854336233511086</v>
      </c>
      <c r="J295" s="48"/>
    </row>
    <row r="296" spans="2:10">
      <c r="C296" s="40">
        <v>2.0569999999999999</v>
      </c>
      <c r="D296" s="34">
        <v>140.19999999999999</v>
      </c>
      <c r="E296" s="23">
        <v>101.5</v>
      </c>
      <c r="F296" s="23">
        <v>35.96</v>
      </c>
      <c r="G296" s="23">
        <v>492.2</v>
      </c>
      <c r="H296" s="40">
        <v>4.3780000000000001</v>
      </c>
      <c r="I296" s="13">
        <f t="shared" si="4"/>
        <v>2.82258064516129</v>
      </c>
      <c r="J296" s="48"/>
    </row>
    <row r="297" spans="2:10">
      <c r="C297" s="40">
        <v>2.484</v>
      </c>
      <c r="D297" s="34">
        <v>128.19999999999999</v>
      </c>
      <c r="E297" s="23">
        <v>99.29</v>
      </c>
      <c r="F297" s="23">
        <v>37.479999999999997</v>
      </c>
      <c r="G297" s="23">
        <v>490.7</v>
      </c>
      <c r="H297" s="40">
        <v>4.2750000000000004</v>
      </c>
      <c r="I297" s="13">
        <f t="shared" si="4"/>
        <v>2.6491462113127007</v>
      </c>
      <c r="J297" s="48"/>
    </row>
    <row r="298" spans="2:10">
      <c r="C298" s="40">
        <v>2.4449999999999998</v>
      </c>
      <c r="D298" s="34">
        <v>145.30000000000001</v>
      </c>
      <c r="E298" s="23">
        <v>99.6</v>
      </c>
      <c r="F298" s="23">
        <v>38.04</v>
      </c>
      <c r="G298" s="23">
        <v>491.8</v>
      </c>
      <c r="H298" s="40">
        <v>4.1829999999999998</v>
      </c>
      <c r="I298" s="13">
        <f t="shared" si="4"/>
        <v>2.618296529968454</v>
      </c>
      <c r="J298" s="48"/>
    </row>
    <row r="299" spans="2:10">
      <c r="C299" s="40">
        <v>2.6360000000000001</v>
      </c>
      <c r="D299" s="34">
        <v>144.80000000000001</v>
      </c>
      <c r="E299" s="23">
        <v>99.29</v>
      </c>
      <c r="F299" s="23">
        <v>37.21</v>
      </c>
      <c r="G299" s="23">
        <v>497</v>
      </c>
      <c r="H299" s="40">
        <v>4.1289999999999996</v>
      </c>
      <c r="I299" s="13">
        <f t="shared" si="4"/>
        <v>2.6683687180865361</v>
      </c>
      <c r="J299" s="48"/>
    </row>
    <row r="300" spans="2:10">
      <c r="C300" s="40">
        <v>2.617</v>
      </c>
      <c r="D300" s="34">
        <v>156.80000000000001</v>
      </c>
      <c r="E300" s="23">
        <v>101.5</v>
      </c>
      <c r="F300" s="23">
        <v>37.869999999999997</v>
      </c>
      <c r="G300" s="23">
        <v>496.3</v>
      </c>
      <c r="H300" s="40">
        <v>4.18</v>
      </c>
      <c r="I300" s="13">
        <f t="shared" si="4"/>
        <v>2.680221811460259</v>
      </c>
      <c r="J300" s="48"/>
    </row>
    <row r="301" spans="2:10">
      <c r="C301" s="40">
        <v>2.6030000000000002</v>
      </c>
      <c r="D301" s="34">
        <v>170.5</v>
      </c>
      <c r="E301" s="23">
        <v>101.4</v>
      </c>
      <c r="F301" s="23">
        <v>37.92</v>
      </c>
      <c r="G301" s="23">
        <v>496.9</v>
      </c>
      <c r="H301" s="40">
        <v>4.2</v>
      </c>
      <c r="I301" s="13">
        <f t="shared" si="4"/>
        <v>2.6740506329113924</v>
      </c>
      <c r="J301" s="48"/>
    </row>
    <row r="302" spans="2:10">
      <c r="B302" s="47">
        <v>16</v>
      </c>
      <c r="C302" s="39">
        <v>2.8519999999999999</v>
      </c>
      <c r="D302" s="37">
        <v>156.9</v>
      </c>
      <c r="E302" s="38">
        <v>106.8</v>
      </c>
      <c r="F302" s="38">
        <v>40.83</v>
      </c>
      <c r="G302" s="38">
        <v>507.9</v>
      </c>
      <c r="H302" s="39">
        <v>3.13</v>
      </c>
      <c r="I302" s="13">
        <f t="shared" si="4"/>
        <v>2.6157237325495961</v>
      </c>
      <c r="J302" s="48"/>
    </row>
    <row r="303" spans="2:10">
      <c r="C303" s="40">
        <v>2.875</v>
      </c>
      <c r="D303" s="34">
        <v>136.80000000000001</v>
      </c>
      <c r="E303" s="23">
        <v>106.7</v>
      </c>
      <c r="F303" s="23">
        <v>41.42</v>
      </c>
      <c r="G303" s="23">
        <v>510.6</v>
      </c>
      <c r="H303" s="40">
        <v>3.36</v>
      </c>
      <c r="I303" s="13">
        <f t="shared" si="4"/>
        <v>2.5760502172863351</v>
      </c>
      <c r="J303" s="48"/>
    </row>
    <row r="304" spans="2:10">
      <c r="C304" s="40">
        <v>2.8519999999999999</v>
      </c>
      <c r="D304" s="34">
        <v>137.5</v>
      </c>
      <c r="E304" s="23">
        <v>107.6</v>
      </c>
      <c r="F304" s="23">
        <v>41.52</v>
      </c>
      <c r="G304" s="23">
        <v>506.1</v>
      </c>
      <c r="H304" s="40">
        <v>4.05</v>
      </c>
      <c r="I304" s="13">
        <f t="shared" si="4"/>
        <v>2.5915221579961463</v>
      </c>
      <c r="J304" s="48"/>
    </row>
    <row r="305" spans="3:10">
      <c r="C305" s="40">
        <v>2.8639999999999999</v>
      </c>
      <c r="D305" s="34">
        <v>142.5</v>
      </c>
      <c r="E305" s="23">
        <v>106.8</v>
      </c>
      <c r="F305" s="23">
        <v>42.08</v>
      </c>
      <c r="G305" s="23">
        <v>504.5</v>
      </c>
      <c r="H305" s="40">
        <v>5.34</v>
      </c>
      <c r="I305" s="13">
        <f t="shared" si="4"/>
        <v>2.538022813688213</v>
      </c>
      <c r="J305" s="48"/>
    </row>
    <row r="306" spans="3:10">
      <c r="C306" s="40">
        <v>2.831</v>
      </c>
      <c r="D306" s="34">
        <v>150</v>
      </c>
      <c r="E306" s="23">
        <v>106.7</v>
      </c>
      <c r="F306" s="23">
        <v>39.94</v>
      </c>
      <c r="G306" s="23">
        <v>503.6</v>
      </c>
      <c r="H306" s="40">
        <v>4.82</v>
      </c>
      <c r="I306" s="13">
        <f t="shared" si="4"/>
        <v>2.6715072608913371</v>
      </c>
      <c r="J306" s="48"/>
    </row>
    <row r="307" spans="3:10">
      <c r="C307" s="40">
        <v>2.8220000000000001</v>
      </c>
      <c r="D307" s="34">
        <v>156.1</v>
      </c>
      <c r="E307" s="23">
        <v>108</v>
      </c>
      <c r="F307" s="23">
        <v>41.08</v>
      </c>
      <c r="G307" s="23">
        <v>505.8</v>
      </c>
      <c r="H307" s="40">
        <v>5.34</v>
      </c>
      <c r="I307" s="13">
        <f t="shared" si="4"/>
        <v>2.6290165530671863</v>
      </c>
      <c r="J307" s="48"/>
    </row>
    <row r="308" spans="3:10">
      <c r="C308" s="40">
        <v>2.82</v>
      </c>
      <c r="D308" s="34">
        <v>152.30000000000001</v>
      </c>
      <c r="E308" s="23">
        <v>105.5</v>
      </c>
      <c r="F308" s="23">
        <v>40.93</v>
      </c>
      <c r="G308" s="23">
        <v>505.1</v>
      </c>
      <c r="H308" s="40">
        <v>4.16</v>
      </c>
      <c r="I308" s="13">
        <f t="shared" si="4"/>
        <v>2.5775714634742242</v>
      </c>
      <c r="J308" s="48"/>
    </row>
    <row r="309" spans="3:10">
      <c r="C309" s="40">
        <v>2.7639999999999998</v>
      </c>
      <c r="D309" s="34">
        <v>178</v>
      </c>
      <c r="E309" s="23">
        <v>107.3</v>
      </c>
      <c r="F309" s="23">
        <v>39.74</v>
      </c>
      <c r="G309" s="23">
        <v>507.2</v>
      </c>
      <c r="H309" s="40">
        <v>4.41</v>
      </c>
      <c r="I309" s="13">
        <f t="shared" si="4"/>
        <v>2.7000503271263208</v>
      </c>
      <c r="J309" s="48"/>
    </row>
    <row r="310" spans="3:10">
      <c r="C310" s="40">
        <v>2.7789999999999999</v>
      </c>
      <c r="D310" s="34">
        <v>175.5</v>
      </c>
      <c r="E310" s="23">
        <v>107.8</v>
      </c>
      <c r="F310" s="23">
        <v>39.950000000000003</v>
      </c>
      <c r="G310" s="23">
        <v>504.7</v>
      </c>
      <c r="H310" s="40">
        <v>3.94</v>
      </c>
      <c r="I310" s="13">
        <f t="shared" si="4"/>
        <v>2.6983729662077596</v>
      </c>
      <c r="J310" s="48"/>
    </row>
    <row r="311" spans="3:10">
      <c r="C311" s="40">
        <v>2.782</v>
      </c>
      <c r="D311" s="34">
        <v>163.9</v>
      </c>
      <c r="E311" s="23">
        <v>106.1</v>
      </c>
      <c r="F311" s="23">
        <v>39.270000000000003</v>
      </c>
      <c r="G311" s="23">
        <v>507.1</v>
      </c>
      <c r="H311" s="40">
        <v>3.33</v>
      </c>
      <c r="I311" s="13">
        <f t="shared" si="4"/>
        <v>2.7018079959256425</v>
      </c>
      <c r="J311" s="48"/>
    </row>
    <row r="312" spans="3:10">
      <c r="C312" s="40">
        <v>2.75</v>
      </c>
      <c r="D312" s="34">
        <v>156.9</v>
      </c>
      <c r="E312" s="23">
        <v>107.1</v>
      </c>
      <c r="F312" s="23">
        <v>40.020000000000003</v>
      </c>
      <c r="G312" s="23">
        <v>507.9</v>
      </c>
      <c r="H312" s="40">
        <v>2.91</v>
      </c>
      <c r="I312" s="13">
        <f t="shared" si="4"/>
        <v>2.6761619190404793</v>
      </c>
      <c r="J312" s="48"/>
    </row>
    <row r="313" spans="3:10">
      <c r="C313" s="40">
        <v>2.718</v>
      </c>
      <c r="D313" s="34">
        <v>160.4</v>
      </c>
      <c r="E313" s="23">
        <v>107.6</v>
      </c>
      <c r="F313" s="23">
        <v>41.07</v>
      </c>
      <c r="G313" s="23">
        <v>508.1</v>
      </c>
      <c r="H313" s="40">
        <v>2.4700000000000002</v>
      </c>
      <c r="I313" s="13">
        <f t="shared" si="4"/>
        <v>2.6199172145118088</v>
      </c>
      <c r="J313" s="48"/>
    </row>
    <row r="314" spans="3:10">
      <c r="C314" s="40">
        <v>2.8519999999999999</v>
      </c>
      <c r="D314" s="34">
        <v>166.2</v>
      </c>
      <c r="E314" s="23">
        <v>107.1</v>
      </c>
      <c r="F314" s="23">
        <v>40.89</v>
      </c>
      <c r="G314" s="23">
        <v>508.5</v>
      </c>
      <c r="H314" s="40">
        <v>3.49</v>
      </c>
      <c r="I314" s="13">
        <f t="shared" si="4"/>
        <v>2.6192223037417461</v>
      </c>
      <c r="J314" s="48"/>
    </row>
    <row r="315" spans="3:10">
      <c r="C315" s="40">
        <v>2.831</v>
      </c>
      <c r="D315" s="34">
        <v>151.80000000000001</v>
      </c>
      <c r="E315" s="23">
        <v>108.1</v>
      </c>
      <c r="F315" s="23">
        <v>40.200000000000003</v>
      </c>
      <c r="G315" s="23">
        <v>513.4</v>
      </c>
      <c r="H315" s="40">
        <v>2.73</v>
      </c>
      <c r="I315" s="13">
        <f t="shared" si="4"/>
        <v>2.689054726368159</v>
      </c>
      <c r="J315" s="48"/>
    </row>
    <row r="316" spans="3:10">
      <c r="C316" s="40">
        <v>2.84</v>
      </c>
      <c r="D316" s="34">
        <v>137.5</v>
      </c>
      <c r="E316" s="23">
        <v>108.4</v>
      </c>
      <c r="F316" s="23">
        <v>40</v>
      </c>
      <c r="G316" s="23">
        <v>511.4</v>
      </c>
      <c r="H316" s="40">
        <v>1.98</v>
      </c>
      <c r="I316" s="13">
        <f t="shared" si="4"/>
        <v>2.71</v>
      </c>
      <c r="J316" s="48"/>
    </row>
    <row r="317" spans="3:10">
      <c r="C317" s="40">
        <v>2.835</v>
      </c>
      <c r="D317" s="34">
        <v>151.1</v>
      </c>
      <c r="E317" s="23">
        <v>107.9</v>
      </c>
      <c r="F317" s="23">
        <v>39.14</v>
      </c>
      <c r="G317" s="23">
        <v>512.6</v>
      </c>
      <c r="H317" s="40">
        <v>2.58</v>
      </c>
      <c r="I317" s="13">
        <f t="shared" si="4"/>
        <v>2.7567705671946858</v>
      </c>
      <c r="J317" s="48"/>
    </row>
    <row r="318" spans="3:10">
      <c r="C318" s="40">
        <v>2.8660000000000001</v>
      </c>
      <c r="D318" s="34">
        <v>136.80000000000001</v>
      </c>
      <c r="E318" s="23">
        <v>106.7</v>
      </c>
      <c r="F318" s="23">
        <v>39.74</v>
      </c>
      <c r="G318" s="23">
        <v>511</v>
      </c>
      <c r="H318" s="40">
        <v>2.9</v>
      </c>
      <c r="I318" s="13">
        <f t="shared" si="4"/>
        <v>2.6849521892299948</v>
      </c>
      <c r="J318" s="48"/>
    </row>
    <row r="319" spans="3:10">
      <c r="C319" s="40">
        <v>2.8860000000000001</v>
      </c>
      <c r="D319" s="34">
        <v>160</v>
      </c>
      <c r="E319" s="23">
        <v>106.9</v>
      </c>
      <c r="F319" s="23">
        <v>39.549999999999997</v>
      </c>
      <c r="G319" s="23">
        <v>510.5</v>
      </c>
      <c r="H319" s="40">
        <v>2.69</v>
      </c>
      <c r="I319" s="13">
        <f t="shared" si="4"/>
        <v>2.7029077117572697</v>
      </c>
      <c r="J319" s="48"/>
    </row>
    <row r="320" spans="3:10">
      <c r="C320" s="40">
        <v>2.8660000000000001</v>
      </c>
      <c r="D320" s="34">
        <v>145.6</v>
      </c>
      <c r="E320" s="23">
        <v>107.4</v>
      </c>
      <c r="F320" s="23">
        <v>40.21</v>
      </c>
      <c r="G320" s="23">
        <v>503.1</v>
      </c>
      <c r="H320" s="40">
        <v>1.96</v>
      </c>
      <c r="I320" s="13">
        <f t="shared" si="4"/>
        <v>2.6709773688137282</v>
      </c>
      <c r="J320" s="48"/>
    </row>
    <row r="321" spans="2:10">
      <c r="C321" s="40">
        <v>2.8370000000000002</v>
      </c>
      <c r="D321" s="34">
        <v>156.80000000000001</v>
      </c>
      <c r="E321" s="23">
        <v>106.1</v>
      </c>
      <c r="F321" s="23">
        <v>41.91</v>
      </c>
      <c r="G321" s="23">
        <v>503.6</v>
      </c>
      <c r="H321" s="40">
        <v>2.0299999999999998</v>
      </c>
      <c r="I321" s="13">
        <f t="shared" si="4"/>
        <v>2.5316153662610357</v>
      </c>
      <c r="J321" s="48"/>
    </row>
    <row r="322" spans="2:10">
      <c r="B322" s="47">
        <v>17</v>
      </c>
      <c r="C322" s="39">
        <v>2.4590000000000001</v>
      </c>
      <c r="D322" s="37">
        <v>172.3</v>
      </c>
      <c r="E322" s="38">
        <v>91.04</v>
      </c>
      <c r="F322" s="38">
        <v>31.34</v>
      </c>
      <c r="G322" s="38">
        <v>530.20000000000005</v>
      </c>
      <c r="H322" s="49">
        <v>3.0779999999999998</v>
      </c>
      <c r="I322" s="13">
        <f t="shared" si="4"/>
        <v>2.9049138481174221</v>
      </c>
      <c r="J322" s="48"/>
    </row>
    <row r="323" spans="2:10">
      <c r="C323" s="40">
        <v>2.5470000000000002</v>
      </c>
      <c r="D323" s="34">
        <v>124</v>
      </c>
      <c r="E323" s="23">
        <v>90.63</v>
      </c>
      <c r="F323" s="23">
        <v>31.71</v>
      </c>
      <c r="G323" s="23">
        <v>532.20000000000005</v>
      </c>
      <c r="H323" s="40">
        <v>3.113</v>
      </c>
      <c r="I323" s="13">
        <f t="shared" ref="I323:I386" si="5">E323/F323</f>
        <v>2.8580889309366126</v>
      </c>
      <c r="J323" s="48"/>
    </row>
    <row r="324" spans="2:10">
      <c r="C324" s="40">
        <v>2.8149999999999999</v>
      </c>
      <c r="D324" s="34">
        <v>172.3</v>
      </c>
      <c r="E324" s="23">
        <v>91.78</v>
      </c>
      <c r="F324" s="23">
        <v>31.61</v>
      </c>
      <c r="G324" s="23">
        <v>536.20000000000005</v>
      </c>
      <c r="H324" s="40">
        <v>3.0739999999999998</v>
      </c>
      <c r="I324" s="13">
        <f t="shared" si="5"/>
        <v>2.9035115469788044</v>
      </c>
      <c r="J324" s="48"/>
    </row>
    <row r="325" spans="2:10">
      <c r="C325" s="40">
        <v>2.774</v>
      </c>
      <c r="D325" s="34">
        <v>172</v>
      </c>
      <c r="E325" s="23">
        <v>92.84</v>
      </c>
      <c r="F325" s="23">
        <v>31.45</v>
      </c>
      <c r="G325" s="23">
        <v>531.5</v>
      </c>
      <c r="H325" s="40">
        <v>3.052</v>
      </c>
      <c r="I325" s="13">
        <f t="shared" si="5"/>
        <v>2.9519872813990462</v>
      </c>
      <c r="J325" s="48"/>
    </row>
    <row r="326" spans="2:10">
      <c r="C326" s="40">
        <v>2.5529999999999999</v>
      </c>
      <c r="D326" s="34">
        <v>194.4</v>
      </c>
      <c r="E326" s="23">
        <v>92.5</v>
      </c>
      <c r="F326" s="23">
        <v>32.799999999999997</v>
      </c>
      <c r="G326" s="23">
        <v>527.1</v>
      </c>
      <c r="H326" s="40">
        <v>3.01</v>
      </c>
      <c r="I326" s="13">
        <f t="shared" si="5"/>
        <v>2.8201219512195124</v>
      </c>
      <c r="J326" s="48"/>
    </row>
    <row r="327" spans="2:10">
      <c r="C327" s="40">
        <v>2.3039999999999998</v>
      </c>
      <c r="D327" s="34">
        <v>165.3</v>
      </c>
      <c r="E327" s="23">
        <v>93.04</v>
      </c>
      <c r="F327" s="23">
        <v>31.81</v>
      </c>
      <c r="G327" s="23">
        <v>532.79999999999995</v>
      </c>
      <c r="H327" s="40">
        <v>3.1179999999999999</v>
      </c>
      <c r="I327" s="13">
        <f t="shared" si="5"/>
        <v>2.9248663942156559</v>
      </c>
      <c r="J327" s="48"/>
    </row>
    <row r="328" spans="2:10">
      <c r="C328" s="40">
        <v>2.5009999999999999</v>
      </c>
      <c r="D328" s="34">
        <v>123.2</v>
      </c>
      <c r="E328" s="23">
        <v>92.54</v>
      </c>
      <c r="F328" s="23">
        <v>32.82</v>
      </c>
      <c r="G328" s="23">
        <v>530.6</v>
      </c>
      <c r="H328" s="40">
        <v>3.1190000000000002</v>
      </c>
      <c r="I328" s="13">
        <f t="shared" si="5"/>
        <v>2.8196221815965874</v>
      </c>
      <c r="J328" s="48"/>
    </row>
    <row r="329" spans="2:10">
      <c r="C329" s="40">
        <v>2.5529999999999999</v>
      </c>
      <c r="D329" s="34">
        <v>102.7</v>
      </c>
      <c r="E329" s="23">
        <v>92.69</v>
      </c>
      <c r="F329" s="23">
        <v>31.48</v>
      </c>
      <c r="G329" s="23">
        <v>533.4</v>
      </c>
      <c r="H329" s="40">
        <v>3.1030000000000002</v>
      </c>
      <c r="I329" s="13">
        <f t="shared" si="5"/>
        <v>2.9444091486658195</v>
      </c>
      <c r="J329" s="48"/>
    </row>
    <row r="330" spans="2:10">
      <c r="C330" s="40">
        <v>2.6040000000000001</v>
      </c>
      <c r="D330" s="34">
        <v>195.4</v>
      </c>
      <c r="E330" s="23">
        <v>91.87</v>
      </c>
      <c r="F330" s="23">
        <v>31.44</v>
      </c>
      <c r="G330" s="23">
        <v>533.5</v>
      </c>
      <c r="H330" s="40">
        <v>3.089</v>
      </c>
      <c r="I330" s="13">
        <f t="shared" si="5"/>
        <v>2.9220737913486006</v>
      </c>
      <c r="J330" s="48"/>
    </row>
    <row r="331" spans="2:10">
      <c r="C331" s="40">
        <v>2.3929999999999998</v>
      </c>
      <c r="D331" s="34">
        <v>191.1</v>
      </c>
      <c r="E331" s="23">
        <v>92.83</v>
      </c>
      <c r="F331" s="23">
        <v>31.49</v>
      </c>
      <c r="G331" s="23">
        <v>539.29999999999995</v>
      </c>
      <c r="H331" s="40">
        <v>3.0430000000000001</v>
      </c>
      <c r="I331" s="13">
        <f t="shared" si="5"/>
        <v>2.9479199745951097</v>
      </c>
      <c r="J331" s="48"/>
    </row>
    <row r="332" spans="2:10">
      <c r="C332" s="40">
        <v>2.2090000000000001</v>
      </c>
      <c r="D332" s="34">
        <v>175.3</v>
      </c>
      <c r="E332" s="23">
        <v>92.68</v>
      </c>
      <c r="F332" s="23">
        <v>31.85</v>
      </c>
      <c r="G332" s="23">
        <v>534.9</v>
      </c>
      <c r="H332" s="40">
        <v>3.0830000000000002</v>
      </c>
      <c r="I332" s="13">
        <f t="shared" si="5"/>
        <v>2.9098901098901098</v>
      </c>
      <c r="J332" s="48"/>
    </row>
    <row r="333" spans="2:10">
      <c r="C333" s="40">
        <v>2.419</v>
      </c>
      <c r="D333" s="34">
        <v>162</v>
      </c>
      <c r="E333" s="23">
        <v>93.5</v>
      </c>
      <c r="F333" s="23">
        <v>31.44</v>
      </c>
      <c r="G333" s="23">
        <v>532.79999999999995</v>
      </c>
      <c r="H333" s="40">
        <v>3.05</v>
      </c>
      <c r="I333" s="13">
        <f t="shared" si="5"/>
        <v>2.973918575063613</v>
      </c>
      <c r="J333" s="48"/>
    </row>
    <row r="334" spans="2:10">
      <c r="C334" s="40">
        <v>2.68</v>
      </c>
      <c r="D334" s="34">
        <v>174.9</v>
      </c>
      <c r="E334" s="23">
        <v>91.6</v>
      </c>
      <c r="F334" s="23">
        <v>32.28</v>
      </c>
      <c r="G334" s="23">
        <v>533.9</v>
      </c>
      <c r="H334" s="40">
        <v>3.0270000000000001</v>
      </c>
      <c r="I334" s="13">
        <f t="shared" si="5"/>
        <v>2.8376703841387854</v>
      </c>
      <c r="J334" s="48"/>
    </row>
    <row r="335" spans="2:10">
      <c r="C335" s="40">
        <v>2.6040000000000001</v>
      </c>
      <c r="D335" s="34">
        <v>183.2</v>
      </c>
      <c r="E335" s="23">
        <v>92.69</v>
      </c>
      <c r="F335" s="23">
        <v>31.92</v>
      </c>
      <c r="G335" s="23">
        <v>530.9</v>
      </c>
      <c r="H335" s="40">
        <v>3.133</v>
      </c>
      <c r="I335" s="13">
        <f t="shared" si="5"/>
        <v>2.9038220551378444</v>
      </c>
      <c r="J335" s="48"/>
    </row>
    <row r="336" spans="2:10">
      <c r="C336" s="40">
        <v>2.4039999999999999</v>
      </c>
      <c r="D336" s="34">
        <v>194.4</v>
      </c>
      <c r="E336" s="23">
        <v>91.06</v>
      </c>
      <c r="F336" s="23">
        <v>32.520000000000003</v>
      </c>
      <c r="G336" s="23">
        <v>534.4</v>
      </c>
      <c r="H336" s="40">
        <v>3.0840000000000001</v>
      </c>
      <c r="I336" s="13">
        <f t="shared" si="5"/>
        <v>2.8001230012300122</v>
      </c>
      <c r="J336" s="48"/>
    </row>
    <row r="337" spans="2:10">
      <c r="C337" s="40">
        <v>2.3929999999999998</v>
      </c>
      <c r="D337" s="34">
        <v>191.1</v>
      </c>
      <c r="E337" s="23">
        <v>92.74</v>
      </c>
      <c r="F337" s="23">
        <v>32.25</v>
      </c>
      <c r="G337" s="23">
        <v>509.1</v>
      </c>
      <c r="H337" s="40">
        <v>3.452</v>
      </c>
      <c r="I337" s="13">
        <f t="shared" si="5"/>
        <v>2.8756589147286822</v>
      </c>
      <c r="J337" s="48"/>
    </row>
    <row r="338" spans="2:10">
      <c r="C338" s="40">
        <v>2.3039999999999998</v>
      </c>
      <c r="D338" s="34">
        <v>198.2</v>
      </c>
      <c r="E338" s="23">
        <v>92.71</v>
      </c>
      <c r="F338" s="23">
        <v>31.98</v>
      </c>
      <c r="G338" s="23">
        <v>529.5</v>
      </c>
      <c r="H338" s="40">
        <v>3.246</v>
      </c>
      <c r="I338" s="13">
        <f t="shared" si="5"/>
        <v>2.8989993746091303</v>
      </c>
      <c r="J338" s="48"/>
    </row>
    <row r="339" spans="2:10">
      <c r="C339" s="40">
        <v>2.141</v>
      </c>
      <c r="D339" s="34">
        <v>105.4</v>
      </c>
      <c r="E339" s="23">
        <v>92.06</v>
      </c>
      <c r="F339" s="23">
        <v>32.79</v>
      </c>
      <c r="G339" s="23">
        <v>529.4</v>
      </c>
      <c r="H339" s="40">
        <v>3.1749999999999998</v>
      </c>
      <c r="I339" s="13">
        <f t="shared" si="5"/>
        <v>2.807563281488259</v>
      </c>
      <c r="J339" s="48"/>
    </row>
    <row r="340" spans="2:10">
      <c r="C340" s="40">
        <v>2.2040000000000002</v>
      </c>
      <c r="D340" s="34">
        <v>183.2</v>
      </c>
      <c r="E340" s="23">
        <v>91.87</v>
      </c>
      <c r="F340" s="23">
        <v>32</v>
      </c>
      <c r="G340" s="23">
        <v>531</v>
      </c>
      <c r="H340" s="40">
        <v>3.113</v>
      </c>
      <c r="I340" s="13">
        <f t="shared" si="5"/>
        <v>2.8709375000000001</v>
      </c>
      <c r="J340" s="48"/>
    </row>
    <row r="341" spans="2:10">
      <c r="C341" s="40">
        <v>2.39</v>
      </c>
      <c r="D341" s="34">
        <v>124</v>
      </c>
      <c r="E341" s="23">
        <v>92.71</v>
      </c>
      <c r="F341" s="23">
        <v>31.18</v>
      </c>
      <c r="G341" s="23">
        <v>528.4</v>
      </c>
      <c r="H341" s="40">
        <v>3.0259999999999998</v>
      </c>
      <c r="I341" s="13">
        <f t="shared" si="5"/>
        <v>2.9733803720333545</v>
      </c>
      <c r="J341" s="48"/>
    </row>
    <row r="342" spans="2:10">
      <c r="B342" s="47">
        <v>18</v>
      </c>
      <c r="C342" s="39">
        <v>2.5609999999999999</v>
      </c>
      <c r="D342" s="37">
        <v>134</v>
      </c>
      <c r="E342" s="38">
        <v>93.61</v>
      </c>
      <c r="F342" s="38">
        <v>19.350000000000001</v>
      </c>
      <c r="G342" s="38">
        <v>539.6</v>
      </c>
      <c r="H342" s="39">
        <v>4.6989999999999998</v>
      </c>
      <c r="I342" s="13">
        <f t="shared" si="5"/>
        <v>4.8377260981912142</v>
      </c>
      <c r="J342" s="48"/>
    </row>
    <row r="343" spans="2:10">
      <c r="C343" s="40">
        <v>2.528</v>
      </c>
      <c r="D343" s="34">
        <v>154.9</v>
      </c>
      <c r="E343" s="23">
        <v>92.78</v>
      </c>
      <c r="F343" s="23">
        <v>17.43</v>
      </c>
      <c r="G343" s="23">
        <v>538.70000000000005</v>
      </c>
      <c r="H343" s="40">
        <v>4.8659999999999997</v>
      </c>
      <c r="I343" s="13">
        <f t="shared" si="5"/>
        <v>5.3230063109581183</v>
      </c>
      <c r="J343" s="48"/>
    </row>
    <row r="344" spans="2:10">
      <c r="C344" s="40">
        <v>2.4790000000000001</v>
      </c>
      <c r="D344" s="34">
        <v>153.1</v>
      </c>
      <c r="E344" s="23">
        <v>94.67</v>
      </c>
      <c r="F344" s="23">
        <v>17.309999999999999</v>
      </c>
      <c r="G344" s="23">
        <v>541</v>
      </c>
      <c r="H344" s="40">
        <v>4.6079999999999997</v>
      </c>
      <c r="I344" s="13">
        <f t="shared" si="5"/>
        <v>5.469093009820913</v>
      </c>
      <c r="J344" s="48"/>
    </row>
    <row r="345" spans="2:10">
      <c r="C345" s="40">
        <v>2.4790000000000001</v>
      </c>
      <c r="D345" s="34">
        <v>158.1</v>
      </c>
      <c r="E345" s="23">
        <v>94.03</v>
      </c>
      <c r="F345" s="23">
        <v>20.07</v>
      </c>
      <c r="G345" s="23">
        <v>538.6</v>
      </c>
      <c r="H345" s="40">
        <v>5.569</v>
      </c>
      <c r="I345" s="13">
        <f t="shared" si="5"/>
        <v>4.685102142501246</v>
      </c>
      <c r="J345" s="48"/>
    </row>
    <row r="346" spans="2:10">
      <c r="C346" s="40">
        <v>2.4079999999999999</v>
      </c>
      <c r="D346" s="34">
        <v>163.30000000000001</v>
      </c>
      <c r="E346" s="23">
        <v>94.76</v>
      </c>
      <c r="F346" s="23">
        <v>19.62</v>
      </c>
      <c r="G346" s="23">
        <v>538.70000000000005</v>
      </c>
      <c r="H346" s="40">
        <v>6.1989999999999998</v>
      </c>
      <c r="I346" s="13">
        <f t="shared" si="5"/>
        <v>4.8297655453618757</v>
      </c>
      <c r="J346" s="48"/>
    </row>
    <row r="347" spans="2:10">
      <c r="C347" s="40">
        <v>2.2509999999999999</v>
      </c>
      <c r="D347" s="34">
        <v>152.80000000000001</v>
      </c>
      <c r="E347" s="23">
        <v>93.92</v>
      </c>
      <c r="F347" s="23">
        <v>19.559999999999999</v>
      </c>
      <c r="G347" s="23">
        <v>541.5</v>
      </c>
      <c r="H347" s="40">
        <v>7.8689999999999998</v>
      </c>
      <c r="I347" s="13">
        <f t="shared" si="5"/>
        <v>4.8016359918200413</v>
      </c>
      <c r="J347" s="48"/>
    </row>
    <row r="348" spans="2:10">
      <c r="C348" s="40">
        <v>2.411</v>
      </c>
      <c r="D348" s="34">
        <v>139.1</v>
      </c>
      <c r="E348" s="23">
        <v>93.62</v>
      </c>
      <c r="F348" s="23">
        <v>20.18</v>
      </c>
      <c r="G348" s="23">
        <v>541.4</v>
      </c>
      <c r="H348" s="40">
        <v>6.1289999999999996</v>
      </c>
      <c r="I348" s="13">
        <f t="shared" si="5"/>
        <v>4.6392467789890981</v>
      </c>
      <c r="J348" s="48"/>
    </row>
    <row r="349" spans="2:10">
      <c r="C349" s="40">
        <v>2.528</v>
      </c>
      <c r="D349" s="34">
        <v>166.5</v>
      </c>
      <c r="E349" s="23">
        <v>92.87</v>
      </c>
      <c r="F349" s="23">
        <v>21.13</v>
      </c>
      <c r="G349" s="23">
        <v>547</v>
      </c>
      <c r="H349" s="40">
        <v>5.6059999999999999</v>
      </c>
      <c r="I349" s="13">
        <f t="shared" si="5"/>
        <v>4.3951727401798397</v>
      </c>
      <c r="J349" s="48"/>
    </row>
    <row r="350" spans="2:10">
      <c r="C350" s="40">
        <v>2.5870000000000002</v>
      </c>
      <c r="D350" s="34">
        <v>164.1</v>
      </c>
      <c r="E350" s="23">
        <v>93.5</v>
      </c>
      <c r="F350" s="23">
        <v>21.46</v>
      </c>
      <c r="G350" s="23">
        <v>545.1</v>
      </c>
      <c r="H350" s="40">
        <v>5.617</v>
      </c>
      <c r="I350" s="13">
        <f t="shared" si="5"/>
        <v>4.3569431500465985</v>
      </c>
      <c r="J350" s="48"/>
    </row>
    <row r="351" spans="2:10">
      <c r="C351" s="40">
        <v>2.496</v>
      </c>
      <c r="D351" s="34">
        <v>215.8</v>
      </c>
      <c r="E351" s="23">
        <v>94.24</v>
      </c>
      <c r="F351" s="23">
        <v>21.77</v>
      </c>
      <c r="G351" s="23">
        <v>545.6</v>
      </c>
      <c r="H351" s="40">
        <v>4.1829999999999998</v>
      </c>
      <c r="I351" s="13">
        <f t="shared" si="5"/>
        <v>4.3288929719797888</v>
      </c>
      <c r="J351" s="48"/>
    </row>
    <row r="352" spans="2:10">
      <c r="C352" s="40">
        <v>2.4710000000000001</v>
      </c>
      <c r="D352" s="34">
        <v>166.2</v>
      </c>
      <c r="E352" s="23">
        <v>94.45</v>
      </c>
      <c r="F352" s="23">
        <v>20.66</v>
      </c>
      <c r="G352" s="23">
        <v>547</v>
      </c>
      <c r="H352" s="40">
        <v>4.62</v>
      </c>
      <c r="I352" s="13">
        <f t="shared" si="5"/>
        <v>4.5716360116166506</v>
      </c>
      <c r="J352" s="48"/>
    </row>
    <row r="353" spans="2:10">
      <c r="C353" s="40">
        <v>2.4279999999999999</v>
      </c>
      <c r="D353" s="34">
        <v>161.80000000000001</v>
      </c>
      <c r="E353" s="23">
        <v>93.81</v>
      </c>
      <c r="F353" s="23">
        <v>19.68</v>
      </c>
      <c r="G353" s="23">
        <v>541.79999999999995</v>
      </c>
      <c r="H353" s="40">
        <v>4.0860000000000003</v>
      </c>
      <c r="I353" s="13">
        <f t="shared" si="5"/>
        <v>4.7667682926829267</v>
      </c>
      <c r="J353" s="48"/>
    </row>
    <row r="354" spans="2:10">
      <c r="C354" s="40">
        <v>2.3239999999999998</v>
      </c>
      <c r="D354" s="34">
        <v>154</v>
      </c>
      <c r="E354" s="23">
        <v>93.82</v>
      </c>
      <c r="F354" s="23">
        <v>19.95</v>
      </c>
      <c r="G354" s="23">
        <v>539.79999999999995</v>
      </c>
      <c r="H354" s="40">
        <v>4.1719999999999997</v>
      </c>
      <c r="I354" s="13">
        <f t="shared" si="5"/>
        <v>4.7027568922305765</v>
      </c>
      <c r="J354" s="48"/>
    </row>
    <row r="355" spans="2:10">
      <c r="C355" s="40">
        <v>2.3460000000000001</v>
      </c>
      <c r="D355" s="34">
        <v>191.4</v>
      </c>
      <c r="E355" s="23">
        <v>94.04</v>
      </c>
      <c r="F355" s="23">
        <v>20.99</v>
      </c>
      <c r="G355" s="23">
        <v>540.5</v>
      </c>
      <c r="H355" s="40">
        <v>5.2110000000000003</v>
      </c>
      <c r="I355" s="13">
        <f t="shared" si="5"/>
        <v>4.4802286803239646</v>
      </c>
      <c r="J355" s="48"/>
    </row>
    <row r="356" spans="2:10">
      <c r="C356" s="40">
        <v>2.0640000000000001</v>
      </c>
      <c r="D356" s="34">
        <v>141.6</v>
      </c>
      <c r="E356" s="23">
        <v>93.41</v>
      </c>
      <c r="F356" s="23">
        <v>19.559999999999999</v>
      </c>
      <c r="G356" s="23">
        <v>541.70000000000005</v>
      </c>
      <c r="H356" s="40">
        <v>4.7770000000000001</v>
      </c>
      <c r="I356" s="13">
        <f t="shared" si="5"/>
        <v>4.7755623721881388</v>
      </c>
      <c r="J356" s="48"/>
    </row>
    <row r="357" spans="2:10">
      <c r="C357" s="40">
        <v>2.4220000000000002</v>
      </c>
      <c r="D357" s="34">
        <v>153.1</v>
      </c>
      <c r="E357" s="23">
        <v>93.4</v>
      </c>
      <c r="F357" s="23">
        <v>19.739999999999998</v>
      </c>
      <c r="G357" s="23">
        <v>540.9</v>
      </c>
      <c r="H357" s="40">
        <v>4.4189999999999996</v>
      </c>
      <c r="I357" s="13">
        <f t="shared" si="5"/>
        <v>4.7315096251266473</v>
      </c>
      <c r="J357" s="48"/>
    </row>
    <row r="358" spans="2:10">
      <c r="C358" s="40">
        <v>2.5609999999999999</v>
      </c>
      <c r="D358" s="34">
        <v>154.9</v>
      </c>
      <c r="E358" s="23">
        <v>93.02</v>
      </c>
      <c r="F358" s="23">
        <v>20.059999999999999</v>
      </c>
      <c r="G358" s="23">
        <v>539.6</v>
      </c>
      <c r="H358" s="40">
        <v>4.3979999999999997</v>
      </c>
      <c r="I358" s="13">
        <f t="shared" si="5"/>
        <v>4.6370887337986044</v>
      </c>
      <c r="J358" s="48"/>
    </row>
    <row r="359" spans="2:10">
      <c r="C359" s="40">
        <v>2.5579999999999998</v>
      </c>
      <c r="D359" s="34">
        <v>139.1</v>
      </c>
      <c r="E359" s="23">
        <v>93.42</v>
      </c>
      <c r="F359" s="23">
        <v>20.89</v>
      </c>
      <c r="G359" s="23">
        <v>538.6</v>
      </c>
      <c r="H359" s="40">
        <v>4.3319999999999999</v>
      </c>
      <c r="I359" s="13">
        <f t="shared" si="5"/>
        <v>4.4719961704164675</v>
      </c>
      <c r="J359" s="48"/>
    </row>
    <row r="360" spans="2:10">
      <c r="C360" s="40">
        <v>2.4590000000000001</v>
      </c>
      <c r="D360" s="34">
        <v>171.9</v>
      </c>
      <c r="E360" s="23">
        <v>93.4</v>
      </c>
      <c r="F360" s="23">
        <v>19.46</v>
      </c>
      <c r="G360" s="23">
        <v>544.1</v>
      </c>
      <c r="H360" s="40">
        <v>4.843</v>
      </c>
      <c r="I360" s="13">
        <f t="shared" si="5"/>
        <v>4.7995889003083247</v>
      </c>
      <c r="J360" s="48"/>
    </row>
    <row r="361" spans="2:10">
      <c r="C361" s="40">
        <v>2.3439999999999999</v>
      </c>
      <c r="D361" s="34">
        <v>179.4</v>
      </c>
      <c r="E361" s="23">
        <v>94.47</v>
      </c>
      <c r="F361" s="23">
        <v>18.91</v>
      </c>
      <c r="G361" s="23">
        <v>546.79999999999995</v>
      </c>
      <c r="H361" s="40">
        <v>5.01</v>
      </c>
      <c r="I361" s="13">
        <f t="shared" si="5"/>
        <v>4.9957694341618186</v>
      </c>
      <c r="J361" s="48"/>
    </row>
    <row r="362" spans="2:10">
      <c r="B362" s="47">
        <v>19</v>
      </c>
      <c r="C362" s="39">
        <v>3.1280000000000001</v>
      </c>
      <c r="D362" s="37">
        <v>166</v>
      </c>
      <c r="E362" s="38">
        <v>68.94</v>
      </c>
      <c r="F362" s="38">
        <v>19.190000000000001</v>
      </c>
      <c r="G362" s="38">
        <v>509.9</v>
      </c>
      <c r="H362" s="39">
        <v>4.0010000000000003</v>
      </c>
      <c r="I362" s="13">
        <f t="shared" si="5"/>
        <v>3.5924960917144344</v>
      </c>
      <c r="J362" s="20"/>
    </row>
    <row r="363" spans="2:10">
      <c r="C363" s="40">
        <v>2.9980000000000002</v>
      </c>
      <c r="D363" s="34">
        <v>174.7</v>
      </c>
      <c r="E363" s="23">
        <v>70.3</v>
      </c>
      <c r="F363" s="23">
        <v>18.96</v>
      </c>
      <c r="G363" s="23">
        <v>510.1</v>
      </c>
      <c r="H363" s="40">
        <v>5.0069999999999997</v>
      </c>
      <c r="I363" s="13">
        <f t="shared" si="5"/>
        <v>3.7078059071729954</v>
      </c>
      <c r="J363" s="20"/>
    </row>
    <row r="364" spans="2:10">
      <c r="C364" s="40">
        <v>3.1419999999999999</v>
      </c>
      <c r="D364" s="34">
        <v>153.30000000000001</v>
      </c>
      <c r="E364" s="23">
        <v>69.41</v>
      </c>
      <c r="F364" s="23">
        <v>18.84</v>
      </c>
      <c r="G364" s="23">
        <v>514.4</v>
      </c>
      <c r="H364" s="40">
        <v>4.1180000000000003</v>
      </c>
      <c r="I364" s="13">
        <f t="shared" si="5"/>
        <v>3.6841825902335454</v>
      </c>
      <c r="J364" s="20"/>
    </row>
    <row r="365" spans="2:10">
      <c r="C365" s="40">
        <v>2.992</v>
      </c>
      <c r="D365" s="34">
        <v>158.80000000000001</v>
      </c>
      <c r="E365" s="23">
        <v>69.010000000000005</v>
      </c>
      <c r="F365" s="23">
        <v>20.47</v>
      </c>
      <c r="G365" s="23">
        <v>513.6</v>
      </c>
      <c r="H365" s="40">
        <v>4.6829999999999998</v>
      </c>
      <c r="I365" s="13">
        <f t="shared" si="5"/>
        <v>3.3712750366389845</v>
      </c>
      <c r="J365" s="20"/>
    </row>
    <row r="366" spans="2:10">
      <c r="C366" s="40">
        <v>3.09</v>
      </c>
      <c r="D366" s="34">
        <v>148.07</v>
      </c>
      <c r="E366" s="23">
        <v>69.94</v>
      </c>
      <c r="F366" s="23">
        <v>18.16</v>
      </c>
      <c r="G366" s="23">
        <v>510.7</v>
      </c>
      <c r="H366" s="40">
        <v>4.7409999999999997</v>
      </c>
      <c r="I366" s="13">
        <f t="shared" si="5"/>
        <v>3.8513215859030834</v>
      </c>
      <c r="J366" s="20"/>
    </row>
    <row r="367" spans="2:10">
      <c r="C367" s="40">
        <v>2.9830000000000001</v>
      </c>
      <c r="D367" s="34">
        <v>141.69</v>
      </c>
      <c r="E367" s="23">
        <v>68.59</v>
      </c>
      <c r="F367" s="23">
        <v>18.95</v>
      </c>
      <c r="G367" s="23">
        <v>511.1</v>
      </c>
      <c r="H367" s="40">
        <v>2.6429999999999998</v>
      </c>
      <c r="I367" s="13">
        <f t="shared" si="5"/>
        <v>3.6195250659630611</v>
      </c>
      <c r="J367" s="20"/>
    </row>
    <row r="368" spans="2:10">
      <c r="C368" s="40">
        <v>2.9580000000000002</v>
      </c>
      <c r="D368" s="34">
        <v>149.72</v>
      </c>
      <c r="E368" s="23">
        <v>69.66</v>
      </c>
      <c r="F368" s="23">
        <v>19.79</v>
      </c>
      <c r="G368" s="23">
        <v>511.4</v>
      </c>
      <c r="H368" s="40">
        <v>2.266</v>
      </c>
      <c r="I368" s="13">
        <f t="shared" si="5"/>
        <v>3.5199595755432038</v>
      </c>
      <c r="J368" s="20"/>
    </row>
    <row r="369" spans="2:10">
      <c r="C369" s="40">
        <v>2.8370000000000002</v>
      </c>
      <c r="D369" s="34">
        <v>151.30000000000001</v>
      </c>
      <c r="E369" s="23">
        <v>70.33</v>
      </c>
      <c r="F369" s="23">
        <v>20.7</v>
      </c>
      <c r="G369" s="23">
        <v>513.70000000000005</v>
      </c>
      <c r="H369" s="40">
        <v>4.4489999999999998</v>
      </c>
      <c r="I369" s="13">
        <f t="shared" si="5"/>
        <v>3.3975845410628018</v>
      </c>
      <c r="J369" s="20"/>
    </row>
    <row r="370" spans="2:10">
      <c r="C370" s="40">
        <v>2.7530000000000001</v>
      </c>
      <c r="D370" s="34">
        <v>151.5</v>
      </c>
      <c r="E370" s="23">
        <v>69.95</v>
      </c>
      <c r="F370" s="23">
        <v>20.46</v>
      </c>
      <c r="G370" s="23">
        <v>510.6</v>
      </c>
      <c r="H370" s="40">
        <v>4.1890000000000001</v>
      </c>
      <c r="I370" s="13">
        <f t="shared" si="5"/>
        <v>3.4188660801564028</v>
      </c>
      <c r="J370" s="20"/>
    </row>
    <row r="371" spans="2:10">
      <c r="C371" s="40">
        <v>2.774</v>
      </c>
      <c r="D371" s="34">
        <v>166</v>
      </c>
      <c r="E371" s="23">
        <v>69.739999999999995</v>
      </c>
      <c r="F371" s="23">
        <v>20.05</v>
      </c>
      <c r="G371" s="23">
        <v>512.9</v>
      </c>
      <c r="H371" s="40">
        <v>3.839</v>
      </c>
      <c r="I371" s="13">
        <f t="shared" si="5"/>
        <v>3.478304239401496</v>
      </c>
      <c r="J371" s="20"/>
    </row>
    <row r="372" spans="2:10">
      <c r="C372" s="40">
        <v>2.8980000000000001</v>
      </c>
      <c r="D372" s="34">
        <v>158.4</v>
      </c>
      <c r="E372" s="23">
        <v>68.91</v>
      </c>
      <c r="F372" s="23">
        <v>19.41</v>
      </c>
      <c r="G372" s="23">
        <v>511</v>
      </c>
      <c r="H372" s="40">
        <v>3.0720000000000001</v>
      </c>
      <c r="I372" s="13">
        <f t="shared" si="5"/>
        <v>3.5502318392581143</v>
      </c>
      <c r="J372" s="20"/>
    </row>
    <row r="373" spans="2:10">
      <c r="C373" s="40">
        <v>2.9980000000000002</v>
      </c>
      <c r="D373" s="34">
        <v>151.30000000000001</v>
      </c>
      <c r="E373" s="23">
        <v>69.14</v>
      </c>
      <c r="F373" s="23">
        <v>20.02</v>
      </c>
      <c r="G373" s="23">
        <v>508.4</v>
      </c>
      <c r="H373" s="40">
        <v>5.0060000000000002</v>
      </c>
      <c r="I373" s="13">
        <f t="shared" si="5"/>
        <v>3.4535464535464535</v>
      </c>
      <c r="J373" s="20"/>
    </row>
    <row r="374" spans="2:10">
      <c r="C374" s="40">
        <v>3.2</v>
      </c>
      <c r="D374" s="34">
        <v>141.69</v>
      </c>
      <c r="E374" s="23">
        <v>69.349999999999994</v>
      </c>
      <c r="F374" s="23">
        <v>20.07</v>
      </c>
      <c r="G374" s="23">
        <v>509.6</v>
      </c>
      <c r="H374" s="40">
        <v>2.915</v>
      </c>
      <c r="I374" s="13">
        <f t="shared" si="5"/>
        <v>3.4554060787244643</v>
      </c>
      <c r="J374" s="20"/>
    </row>
    <row r="375" spans="2:10">
      <c r="C375" s="40">
        <v>3.1850000000000001</v>
      </c>
      <c r="D375" s="34">
        <v>148.07</v>
      </c>
      <c r="E375" s="23">
        <v>69.27</v>
      </c>
      <c r="F375" s="23">
        <v>19.78</v>
      </c>
      <c r="G375" s="23">
        <v>512</v>
      </c>
      <c r="H375" s="40">
        <v>3.7959999999999998</v>
      </c>
      <c r="I375" s="13">
        <f t="shared" si="5"/>
        <v>3.5020222446916072</v>
      </c>
      <c r="J375" s="20"/>
    </row>
    <row r="376" spans="2:10">
      <c r="C376" s="40">
        <v>3.1419999999999999</v>
      </c>
      <c r="D376" s="34">
        <v>145.5</v>
      </c>
      <c r="E376" s="23">
        <v>69.84</v>
      </c>
      <c r="F376" s="23">
        <v>19.29</v>
      </c>
      <c r="G376" s="23">
        <v>513.4</v>
      </c>
      <c r="H376" s="40">
        <v>4.3639999999999999</v>
      </c>
      <c r="I376" s="13">
        <f t="shared" si="5"/>
        <v>3.6205287713841372</v>
      </c>
      <c r="J376" s="20"/>
    </row>
    <row r="377" spans="2:10">
      <c r="C377" s="40">
        <v>3.069</v>
      </c>
      <c r="D377" s="34">
        <v>149.47</v>
      </c>
      <c r="E377" s="23">
        <v>67.92</v>
      </c>
      <c r="F377" s="23">
        <v>19.25</v>
      </c>
      <c r="G377" s="23">
        <v>513.6</v>
      </c>
      <c r="H377" s="40">
        <v>4.4489999999999998</v>
      </c>
      <c r="I377" s="13">
        <f t="shared" si="5"/>
        <v>3.5283116883116885</v>
      </c>
      <c r="J377" s="20"/>
    </row>
    <row r="378" spans="2:10">
      <c r="C378" s="40">
        <v>2.9740000000000002</v>
      </c>
      <c r="D378" s="34">
        <v>162</v>
      </c>
      <c r="E378" s="23">
        <v>69.3</v>
      </c>
      <c r="F378" s="23">
        <v>19.899999999999999</v>
      </c>
      <c r="G378" s="23">
        <v>512.20000000000005</v>
      </c>
      <c r="H378" s="40">
        <v>3.169</v>
      </c>
      <c r="I378" s="13">
        <f t="shared" si="5"/>
        <v>3.4824120603015079</v>
      </c>
      <c r="J378" s="20"/>
    </row>
    <row r="379" spans="2:10">
      <c r="C379" s="40">
        <v>2.8660000000000001</v>
      </c>
      <c r="D379" s="34">
        <v>155.30000000000001</v>
      </c>
      <c r="E379" s="23">
        <v>68.150000000000006</v>
      </c>
      <c r="F379" s="23">
        <v>19.5</v>
      </c>
      <c r="G379" s="23">
        <v>511.2</v>
      </c>
      <c r="H379" s="40">
        <v>2.431</v>
      </c>
      <c r="I379" s="13">
        <f t="shared" si="5"/>
        <v>3.4948717948717953</v>
      </c>
      <c r="J379" s="20"/>
    </row>
    <row r="380" spans="2:10">
      <c r="C380" s="40">
        <v>2.6030000000000002</v>
      </c>
      <c r="D380" s="34">
        <v>141.69</v>
      </c>
      <c r="E380" s="23">
        <v>68.52</v>
      </c>
      <c r="F380" s="23">
        <v>19.25</v>
      </c>
      <c r="G380" s="23">
        <v>511.4</v>
      </c>
      <c r="H380" s="40">
        <v>4.2190000000000003</v>
      </c>
      <c r="I380" s="13">
        <f t="shared" si="5"/>
        <v>3.5594805194805192</v>
      </c>
      <c r="J380" s="20"/>
    </row>
    <row r="381" spans="2:10">
      <c r="C381" s="40">
        <v>2.609</v>
      </c>
      <c r="D381" s="34">
        <v>149.72999999999999</v>
      </c>
      <c r="E381" s="23">
        <v>68.930000000000007</v>
      </c>
      <c r="F381" s="23">
        <v>19.899999999999999</v>
      </c>
      <c r="G381" s="23">
        <v>510.3</v>
      </c>
      <c r="H381" s="40">
        <v>4.4329999999999998</v>
      </c>
      <c r="I381" s="13">
        <f t="shared" si="5"/>
        <v>3.4638190954773873</v>
      </c>
      <c r="J381" s="20"/>
    </row>
    <row r="382" spans="2:10">
      <c r="B382" s="47">
        <v>20</v>
      </c>
      <c r="C382" s="39">
        <v>2.1739999999999999</v>
      </c>
      <c r="D382" s="37">
        <v>106.8</v>
      </c>
      <c r="E382" s="38">
        <v>98.28</v>
      </c>
      <c r="F382" s="38">
        <v>27.19</v>
      </c>
      <c r="G382" s="38">
        <v>541.6</v>
      </c>
      <c r="H382" s="39">
        <v>2.9849999999999999</v>
      </c>
      <c r="I382" s="13">
        <f t="shared" si="5"/>
        <v>3.6145641780066198</v>
      </c>
      <c r="J382" s="48"/>
    </row>
    <row r="383" spans="2:10">
      <c r="C383" s="40">
        <v>2.1629999999999998</v>
      </c>
      <c r="D383" s="34">
        <v>109.3</v>
      </c>
      <c r="E383" s="23">
        <v>98.51</v>
      </c>
      <c r="F383" s="23">
        <v>26.62</v>
      </c>
      <c r="G383" s="23">
        <v>535.5</v>
      </c>
      <c r="H383" s="40">
        <v>2.899</v>
      </c>
      <c r="I383" s="13">
        <f t="shared" si="5"/>
        <v>3.7006010518407213</v>
      </c>
      <c r="J383" s="48"/>
    </row>
    <row r="384" spans="2:10">
      <c r="C384" s="40">
        <v>2.1320000000000001</v>
      </c>
      <c r="D384" s="34">
        <v>110.5</v>
      </c>
      <c r="E384" s="23">
        <v>95.82</v>
      </c>
      <c r="F384" s="23">
        <v>26.81</v>
      </c>
      <c r="G384" s="23">
        <v>536.5</v>
      </c>
      <c r="H384" s="40">
        <v>2.88</v>
      </c>
      <c r="I384" s="13">
        <f t="shared" si="5"/>
        <v>3.5740395374860126</v>
      </c>
      <c r="J384" s="48"/>
    </row>
    <row r="385" spans="3:10">
      <c r="C385" s="40">
        <v>2.048</v>
      </c>
      <c r="D385" s="34">
        <v>103.6</v>
      </c>
      <c r="E385" s="23">
        <v>99.55</v>
      </c>
      <c r="F385" s="23">
        <v>26.3</v>
      </c>
      <c r="G385" s="23">
        <v>538.6</v>
      </c>
      <c r="H385" s="40">
        <v>2.827</v>
      </c>
      <c r="I385" s="13">
        <f t="shared" si="5"/>
        <v>3.7851711026615966</v>
      </c>
      <c r="J385" s="48"/>
    </row>
    <row r="386" spans="3:10">
      <c r="C386" s="40">
        <v>2.1070000000000002</v>
      </c>
      <c r="D386" s="34">
        <v>106.9</v>
      </c>
      <c r="E386" s="23">
        <v>96.31</v>
      </c>
      <c r="F386" s="23">
        <v>27.04</v>
      </c>
      <c r="G386" s="23">
        <v>539.29999999999995</v>
      </c>
      <c r="H386" s="40">
        <v>2.81</v>
      </c>
      <c r="I386" s="13">
        <f t="shared" si="5"/>
        <v>3.5617603550295862</v>
      </c>
      <c r="J386" s="48"/>
    </row>
    <row r="387" spans="3:10">
      <c r="C387" s="40">
        <v>2.1629999999999998</v>
      </c>
      <c r="D387" s="34">
        <v>106.8</v>
      </c>
      <c r="E387" s="23">
        <v>98.98</v>
      </c>
      <c r="F387" s="23">
        <v>27.2</v>
      </c>
      <c r="G387" s="23">
        <v>541.79999999999995</v>
      </c>
      <c r="H387" s="40">
        <v>2.8119999999999998</v>
      </c>
      <c r="I387" s="13">
        <f t="shared" ref="I387:I450" si="6">E387/F387</f>
        <v>3.6389705882352943</v>
      </c>
      <c r="J387" s="48"/>
    </row>
    <row r="388" spans="3:10">
      <c r="C388" s="40">
        <v>2.097</v>
      </c>
      <c r="D388" s="34">
        <v>113.4</v>
      </c>
      <c r="E388" s="23">
        <v>98.45</v>
      </c>
      <c r="F388" s="23">
        <v>27.57</v>
      </c>
      <c r="G388" s="23">
        <v>540.6</v>
      </c>
      <c r="H388" s="40">
        <v>2.839</v>
      </c>
      <c r="I388" s="13">
        <f t="shared" si="6"/>
        <v>3.5709104098657964</v>
      </c>
      <c r="J388" s="48"/>
    </row>
    <row r="389" spans="3:10">
      <c r="C389" s="40">
        <v>2.1269999999999998</v>
      </c>
      <c r="D389" s="34">
        <v>120</v>
      </c>
      <c r="E389" s="23">
        <v>97.85</v>
      </c>
      <c r="F389" s="23">
        <v>27.38</v>
      </c>
      <c r="G389" s="23">
        <v>544.20000000000005</v>
      </c>
      <c r="H389" s="40">
        <v>2.855</v>
      </c>
      <c r="I389" s="13">
        <f t="shared" si="6"/>
        <v>3.5737764791818845</v>
      </c>
      <c r="J389" s="48"/>
    </row>
    <row r="390" spans="3:10">
      <c r="C390" s="40">
        <v>2.1070000000000002</v>
      </c>
      <c r="D390" s="34">
        <v>102.1</v>
      </c>
      <c r="E390" s="23">
        <v>97.8</v>
      </c>
      <c r="F390" s="23">
        <v>27</v>
      </c>
      <c r="G390" s="23">
        <v>541.5</v>
      </c>
      <c r="H390" s="40">
        <v>2.8260000000000001</v>
      </c>
      <c r="I390" s="13">
        <f t="shared" si="6"/>
        <v>3.6222222222222222</v>
      </c>
      <c r="J390" s="48"/>
    </row>
    <row r="391" spans="3:10">
      <c r="C391" s="40">
        <v>2.0590000000000002</v>
      </c>
      <c r="D391" s="34">
        <v>101.3</v>
      </c>
      <c r="E391" s="23">
        <v>97.97</v>
      </c>
      <c r="F391" s="23">
        <v>26.81</v>
      </c>
      <c r="G391" s="23">
        <v>537.9</v>
      </c>
      <c r="H391" s="40">
        <v>2.81</v>
      </c>
      <c r="I391" s="13">
        <f t="shared" si="6"/>
        <v>3.6542334949645654</v>
      </c>
      <c r="J391" s="48"/>
    </row>
    <row r="392" spans="3:10">
      <c r="C392" s="40">
        <v>2.0739999999999998</v>
      </c>
      <c r="D392" s="34">
        <v>107.1</v>
      </c>
      <c r="E392" s="23">
        <v>98.62</v>
      </c>
      <c r="F392" s="23">
        <v>26.44</v>
      </c>
      <c r="G392" s="23">
        <v>538.1</v>
      </c>
      <c r="H392" s="40">
        <v>2.7970000000000002</v>
      </c>
      <c r="I392" s="13">
        <f t="shared" si="6"/>
        <v>3.7299546142208775</v>
      </c>
      <c r="J392" s="48"/>
    </row>
    <row r="393" spans="3:10">
      <c r="C393" s="40">
        <v>2.1269999999999998</v>
      </c>
      <c r="D393" s="34">
        <v>104.3</v>
      </c>
      <c r="E393" s="23">
        <v>98.72</v>
      </c>
      <c r="F393" s="23">
        <v>26.42</v>
      </c>
      <c r="G393" s="23">
        <v>542.20000000000005</v>
      </c>
      <c r="H393" s="40">
        <v>2.8069999999999999</v>
      </c>
      <c r="I393" s="13">
        <f t="shared" si="6"/>
        <v>3.7365632096896286</v>
      </c>
      <c r="J393" s="48"/>
    </row>
    <row r="394" spans="3:10">
      <c r="C394" s="40">
        <v>2.141</v>
      </c>
      <c r="D394" s="34">
        <v>109.3</v>
      </c>
      <c r="E394" s="23">
        <v>97.94</v>
      </c>
      <c r="F394" s="23">
        <v>27.01</v>
      </c>
      <c r="G394" s="23">
        <v>542.6</v>
      </c>
      <c r="H394" s="40">
        <v>2.8839999999999999</v>
      </c>
      <c r="I394" s="13">
        <f t="shared" si="6"/>
        <v>3.6260644205849681</v>
      </c>
      <c r="J394" s="48"/>
    </row>
    <row r="395" spans="3:10">
      <c r="C395" s="40">
        <v>2.1629999999999998</v>
      </c>
      <c r="D395" s="34">
        <v>112.1</v>
      </c>
      <c r="E395" s="23">
        <v>98.08</v>
      </c>
      <c r="F395" s="23">
        <v>27.38</v>
      </c>
      <c r="G395" s="23">
        <v>544.79999999999995</v>
      </c>
      <c r="H395" s="40">
        <v>2.919</v>
      </c>
      <c r="I395" s="13">
        <f t="shared" si="6"/>
        <v>3.5821767713659605</v>
      </c>
      <c r="J395" s="48"/>
    </row>
    <row r="396" spans="3:10">
      <c r="C396" s="40">
        <v>2.1320000000000001</v>
      </c>
      <c r="D396" s="34">
        <v>113.4</v>
      </c>
      <c r="E396" s="23">
        <v>98.83</v>
      </c>
      <c r="F396" s="23">
        <v>26.67</v>
      </c>
      <c r="G396" s="23">
        <v>543.29999999999995</v>
      </c>
      <c r="H396" s="40">
        <v>3.0139999999999998</v>
      </c>
      <c r="I396" s="13">
        <f t="shared" si="6"/>
        <v>3.7056617922759654</v>
      </c>
      <c r="J396" s="48"/>
    </row>
    <row r="397" spans="3:10">
      <c r="C397" s="40">
        <v>2.1560000000000001</v>
      </c>
      <c r="D397" s="34">
        <v>112.1</v>
      </c>
      <c r="E397" s="23">
        <v>98.23</v>
      </c>
      <c r="F397" s="23">
        <v>28.14</v>
      </c>
      <c r="G397" s="23">
        <v>538.5</v>
      </c>
      <c r="H397" s="40">
        <v>3.0219999999999998</v>
      </c>
      <c r="I397" s="13">
        <f t="shared" si="6"/>
        <v>3.4907604832977968</v>
      </c>
      <c r="J397" s="48"/>
    </row>
    <row r="398" spans="3:10">
      <c r="C398" s="40">
        <v>2.1070000000000002</v>
      </c>
      <c r="D398" s="34">
        <v>113</v>
      </c>
      <c r="E398" s="23">
        <v>98.59</v>
      </c>
      <c r="F398" s="23">
        <v>25.68</v>
      </c>
      <c r="G398" s="23">
        <v>539.1</v>
      </c>
      <c r="H398" s="40">
        <v>2.9620000000000002</v>
      </c>
      <c r="I398" s="13">
        <f t="shared" si="6"/>
        <v>3.8391744548286608</v>
      </c>
      <c r="J398" s="48"/>
    </row>
    <row r="399" spans="3:10">
      <c r="C399" s="40">
        <v>2.0089999999999999</v>
      </c>
      <c r="D399" s="34">
        <v>106.8</v>
      </c>
      <c r="E399" s="23">
        <v>98.23</v>
      </c>
      <c r="F399" s="23">
        <v>27.01</v>
      </c>
      <c r="G399" s="23">
        <v>537.5</v>
      </c>
      <c r="H399" s="40">
        <v>2.9329999999999998</v>
      </c>
      <c r="I399" s="13">
        <f t="shared" si="6"/>
        <v>3.6368011847463904</v>
      </c>
      <c r="J399" s="48"/>
    </row>
    <row r="400" spans="3:10">
      <c r="C400" s="40">
        <v>2.0870000000000002</v>
      </c>
      <c r="D400" s="34">
        <v>113.4</v>
      </c>
      <c r="E400" s="23">
        <v>99.9</v>
      </c>
      <c r="F400" s="23">
        <v>26.64</v>
      </c>
      <c r="G400" s="23">
        <v>540.6</v>
      </c>
      <c r="H400" s="40">
        <v>2.895</v>
      </c>
      <c r="I400" s="13">
        <f t="shared" si="6"/>
        <v>3.75</v>
      </c>
      <c r="J400" s="48"/>
    </row>
    <row r="401" spans="2:10">
      <c r="C401" s="40">
        <v>2.048</v>
      </c>
      <c r="D401" s="34">
        <v>98.32</v>
      </c>
      <c r="E401" s="23">
        <v>99.41</v>
      </c>
      <c r="F401" s="23">
        <v>26.43</v>
      </c>
      <c r="G401" s="23">
        <v>537.5</v>
      </c>
      <c r="H401" s="40">
        <v>3.024</v>
      </c>
      <c r="I401" s="13">
        <f t="shared" si="6"/>
        <v>3.7612561483163072</v>
      </c>
      <c r="J401" s="48"/>
    </row>
    <row r="402" spans="2:10">
      <c r="B402" s="47">
        <v>21</v>
      </c>
      <c r="C402" s="39">
        <v>3.1789999999999998</v>
      </c>
      <c r="D402" s="37">
        <v>158.80000000000001</v>
      </c>
      <c r="E402" s="38">
        <v>98.07</v>
      </c>
      <c r="F402" s="38">
        <v>36.92</v>
      </c>
      <c r="G402" s="38">
        <v>510.3</v>
      </c>
      <c r="H402" s="39">
        <v>3.3959999999999999</v>
      </c>
      <c r="I402" s="13">
        <f t="shared" si="6"/>
        <v>2.656283856988082</v>
      </c>
      <c r="J402" s="48"/>
    </row>
    <row r="403" spans="2:10">
      <c r="C403" s="40">
        <v>3.1110000000000002</v>
      </c>
      <c r="D403" s="34">
        <v>210.9</v>
      </c>
      <c r="E403" s="23">
        <v>97.63</v>
      </c>
      <c r="F403" s="23">
        <v>36.49</v>
      </c>
      <c r="G403" s="23">
        <v>512.20000000000005</v>
      </c>
      <c r="H403" s="40">
        <v>3.32</v>
      </c>
      <c r="I403" s="13">
        <f t="shared" si="6"/>
        <v>2.6755275417922717</v>
      </c>
      <c r="J403" s="48"/>
    </row>
    <row r="404" spans="2:10">
      <c r="C404" s="40">
        <v>3.0449999999999999</v>
      </c>
      <c r="D404" s="34">
        <v>178</v>
      </c>
      <c r="E404" s="23">
        <v>96.87</v>
      </c>
      <c r="F404" s="23">
        <v>37.19</v>
      </c>
      <c r="G404" s="23">
        <v>509.9</v>
      </c>
      <c r="H404" s="40">
        <v>3.2080000000000002</v>
      </c>
      <c r="I404" s="13">
        <f t="shared" si="6"/>
        <v>2.6047324549610114</v>
      </c>
      <c r="J404" s="48"/>
    </row>
    <row r="405" spans="2:10">
      <c r="C405" s="40">
        <v>3.1160000000000001</v>
      </c>
      <c r="D405" s="34">
        <v>202.9</v>
      </c>
      <c r="E405" s="23">
        <v>98.57</v>
      </c>
      <c r="F405" s="23">
        <v>37.44</v>
      </c>
      <c r="G405" s="23">
        <v>508.6</v>
      </c>
      <c r="H405" s="40">
        <v>3.5550000000000002</v>
      </c>
      <c r="I405" s="13">
        <f t="shared" si="6"/>
        <v>2.6327457264957266</v>
      </c>
      <c r="J405" s="48"/>
    </row>
    <row r="406" spans="2:10">
      <c r="C406" s="40">
        <v>3.1850000000000001</v>
      </c>
      <c r="D406" s="34">
        <v>214</v>
      </c>
      <c r="E406" s="23">
        <v>98.21</v>
      </c>
      <c r="F406" s="23">
        <v>37.96</v>
      </c>
      <c r="G406" s="23">
        <v>506.6</v>
      </c>
      <c r="H406" s="40">
        <v>3.32</v>
      </c>
      <c r="I406" s="13">
        <f t="shared" si="6"/>
        <v>2.5871970495258165</v>
      </c>
      <c r="J406" s="48"/>
    </row>
    <row r="407" spans="2:10">
      <c r="C407" s="40">
        <v>3.2429999999999999</v>
      </c>
      <c r="D407" s="34">
        <v>181.5</v>
      </c>
      <c r="E407" s="23">
        <v>96.96</v>
      </c>
      <c r="F407" s="23">
        <v>38.75</v>
      </c>
      <c r="G407" s="23">
        <v>506.7</v>
      </c>
      <c r="H407" s="40">
        <v>3.456</v>
      </c>
      <c r="I407" s="13">
        <f t="shared" si="6"/>
        <v>2.5021935483870967</v>
      </c>
      <c r="J407" s="48"/>
    </row>
    <row r="408" spans="2:10">
      <c r="C408" s="40">
        <v>3.2490000000000001</v>
      </c>
      <c r="D408" s="34">
        <v>219.2</v>
      </c>
      <c r="E408" s="23">
        <v>97.35</v>
      </c>
      <c r="F408" s="23">
        <v>37.51</v>
      </c>
      <c r="G408" s="23">
        <v>506.9</v>
      </c>
      <c r="H408" s="40">
        <v>3.4860000000000002</v>
      </c>
      <c r="I408" s="13">
        <f t="shared" si="6"/>
        <v>2.595307917888563</v>
      </c>
      <c r="J408" s="48"/>
    </row>
    <row r="409" spans="2:10">
      <c r="C409" s="40">
        <v>3.2349999999999999</v>
      </c>
      <c r="D409" s="34">
        <v>202.9</v>
      </c>
      <c r="E409" s="23">
        <v>98.02</v>
      </c>
      <c r="F409" s="23">
        <v>36.93</v>
      </c>
      <c r="G409" s="23">
        <v>510</v>
      </c>
      <c r="H409" s="40">
        <v>3.76</v>
      </c>
      <c r="I409" s="13">
        <f t="shared" si="6"/>
        <v>2.6542106688329272</v>
      </c>
      <c r="J409" s="48"/>
    </row>
    <row r="410" spans="2:10">
      <c r="C410" s="40">
        <v>3.165</v>
      </c>
      <c r="D410" s="34">
        <v>162.9</v>
      </c>
      <c r="E410" s="23">
        <v>98.45</v>
      </c>
      <c r="F410" s="23">
        <v>37.96</v>
      </c>
      <c r="G410" s="23">
        <v>508.4</v>
      </c>
      <c r="H410" s="40">
        <v>4.07</v>
      </c>
      <c r="I410" s="13">
        <f t="shared" si="6"/>
        <v>2.5935194942044255</v>
      </c>
      <c r="J410" s="48"/>
    </row>
    <row r="411" spans="2:10">
      <c r="C411" s="40">
        <v>3.2349999999999999</v>
      </c>
      <c r="D411" s="34">
        <v>188.2</v>
      </c>
      <c r="E411" s="23">
        <v>99.39</v>
      </c>
      <c r="F411" s="23">
        <v>38.18</v>
      </c>
      <c r="G411" s="23">
        <v>511.7</v>
      </c>
      <c r="H411" s="40">
        <v>4.1100000000000003</v>
      </c>
      <c r="I411" s="13">
        <f t="shared" si="6"/>
        <v>2.6031953902566789</v>
      </c>
      <c r="J411" s="48"/>
    </row>
    <row r="412" spans="2:10">
      <c r="C412" s="40">
        <v>3.2120000000000002</v>
      </c>
      <c r="D412" s="34">
        <v>143.30000000000001</v>
      </c>
      <c r="E412" s="23">
        <v>97.49</v>
      </c>
      <c r="F412" s="23">
        <v>37.99</v>
      </c>
      <c r="G412" s="23">
        <v>511.6</v>
      </c>
      <c r="H412" s="40">
        <v>3.88</v>
      </c>
      <c r="I412" s="13">
        <f t="shared" si="6"/>
        <v>2.5662016320084229</v>
      </c>
      <c r="J412" s="48"/>
    </row>
    <row r="413" spans="2:10">
      <c r="C413" s="40">
        <v>3.1789999999999998</v>
      </c>
      <c r="D413" s="34">
        <v>142.80000000000001</v>
      </c>
      <c r="E413" s="23">
        <v>96.47</v>
      </c>
      <c r="F413" s="23">
        <v>37.26</v>
      </c>
      <c r="G413" s="23">
        <v>513.20000000000005</v>
      </c>
      <c r="H413" s="40">
        <v>3.01</v>
      </c>
      <c r="I413" s="13">
        <f t="shared" si="6"/>
        <v>2.5891035963499731</v>
      </c>
      <c r="J413" s="48"/>
    </row>
    <row r="414" spans="2:10">
      <c r="C414" s="40">
        <v>3.0760000000000001</v>
      </c>
      <c r="D414" s="34">
        <v>178</v>
      </c>
      <c r="E414" s="23">
        <v>98.6</v>
      </c>
      <c r="F414" s="23">
        <v>37.729999999999997</v>
      </c>
      <c r="G414" s="23">
        <v>510.3</v>
      </c>
      <c r="H414" s="40">
        <v>3.2570000000000001</v>
      </c>
      <c r="I414" s="13">
        <f t="shared" si="6"/>
        <v>2.6133050622846543</v>
      </c>
      <c r="J414" s="48"/>
    </row>
    <row r="415" spans="2:10">
      <c r="C415" s="40">
        <v>3.012</v>
      </c>
      <c r="D415" s="34">
        <v>171.3</v>
      </c>
      <c r="E415" s="23">
        <v>98.05</v>
      </c>
      <c r="F415" s="23">
        <v>36.83</v>
      </c>
      <c r="G415" s="23">
        <v>508.2</v>
      </c>
      <c r="H415" s="40">
        <v>3.5209999999999999</v>
      </c>
      <c r="I415" s="13">
        <f t="shared" si="6"/>
        <v>2.6622318761878905</v>
      </c>
      <c r="J415" s="48"/>
    </row>
    <row r="416" spans="2:10">
      <c r="C416" s="40">
        <v>3.0009999999999999</v>
      </c>
      <c r="D416" s="34">
        <v>195.5</v>
      </c>
      <c r="E416" s="23">
        <v>98.75</v>
      </c>
      <c r="F416" s="23">
        <v>37.090000000000003</v>
      </c>
      <c r="G416" s="23">
        <v>508.6</v>
      </c>
      <c r="H416" s="40">
        <v>3.2080000000000002</v>
      </c>
      <c r="I416" s="13">
        <f t="shared" si="6"/>
        <v>2.6624427069290912</v>
      </c>
      <c r="J416" s="48"/>
    </row>
    <row r="417" spans="2:10">
      <c r="C417" s="40">
        <v>3.0539999999999998</v>
      </c>
      <c r="D417" s="34">
        <v>176.3</v>
      </c>
      <c r="E417" s="23">
        <v>97.4</v>
      </c>
      <c r="F417" s="23">
        <v>37.47</v>
      </c>
      <c r="G417" s="23">
        <v>511.5</v>
      </c>
      <c r="H417" s="40">
        <v>2.8239999999999998</v>
      </c>
      <c r="I417" s="13">
        <f t="shared" si="6"/>
        <v>2.5994128636242331</v>
      </c>
      <c r="J417" s="48"/>
    </row>
    <row r="418" spans="2:10">
      <c r="C418" s="40">
        <v>3.0640000000000001</v>
      </c>
      <c r="D418" s="34">
        <v>181.5</v>
      </c>
      <c r="E418" s="23">
        <v>98.1</v>
      </c>
      <c r="F418" s="23">
        <v>37.04</v>
      </c>
      <c r="G418" s="23">
        <v>511.6</v>
      </c>
      <c r="H418" s="40">
        <v>3.399</v>
      </c>
      <c r="I418" s="13">
        <f t="shared" si="6"/>
        <v>2.6484881209503239</v>
      </c>
      <c r="J418" s="48"/>
    </row>
    <row r="419" spans="2:10">
      <c r="C419" s="40">
        <v>3.1429999999999998</v>
      </c>
      <c r="D419" s="34">
        <v>158.80000000000001</v>
      </c>
      <c r="E419" s="23">
        <v>98.35</v>
      </c>
      <c r="F419" s="23">
        <v>37.28</v>
      </c>
      <c r="G419" s="23">
        <v>506.7</v>
      </c>
      <c r="H419" s="40">
        <v>3.6440000000000001</v>
      </c>
      <c r="I419" s="13">
        <f t="shared" si="6"/>
        <v>2.6381437768240339</v>
      </c>
      <c r="J419" s="48"/>
    </row>
    <row r="420" spans="2:10">
      <c r="C420" s="40">
        <v>3.165</v>
      </c>
      <c r="D420" s="34">
        <v>202.9</v>
      </c>
      <c r="E420" s="23">
        <v>98.16</v>
      </c>
      <c r="F420" s="23">
        <v>37.71</v>
      </c>
      <c r="G420" s="23">
        <v>508.4</v>
      </c>
      <c r="H420" s="40">
        <v>3.9</v>
      </c>
      <c r="I420" s="13">
        <f t="shared" si="6"/>
        <v>2.6030230708035003</v>
      </c>
      <c r="J420" s="48"/>
    </row>
    <row r="421" spans="2:10">
      <c r="C421" s="40">
        <v>3.214</v>
      </c>
      <c r="D421" s="34">
        <v>171.3</v>
      </c>
      <c r="E421" s="23">
        <v>99.14</v>
      </c>
      <c r="F421" s="23">
        <v>38.5</v>
      </c>
      <c r="G421" s="23">
        <v>506.7</v>
      </c>
      <c r="H421" s="40">
        <v>3.4049999999999998</v>
      </c>
      <c r="I421" s="13">
        <f t="shared" si="6"/>
        <v>2.5750649350649351</v>
      </c>
      <c r="J421" s="48"/>
    </row>
    <row r="422" spans="2:10">
      <c r="B422" s="47">
        <v>22</v>
      </c>
      <c r="C422" s="39">
        <v>3.141</v>
      </c>
      <c r="D422" s="37">
        <v>131.5</v>
      </c>
      <c r="E422" s="38">
        <v>84.64</v>
      </c>
      <c r="F422" s="38">
        <v>33.15</v>
      </c>
      <c r="G422" s="38">
        <v>442.7</v>
      </c>
      <c r="H422" s="39">
        <v>4.7030000000000003</v>
      </c>
      <c r="I422" s="13">
        <f t="shared" si="6"/>
        <v>2.553242835595777</v>
      </c>
      <c r="J422" s="48"/>
    </row>
    <row r="423" spans="2:10">
      <c r="C423" s="40">
        <v>3.1480000000000001</v>
      </c>
      <c r="D423" s="34">
        <v>103.1</v>
      </c>
      <c r="E423" s="23">
        <v>84.9</v>
      </c>
      <c r="F423" s="23">
        <v>32.24</v>
      </c>
      <c r="G423" s="23">
        <v>465.9</v>
      </c>
      <c r="H423" s="40">
        <v>4.907</v>
      </c>
      <c r="I423" s="13">
        <f t="shared" si="6"/>
        <v>2.6333746898263026</v>
      </c>
      <c r="J423" s="48"/>
    </row>
    <row r="424" spans="2:10">
      <c r="C424" s="40">
        <v>3.0760000000000001</v>
      </c>
      <c r="D424" s="34">
        <v>103.1</v>
      </c>
      <c r="E424" s="23">
        <v>84.78</v>
      </c>
      <c r="F424" s="23">
        <v>29.17</v>
      </c>
      <c r="G424" s="23">
        <v>482.1</v>
      </c>
      <c r="H424" s="40">
        <v>4.9160000000000004</v>
      </c>
      <c r="I424" s="13">
        <f t="shared" si="6"/>
        <v>2.9064106959204663</v>
      </c>
      <c r="J424" s="48"/>
    </row>
    <row r="425" spans="2:10">
      <c r="C425" s="40">
        <v>3.11</v>
      </c>
      <c r="D425" s="34">
        <v>92.8</v>
      </c>
      <c r="E425" s="23">
        <v>84.54</v>
      </c>
      <c r="F425" s="23">
        <v>29.37</v>
      </c>
      <c r="G425" s="23">
        <v>475.4</v>
      </c>
      <c r="H425" s="40">
        <v>4.9260000000000002</v>
      </c>
      <c r="I425" s="13">
        <f t="shared" si="6"/>
        <v>2.8784473953013281</v>
      </c>
      <c r="J425" s="48"/>
    </row>
    <row r="426" spans="2:10">
      <c r="C426" s="40">
        <v>3.129</v>
      </c>
      <c r="D426" s="34">
        <v>92</v>
      </c>
      <c r="E426" s="23">
        <v>83.49</v>
      </c>
      <c r="F426" s="23">
        <v>30.08</v>
      </c>
      <c r="G426" s="23">
        <v>473.8</v>
      </c>
      <c r="H426" s="40">
        <v>4.9580000000000002</v>
      </c>
      <c r="I426" s="13">
        <f t="shared" si="6"/>
        <v>2.775598404255319</v>
      </c>
      <c r="J426" s="48"/>
    </row>
    <row r="427" spans="2:10">
      <c r="C427" s="40">
        <v>2.9620000000000002</v>
      </c>
      <c r="D427" s="34">
        <v>137.9</v>
      </c>
      <c r="E427" s="23">
        <v>84.54</v>
      </c>
      <c r="F427" s="23">
        <v>29.22</v>
      </c>
      <c r="G427" s="23">
        <v>469.6</v>
      </c>
      <c r="H427" s="40">
        <v>5.0049999999999999</v>
      </c>
      <c r="I427" s="13">
        <f t="shared" si="6"/>
        <v>2.8932238193018485</v>
      </c>
      <c r="J427" s="48"/>
    </row>
    <row r="428" spans="2:10">
      <c r="C428" s="40">
        <v>3.02</v>
      </c>
      <c r="D428" s="34">
        <v>92.4</v>
      </c>
      <c r="E428" s="23">
        <v>82.96</v>
      </c>
      <c r="F428" s="23">
        <v>29.77</v>
      </c>
      <c r="G428" s="23">
        <v>467</v>
      </c>
      <c r="H428" s="40">
        <v>5.0789999999999997</v>
      </c>
      <c r="I428" s="13">
        <f t="shared" si="6"/>
        <v>2.7866980181390661</v>
      </c>
      <c r="J428" s="48"/>
    </row>
    <row r="429" spans="2:10">
      <c r="C429" s="40">
        <v>2.9289999999999998</v>
      </c>
      <c r="D429" s="34">
        <v>94.1</v>
      </c>
      <c r="E429" s="23">
        <v>83.53</v>
      </c>
      <c r="F429" s="23">
        <v>30.06</v>
      </c>
      <c r="G429" s="23">
        <v>464</v>
      </c>
      <c r="H429" s="40">
        <v>5.0209999999999999</v>
      </c>
      <c r="I429" s="13">
        <f t="shared" si="6"/>
        <v>2.7787757817697938</v>
      </c>
      <c r="J429" s="48"/>
    </row>
    <row r="430" spans="2:10">
      <c r="C430" s="40">
        <v>2.9169999999999998</v>
      </c>
      <c r="D430" s="34">
        <v>98.4</v>
      </c>
      <c r="E430" s="23">
        <v>84.9</v>
      </c>
      <c r="F430" s="23">
        <v>29.94</v>
      </c>
      <c r="G430" s="23">
        <v>460.2</v>
      </c>
      <c r="H430" s="40">
        <v>5.36</v>
      </c>
      <c r="I430" s="13">
        <f t="shared" si="6"/>
        <v>2.8356713426853708</v>
      </c>
      <c r="J430" s="48"/>
    </row>
    <row r="431" spans="2:10">
      <c r="C431" s="40">
        <v>2.798</v>
      </c>
      <c r="D431" s="34">
        <v>93.7</v>
      </c>
      <c r="E431" s="23">
        <v>84.5</v>
      </c>
      <c r="F431" s="23">
        <v>29.93</v>
      </c>
      <c r="G431" s="23">
        <v>464.3</v>
      </c>
      <c r="H431" s="40">
        <v>5.0359999999999996</v>
      </c>
      <c r="I431" s="13">
        <f t="shared" si="6"/>
        <v>2.8232542599398598</v>
      </c>
      <c r="J431" s="48"/>
    </row>
    <row r="432" spans="2:10">
      <c r="C432" s="40">
        <v>2.7509999999999999</v>
      </c>
      <c r="D432" s="34">
        <v>93.3</v>
      </c>
      <c r="E432" s="23">
        <v>84.87</v>
      </c>
      <c r="F432" s="23">
        <v>30.7</v>
      </c>
      <c r="G432" s="23">
        <v>480</v>
      </c>
      <c r="H432" s="40">
        <v>5.1280000000000001</v>
      </c>
      <c r="I432" s="13">
        <f t="shared" si="6"/>
        <v>2.764495114006515</v>
      </c>
      <c r="J432" s="48"/>
    </row>
    <row r="433" spans="2:10">
      <c r="C433" s="40">
        <v>2.7229999999999999</v>
      </c>
      <c r="D433" s="34">
        <v>95.6</v>
      </c>
      <c r="E433" s="23">
        <v>84.68</v>
      </c>
      <c r="F433" s="23">
        <v>29.21</v>
      </c>
      <c r="G433" s="23">
        <v>482.5</v>
      </c>
      <c r="H433" s="40">
        <v>4.8179999999999996</v>
      </c>
      <c r="I433" s="13">
        <f t="shared" si="6"/>
        <v>2.8990071893187266</v>
      </c>
      <c r="J433" s="48"/>
    </row>
    <row r="434" spans="2:10">
      <c r="C434" s="40">
        <v>2.9750000000000001</v>
      </c>
      <c r="D434" s="34">
        <v>80</v>
      </c>
      <c r="E434" s="23">
        <v>84.74</v>
      </c>
      <c r="F434" s="23">
        <v>29.79</v>
      </c>
      <c r="G434" s="23">
        <v>478.3</v>
      </c>
      <c r="H434" s="40">
        <v>4.9160000000000004</v>
      </c>
      <c r="I434" s="13">
        <f t="shared" si="6"/>
        <v>2.8445787176905002</v>
      </c>
      <c r="J434" s="48"/>
    </row>
    <row r="435" spans="2:10">
      <c r="C435" s="40">
        <v>3.1509999999999998</v>
      </c>
      <c r="D435" s="34">
        <v>78</v>
      </c>
      <c r="E435" s="23">
        <v>83.7</v>
      </c>
      <c r="F435" s="23">
        <v>29.7</v>
      </c>
      <c r="G435" s="23">
        <v>475.4</v>
      </c>
      <c r="H435" s="40">
        <v>4.9409999999999998</v>
      </c>
      <c r="I435" s="13">
        <f t="shared" si="6"/>
        <v>2.8181818181818183</v>
      </c>
      <c r="J435" s="48"/>
    </row>
    <row r="436" spans="2:10">
      <c r="C436" s="40">
        <v>3.1320000000000001</v>
      </c>
      <c r="D436" s="34">
        <v>73.2</v>
      </c>
      <c r="E436" s="23">
        <v>83.21</v>
      </c>
      <c r="F436" s="23">
        <v>30.93</v>
      </c>
      <c r="G436" s="23">
        <v>448.9</v>
      </c>
      <c r="H436" s="40">
        <v>4.9870000000000001</v>
      </c>
      <c r="I436" s="13">
        <f t="shared" si="6"/>
        <v>2.6902683478823146</v>
      </c>
      <c r="J436" s="48"/>
    </row>
    <row r="437" spans="2:10">
      <c r="C437" s="40">
        <v>3.1349999999999998</v>
      </c>
      <c r="D437" s="34">
        <v>84.4</v>
      </c>
      <c r="E437" s="23">
        <v>83.97</v>
      </c>
      <c r="F437" s="23">
        <v>30.47</v>
      </c>
      <c r="G437" s="23">
        <v>459.6</v>
      </c>
      <c r="H437" s="40">
        <v>5.3659999999999997</v>
      </c>
      <c r="I437" s="13">
        <f t="shared" si="6"/>
        <v>2.7558254020347883</v>
      </c>
      <c r="J437" s="48"/>
    </row>
    <row r="438" spans="2:10">
      <c r="C438" s="40">
        <v>3.129</v>
      </c>
      <c r="D438" s="34">
        <v>90.1</v>
      </c>
      <c r="E438" s="23">
        <v>84.03</v>
      </c>
      <c r="F438" s="23">
        <v>28.2</v>
      </c>
      <c r="G438" s="23">
        <v>464.6</v>
      </c>
      <c r="H438" s="40">
        <v>5.0629999999999997</v>
      </c>
      <c r="I438" s="13">
        <f t="shared" si="6"/>
        <v>2.9797872340425533</v>
      </c>
      <c r="J438" s="48"/>
    </row>
    <row r="439" spans="2:10">
      <c r="C439" s="40">
        <v>3.1240000000000001</v>
      </c>
      <c r="D439" s="34">
        <v>92.8</v>
      </c>
      <c r="E439" s="23">
        <v>83.62</v>
      </c>
      <c r="F439" s="23">
        <v>28.64</v>
      </c>
      <c r="G439" s="23">
        <v>482.5</v>
      </c>
      <c r="H439" s="40">
        <v>5.15</v>
      </c>
      <c r="I439" s="13">
        <f t="shared" si="6"/>
        <v>2.9196927374301676</v>
      </c>
      <c r="J439" s="48"/>
    </row>
    <row r="440" spans="2:10">
      <c r="C440" s="40">
        <v>3.0630000000000002</v>
      </c>
      <c r="D440" s="34">
        <v>94.4</v>
      </c>
      <c r="E440" s="23">
        <v>83.53</v>
      </c>
      <c r="F440" s="23">
        <v>28.21</v>
      </c>
      <c r="G440" s="23">
        <v>460.5</v>
      </c>
      <c r="H440" s="40">
        <v>5.415</v>
      </c>
      <c r="I440" s="13">
        <f t="shared" si="6"/>
        <v>2.9610067352002836</v>
      </c>
      <c r="J440" s="48"/>
    </row>
    <row r="441" spans="2:10">
      <c r="C441" s="40">
        <v>3.03</v>
      </c>
      <c r="D441" s="34">
        <v>98.4</v>
      </c>
      <c r="E441" s="23">
        <v>84.42</v>
      </c>
      <c r="F441" s="23">
        <v>26.49</v>
      </c>
      <c r="G441" s="23">
        <v>459.5</v>
      </c>
      <c r="H441" s="40">
        <v>5.04</v>
      </c>
      <c r="I441" s="13">
        <f t="shared" si="6"/>
        <v>3.1868629671574182</v>
      </c>
      <c r="J441" s="48"/>
    </row>
    <row r="442" spans="2:10">
      <c r="B442" s="47">
        <v>23</v>
      </c>
      <c r="C442" s="39">
        <v>2.306</v>
      </c>
      <c r="D442" s="37">
        <v>155.19999999999999</v>
      </c>
      <c r="E442" s="50">
        <v>98.5</v>
      </c>
      <c r="F442" s="50">
        <v>22.65</v>
      </c>
      <c r="G442" s="38">
        <v>522.79999999999995</v>
      </c>
      <c r="H442" s="39">
        <v>3.5680000000000001</v>
      </c>
      <c r="I442" s="13">
        <f t="shared" si="6"/>
        <v>4.3487858719646804</v>
      </c>
      <c r="J442" s="48"/>
    </row>
    <row r="443" spans="2:10">
      <c r="C443" s="40">
        <v>2.387</v>
      </c>
      <c r="D443" s="34">
        <v>149</v>
      </c>
      <c r="E443" s="23">
        <v>99.38</v>
      </c>
      <c r="F443" s="23">
        <v>23.17</v>
      </c>
      <c r="G443" s="23">
        <v>521.20000000000005</v>
      </c>
      <c r="H443" s="40">
        <v>3.94</v>
      </c>
      <c r="I443" s="13">
        <f t="shared" si="6"/>
        <v>4.2891670263271466</v>
      </c>
      <c r="J443" s="48"/>
    </row>
    <row r="444" spans="2:10">
      <c r="C444" s="40">
        <v>2.3780000000000001</v>
      </c>
      <c r="D444" s="34">
        <v>152.4</v>
      </c>
      <c r="E444" s="23">
        <v>98.94</v>
      </c>
      <c r="F444" s="23">
        <v>23.1</v>
      </c>
      <c r="G444" s="23">
        <v>521</v>
      </c>
      <c r="H444" s="40">
        <v>3.8959999999999999</v>
      </c>
      <c r="I444" s="13">
        <f t="shared" si="6"/>
        <v>4.2831168831168824</v>
      </c>
      <c r="J444" s="48"/>
    </row>
    <row r="445" spans="2:10">
      <c r="C445" s="40">
        <v>2.4529999999999998</v>
      </c>
      <c r="D445" s="34">
        <v>128.5</v>
      </c>
      <c r="E445" s="23">
        <v>100.2</v>
      </c>
      <c r="F445" s="23">
        <v>23.28</v>
      </c>
      <c r="G445" s="23">
        <v>518.70000000000005</v>
      </c>
      <c r="H445" s="40">
        <v>3.9820000000000002</v>
      </c>
      <c r="I445" s="13">
        <f t="shared" si="6"/>
        <v>4.304123711340206</v>
      </c>
      <c r="J445" s="48"/>
    </row>
    <row r="446" spans="2:10">
      <c r="C446" s="40">
        <v>2.363</v>
      </c>
      <c r="D446" s="34">
        <v>134.80000000000001</v>
      </c>
      <c r="E446" s="23">
        <v>98.39</v>
      </c>
      <c r="F446" s="23">
        <v>22.93</v>
      </c>
      <c r="G446" s="23">
        <v>515.4</v>
      </c>
      <c r="H446" s="40">
        <v>4.0720000000000001</v>
      </c>
      <c r="I446" s="13">
        <f t="shared" si="6"/>
        <v>4.2908853030963803</v>
      </c>
      <c r="J446" s="48"/>
    </row>
    <row r="447" spans="2:10">
      <c r="C447" s="40">
        <v>2.4849999999999999</v>
      </c>
      <c r="D447" s="34">
        <v>124.6</v>
      </c>
      <c r="E447" s="23">
        <v>98.79</v>
      </c>
      <c r="F447" s="23">
        <v>22.8</v>
      </c>
      <c r="G447" s="23">
        <v>510.8</v>
      </c>
      <c r="H447" s="40">
        <v>3.9870000000000001</v>
      </c>
      <c r="I447" s="13">
        <f t="shared" si="6"/>
        <v>4.3328947368421051</v>
      </c>
      <c r="J447" s="48"/>
    </row>
    <row r="448" spans="2:10">
      <c r="C448" s="40">
        <v>2.452</v>
      </c>
      <c r="D448" s="34">
        <v>122.9</v>
      </c>
      <c r="E448" s="23">
        <v>98.93</v>
      </c>
      <c r="F448" s="23">
        <v>22.93</v>
      </c>
      <c r="G448" s="23">
        <v>512</v>
      </c>
      <c r="H448" s="40">
        <v>3.7440000000000002</v>
      </c>
      <c r="I448" s="13">
        <f t="shared" si="6"/>
        <v>4.3144352376798958</v>
      </c>
      <c r="J448" s="48"/>
    </row>
    <row r="449" spans="2:10">
      <c r="C449" s="40">
        <v>2.4630000000000001</v>
      </c>
      <c r="D449" s="34">
        <v>116.2</v>
      </c>
      <c r="E449" s="23">
        <v>100.1</v>
      </c>
      <c r="F449" s="23">
        <v>23.4</v>
      </c>
      <c r="G449" s="23">
        <v>512.79999999999995</v>
      </c>
      <c r="H449" s="40">
        <v>2.4540000000000002</v>
      </c>
      <c r="I449" s="13">
        <f t="shared" si="6"/>
        <v>4.2777777777777777</v>
      </c>
      <c r="J449" s="48"/>
    </row>
    <row r="450" spans="2:10">
      <c r="C450" s="40">
        <v>2.42</v>
      </c>
      <c r="D450" s="34">
        <v>127.5</v>
      </c>
      <c r="E450" s="23">
        <v>99.64</v>
      </c>
      <c r="F450" s="23">
        <v>22.53</v>
      </c>
      <c r="G450" s="23">
        <v>511.2</v>
      </c>
      <c r="H450" s="40">
        <v>2.4039999999999999</v>
      </c>
      <c r="I450" s="13">
        <f t="shared" si="6"/>
        <v>4.4225477141588989</v>
      </c>
      <c r="J450" s="48"/>
    </row>
    <row r="451" spans="2:10">
      <c r="C451" s="40">
        <v>2.415</v>
      </c>
      <c r="D451" s="34">
        <v>87.7</v>
      </c>
      <c r="E451" s="23">
        <v>99.82</v>
      </c>
      <c r="F451" s="23">
        <v>22.31</v>
      </c>
      <c r="G451" s="23">
        <v>521.20000000000005</v>
      </c>
      <c r="H451" s="40">
        <v>3.9220000000000002</v>
      </c>
      <c r="I451" s="13">
        <f t="shared" ref="I451:I514" si="7">E451/F451</f>
        <v>4.4742268041237114</v>
      </c>
      <c r="J451" s="48"/>
    </row>
    <row r="452" spans="2:10">
      <c r="C452" s="40">
        <v>2.3679999999999999</v>
      </c>
      <c r="D452" s="34">
        <v>109.6</v>
      </c>
      <c r="E452" s="23">
        <v>99.18</v>
      </c>
      <c r="F452" s="23">
        <v>22.22</v>
      </c>
      <c r="G452" s="23">
        <v>525.9</v>
      </c>
      <c r="H452" s="40">
        <v>3.1760000000000002</v>
      </c>
      <c r="I452" s="13">
        <f t="shared" si="7"/>
        <v>4.4635463546354641</v>
      </c>
      <c r="J452" s="48"/>
    </row>
    <row r="453" spans="2:10">
      <c r="C453" s="40">
        <v>2.331</v>
      </c>
      <c r="D453" s="34">
        <v>126.3</v>
      </c>
      <c r="E453" s="23">
        <v>99.32</v>
      </c>
      <c r="F453" s="23">
        <v>23.17</v>
      </c>
      <c r="G453" s="23">
        <v>517.29999999999995</v>
      </c>
      <c r="H453" s="40">
        <v>3.1970000000000001</v>
      </c>
      <c r="I453" s="13">
        <f t="shared" si="7"/>
        <v>4.2865774708675008</v>
      </c>
      <c r="J453" s="48"/>
    </row>
    <row r="454" spans="2:10">
      <c r="C454" s="40">
        <v>2.42</v>
      </c>
      <c r="D454" s="34">
        <v>95.1</v>
      </c>
      <c r="E454" s="23">
        <v>100.5</v>
      </c>
      <c r="F454" s="23">
        <v>23.67</v>
      </c>
      <c r="G454" s="23">
        <v>507.5</v>
      </c>
      <c r="H454" s="40">
        <v>1.2490000000000001</v>
      </c>
      <c r="I454" s="13">
        <f t="shared" si="7"/>
        <v>4.2458808618504431</v>
      </c>
      <c r="J454" s="48"/>
    </row>
    <row r="455" spans="2:10">
      <c r="C455" s="40">
        <v>2.4500000000000002</v>
      </c>
      <c r="D455" s="34">
        <v>95.5</v>
      </c>
      <c r="E455" s="23">
        <v>100.2</v>
      </c>
      <c r="F455" s="23">
        <v>22.46</v>
      </c>
      <c r="G455" s="23">
        <v>508.7</v>
      </c>
      <c r="H455" s="40">
        <v>3.85</v>
      </c>
      <c r="I455" s="13">
        <f t="shared" si="7"/>
        <v>4.4612644701691897</v>
      </c>
      <c r="J455" s="48"/>
    </row>
    <row r="456" spans="2:10">
      <c r="C456" s="40">
        <v>2.38</v>
      </c>
      <c r="D456" s="34">
        <v>114.5</v>
      </c>
      <c r="E456" s="23">
        <v>98.05</v>
      </c>
      <c r="F456" s="23">
        <v>21.6</v>
      </c>
      <c r="G456" s="23">
        <v>508.4</v>
      </c>
      <c r="H456" s="40">
        <v>3.8140000000000001</v>
      </c>
      <c r="I456" s="13">
        <f t="shared" si="7"/>
        <v>4.5393518518518512</v>
      </c>
      <c r="J456" s="48"/>
    </row>
    <row r="457" spans="2:10">
      <c r="C457" s="40">
        <v>2.363</v>
      </c>
      <c r="D457" s="34">
        <v>126.3</v>
      </c>
      <c r="E457" s="23">
        <v>99.5</v>
      </c>
      <c r="F457" s="23">
        <v>21.6</v>
      </c>
      <c r="G457" s="23">
        <v>515.6</v>
      </c>
      <c r="H457" s="40">
        <v>4.3579999999999997</v>
      </c>
      <c r="I457" s="13">
        <f t="shared" si="7"/>
        <v>4.606481481481481</v>
      </c>
      <c r="J457" s="48"/>
    </row>
    <row r="458" spans="2:10">
      <c r="C458" s="40">
        <v>2.2109999999999999</v>
      </c>
      <c r="D458" s="34">
        <v>140</v>
      </c>
      <c r="E458" s="23">
        <v>100.3</v>
      </c>
      <c r="F458" s="23">
        <v>23.55</v>
      </c>
      <c r="G458" s="23">
        <v>519.1</v>
      </c>
      <c r="H458" s="40">
        <v>4.1120000000000001</v>
      </c>
      <c r="I458" s="13">
        <f t="shared" si="7"/>
        <v>4.2590233545647553</v>
      </c>
      <c r="J458" s="48"/>
    </row>
    <row r="459" spans="2:10">
      <c r="C459" s="40">
        <v>2.2509999999999999</v>
      </c>
      <c r="D459" s="34">
        <v>160.30000000000001</v>
      </c>
      <c r="E459" s="23">
        <v>98.74</v>
      </c>
      <c r="F459" s="23">
        <v>23.72</v>
      </c>
      <c r="G459" s="23">
        <v>512.70000000000005</v>
      </c>
      <c r="H459" s="40">
        <v>3.887</v>
      </c>
      <c r="I459" s="13">
        <f t="shared" si="7"/>
        <v>4.162731871838111</v>
      </c>
      <c r="J459" s="48"/>
    </row>
    <row r="460" spans="2:10">
      <c r="C460" s="40">
        <v>2.306</v>
      </c>
      <c r="D460" s="34">
        <v>141.30000000000001</v>
      </c>
      <c r="E460" s="23">
        <v>99.04</v>
      </c>
      <c r="F460" s="23">
        <v>21.85</v>
      </c>
      <c r="G460" s="23">
        <v>508.1</v>
      </c>
      <c r="H460" s="40">
        <v>4.42</v>
      </c>
      <c r="I460" s="13">
        <f t="shared" si="7"/>
        <v>4.5327231121281466</v>
      </c>
      <c r="J460" s="48"/>
    </row>
    <row r="461" spans="2:10">
      <c r="C461" s="40">
        <v>2.206</v>
      </c>
      <c r="D461" s="34">
        <v>124.6</v>
      </c>
      <c r="E461" s="23">
        <v>99.29</v>
      </c>
      <c r="F461" s="23">
        <v>22.65</v>
      </c>
      <c r="G461" s="23">
        <v>512</v>
      </c>
      <c r="H461" s="40">
        <v>3.85</v>
      </c>
      <c r="I461" s="13">
        <f t="shared" si="7"/>
        <v>4.3836644591611487</v>
      </c>
      <c r="J461" s="48"/>
    </row>
    <row r="462" spans="2:10">
      <c r="B462" s="47">
        <v>24</v>
      </c>
      <c r="C462" s="51">
        <v>2.9140000000000001</v>
      </c>
      <c r="D462" s="37">
        <v>136.9</v>
      </c>
      <c r="E462" s="50">
        <v>70.33</v>
      </c>
      <c r="F462" s="50">
        <v>27.41</v>
      </c>
      <c r="G462" s="50">
        <v>489.3</v>
      </c>
      <c r="H462" s="51">
        <v>4.2220000000000004</v>
      </c>
      <c r="I462" s="13">
        <f t="shared" si="7"/>
        <v>2.5658518788763223</v>
      </c>
      <c r="J462" s="20"/>
    </row>
    <row r="463" spans="2:10">
      <c r="C463" s="40">
        <v>2.9260000000000002</v>
      </c>
      <c r="D463" s="34">
        <v>125.5</v>
      </c>
      <c r="E463" s="23">
        <v>71.67</v>
      </c>
      <c r="F463" s="23">
        <v>27.72</v>
      </c>
      <c r="G463" s="23">
        <v>494.8</v>
      </c>
      <c r="H463" s="40">
        <v>4.0199999999999996</v>
      </c>
      <c r="I463" s="13">
        <f t="shared" si="7"/>
        <v>2.5854978354978355</v>
      </c>
      <c r="J463" s="48"/>
    </row>
    <row r="464" spans="2:10">
      <c r="C464" s="40">
        <v>2.8860000000000001</v>
      </c>
      <c r="D464" s="34">
        <v>179.2</v>
      </c>
      <c r="E464" s="23">
        <v>69.97</v>
      </c>
      <c r="F464" s="23">
        <v>27.03</v>
      </c>
      <c r="G464" s="23">
        <v>493.7</v>
      </c>
      <c r="H464" s="40">
        <v>4.048</v>
      </c>
      <c r="I464" s="13">
        <f t="shared" si="7"/>
        <v>2.5886052534221236</v>
      </c>
      <c r="J464" s="48"/>
    </row>
    <row r="465" spans="3:10">
      <c r="C465" s="40">
        <v>2.8889999999999998</v>
      </c>
      <c r="D465" s="34">
        <v>166.6</v>
      </c>
      <c r="E465" s="23">
        <v>69.540000000000006</v>
      </c>
      <c r="F465" s="23">
        <v>26.72</v>
      </c>
      <c r="G465" s="23">
        <v>486.7</v>
      </c>
      <c r="H465" s="40">
        <v>4.21</v>
      </c>
      <c r="I465" s="13">
        <f t="shared" si="7"/>
        <v>2.602544910179641</v>
      </c>
      <c r="J465" s="48"/>
    </row>
    <row r="466" spans="3:10">
      <c r="C466" s="40">
        <v>2.8849999999999998</v>
      </c>
      <c r="D466" s="34">
        <v>163.69999999999999</v>
      </c>
      <c r="E466" s="23">
        <v>69.209999999999994</v>
      </c>
      <c r="F466" s="23">
        <v>26.05</v>
      </c>
      <c r="G466" s="23">
        <v>491</v>
      </c>
      <c r="H466" s="40">
        <v>4.2060000000000004</v>
      </c>
      <c r="I466" s="13">
        <f t="shared" si="7"/>
        <v>2.6568138195777347</v>
      </c>
      <c r="J466" s="48"/>
    </row>
    <row r="467" spans="3:10">
      <c r="C467" s="40">
        <v>2.871</v>
      </c>
      <c r="D467" s="34">
        <v>148.9</v>
      </c>
      <c r="E467" s="23">
        <v>69.819999999999993</v>
      </c>
      <c r="F467" s="23">
        <v>26.5</v>
      </c>
      <c r="G467" s="23">
        <v>483.9</v>
      </c>
      <c r="H467" s="40">
        <v>4.4610000000000003</v>
      </c>
      <c r="I467" s="13">
        <f t="shared" si="7"/>
        <v>2.6347169811320752</v>
      </c>
      <c r="J467" s="48"/>
    </row>
    <row r="468" spans="3:10">
      <c r="C468" s="40">
        <v>2.8290000000000002</v>
      </c>
      <c r="D468" s="34">
        <v>140.69999999999999</v>
      </c>
      <c r="E468" s="23">
        <v>69.56</v>
      </c>
      <c r="F468" s="23">
        <v>27.17</v>
      </c>
      <c r="G468" s="23">
        <v>477.2</v>
      </c>
      <c r="H468" s="40">
        <v>4.194</v>
      </c>
      <c r="I468" s="13">
        <f t="shared" si="7"/>
        <v>2.5601766654398235</v>
      </c>
      <c r="J468" s="48"/>
    </row>
    <row r="469" spans="3:10">
      <c r="C469" s="40">
        <v>2.8559999999999999</v>
      </c>
      <c r="D469" s="34">
        <v>116.6</v>
      </c>
      <c r="E469" s="23">
        <v>69.62</v>
      </c>
      <c r="F469" s="23">
        <v>26.41</v>
      </c>
      <c r="G469" s="23">
        <v>473.3</v>
      </c>
      <c r="H469" s="40">
        <v>4.5940000000000003</v>
      </c>
      <c r="I469" s="13">
        <f t="shared" si="7"/>
        <v>2.6361226808027265</v>
      </c>
      <c r="J469" s="48"/>
    </row>
    <row r="470" spans="3:10">
      <c r="C470" s="40">
        <v>2.9830000000000001</v>
      </c>
      <c r="D470" s="34">
        <v>125.5</v>
      </c>
      <c r="E470" s="23">
        <v>70.73</v>
      </c>
      <c r="F470" s="23">
        <v>26.36</v>
      </c>
      <c r="G470" s="23">
        <v>476.9</v>
      </c>
      <c r="H470" s="40">
        <v>4.5190000000000001</v>
      </c>
      <c r="I470" s="13">
        <f t="shared" si="7"/>
        <v>2.6832321699544766</v>
      </c>
      <c r="J470" s="20"/>
    </row>
    <row r="471" spans="3:10">
      <c r="C471" s="40">
        <v>2.9340000000000002</v>
      </c>
      <c r="D471" s="34">
        <v>127.5</v>
      </c>
      <c r="E471" s="23">
        <v>70.84</v>
      </c>
      <c r="F471" s="23">
        <v>27.54</v>
      </c>
      <c r="G471" s="23">
        <v>474.7</v>
      </c>
      <c r="H471" s="40">
        <v>4.41</v>
      </c>
      <c r="I471" s="13">
        <f t="shared" si="7"/>
        <v>2.5722585330428469</v>
      </c>
      <c r="J471" s="20"/>
    </row>
    <row r="472" spans="3:10">
      <c r="C472" s="40">
        <v>2.86</v>
      </c>
      <c r="D472" s="34">
        <v>140.69999999999999</v>
      </c>
      <c r="E472" s="23">
        <v>69.62</v>
      </c>
      <c r="F472" s="23">
        <v>27.35</v>
      </c>
      <c r="G472" s="23">
        <v>476.4</v>
      </c>
      <c r="H472" s="40">
        <v>4.5439999999999996</v>
      </c>
      <c r="I472" s="13">
        <f t="shared" si="7"/>
        <v>2.5455210237659962</v>
      </c>
      <c r="J472" s="20"/>
    </row>
    <row r="473" spans="3:10">
      <c r="C473" s="40">
        <v>2.81</v>
      </c>
      <c r="D473" s="34">
        <v>134.69999999999999</v>
      </c>
      <c r="E473" s="23">
        <v>70.06</v>
      </c>
      <c r="F473" s="23">
        <v>27.17</v>
      </c>
      <c r="G473" s="23">
        <v>468</v>
      </c>
      <c r="H473" s="40">
        <v>4.742</v>
      </c>
      <c r="I473" s="13">
        <f t="shared" si="7"/>
        <v>2.5785793154214205</v>
      </c>
      <c r="J473" s="20"/>
    </row>
    <row r="474" spans="3:10">
      <c r="C474" s="40">
        <v>2.7789999999999999</v>
      </c>
      <c r="D474" s="34">
        <v>131.69999999999999</v>
      </c>
      <c r="E474" s="23">
        <v>70.05</v>
      </c>
      <c r="F474" s="23">
        <v>26.69</v>
      </c>
      <c r="G474" s="23">
        <v>476.9</v>
      </c>
      <c r="H474" s="40">
        <v>4.5350000000000001</v>
      </c>
      <c r="I474" s="13">
        <f t="shared" si="7"/>
        <v>2.6245784938179093</v>
      </c>
      <c r="J474" s="20"/>
    </row>
    <row r="475" spans="3:10">
      <c r="C475" s="40">
        <v>2.8069999999999999</v>
      </c>
      <c r="D475" s="34">
        <v>130.19999999999999</v>
      </c>
      <c r="E475" s="23">
        <v>68.67</v>
      </c>
      <c r="F475" s="23">
        <v>27.02</v>
      </c>
      <c r="G475" s="23">
        <v>477.2</v>
      </c>
      <c r="H475" s="40">
        <v>4.0519999999999996</v>
      </c>
      <c r="I475" s="13">
        <f t="shared" si="7"/>
        <v>2.5414507772020727</v>
      </c>
      <c r="J475" s="20"/>
    </row>
    <row r="476" spans="3:10">
      <c r="C476" s="40">
        <v>2.823</v>
      </c>
      <c r="D476" s="34">
        <v>148.9</v>
      </c>
      <c r="E476" s="23">
        <v>70</v>
      </c>
      <c r="F476" s="23">
        <v>26.65</v>
      </c>
      <c r="G476" s="23">
        <v>479.6</v>
      </c>
      <c r="H476" s="40">
        <v>4.0940000000000003</v>
      </c>
      <c r="I476" s="13">
        <f t="shared" si="7"/>
        <v>2.6266416510318953</v>
      </c>
      <c r="J476" s="48"/>
    </row>
    <row r="477" spans="3:10">
      <c r="C477" s="40">
        <v>2.8889999999999998</v>
      </c>
      <c r="D477" s="34">
        <v>127.5</v>
      </c>
      <c r="E477" s="23">
        <v>68.349999999999994</v>
      </c>
      <c r="F477" s="23">
        <v>26.27</v>
      </c>
      <c r="G477" s="23">
        <v>483.9</v>
      </c>
      <c r="H477" s="40">
        <v>4.4359999999999999</v>
      </c>
      <c r="I477" s="13">
        <f t="shared" si="7"/>
        <v>2.6018271792919681</v>
      </c>
      <c r="J477" s="20"/>
    </row>
    <row r="478" spans="3:10">
      <c r="C478" s="40">
        <v>2.8279999999999998</v>
      </c>
      <c r="D478" s="34">
        <v>167.8</v>
      </c>
      <c r="E478" s="23">
        <v>68.69</v>
      </c>
      <c r="F478" s="23">
        <v>27.07</v>
      </c>
      <c r="G478" s="23">
        <v>484.3</v>
      </c>
      <c r="H478" s="40">
        <v>4.3369999999999997</v>
      </c>
      <c r="I478" s="13">
        <f t="shared" si="7"/>
        <v>2.5374953823420761</v>
      </c>
      <c r="J478" s="48"/>
    </row>
    <row r="479" spans="3:10">
      <c r="C479" s="40">
        <v>2.79</v>
      </c>
      <c r="D479" s="34">
        <v>166</v>
      </c>
      <c r="E479" s="23">
        <v>69</v>
      </c>
      <c r="F479" s="23">
        <v>27.43</v>
      </c>
      <c r="G479" s="23">
        <v>476</v>
      </c>
      <c r="H479" s="40">
        <v>4.4359999999999999</v>
      </c>
      <c r="I479" s="13">
        <f t="shared" si="7"/>
        <v>2.5154939846882973</v>
      </c>
      <c r="J479" s="20"/>
    </row>
    <row r="480" spans="3:10">
      <c r="C480" s="40">
        <v>2.911</v>
      </c>
      <c r="D480" s="34">
        <v>114.7</v>
      </c>
      <c r="E480" s="23">
        <v>70.67</v>
      </c>
      <c r="F480" s="23">
        <v>26.5</v>
      </c>
      <c r="G480" s="23">
        <v>469.5</v>
      </c>
      <c r="H480" s="40">
        <v>4.569</v>
      </c>
      <c r="I480" s="13">
        <f t="shared" si="7"/>
        <v>2.666792452830189</v>
      </c>
      <c r="J480" s="20"/>
    </row>
    <row r="481" spans="2:10">
      <c r="C481" s="40">
        <v>2.819</v>
      </c>
      <c r="D481" s="34">
        <v>129.5</v>
      </c>
      <c r="E481" s="23">
        <v>70.34</v>
      </c>
      <c r="F481" s="23">
        <v>25.51</v>
      </c>
      <c r="G481" s="23">
        <v>469.5</v>
      </c>
      <c r="H481" s="40">
        <v>4.6020000000000003</v>
      </c>
      <c r="I481" s="13">
        <f t="shared" si="7"/>
        <v>2.7573500588004705</v>
      </c>
      <c r="J481" s="48"/>
    </row>
    <row r="482" spans="2:10">
      <c r="B482" s="47">
        <v>25</v>
      </c>
      <c r="C482" s="51">
        <v>2.2200000000000002</v>
      </c>
      <c r="D482" s="37">
        <v>158.1</v>
      </c>
      <c r="E482" s="50">
        <v>91.2</v>
      </c>
      <c r="F482" s="50">
        <v>19.36</v>
      </c>
      <c r="G482" s="50">
        <v>514.5</v>
      </c>
      <c r="H482" s="51">
        <v>1.647</v>
      </c>
      <c r="I482" s="13">
        <f t="shared" si="7"/>
        <v>4.7107438016528924</v>
      </c>
      <c r="J482" s="48"/>
    </row>
    <row r="483" spans="2:10">
      <c r="C483" s="40">
        <v>2.1789999999999998</v>
      </c>
      <c r="D483" s="34">
        <v>163.19999999999999</v>
      </c>
      <c r="E483" s="23">
        <v>91.3</v>
      </c>
      <c r="F483" s="23">
        <v>20.62</v>
      </c>
      <c r="G483" s="23">
        <v>514.9</v>
      </c>
      <c r="H483" s="40">
        <v>1.2689999999999999</v>
      </c>
      <c r="I483" s="13">
        <f t="shared" si="7"/>
        <v>4.4277400581959263</v>
      </c>
      <c r="J483" s="48"/>
    </row>
    <row r="484" spans="2:10">
      <c r="C484" s="40">
        <v>2.133</v>
      </c>
      <c r="D484" s="34">
        <v>163.6</v>
      </c>
      <c r="E484" s="23">
        <v>90.71</v>
      </c>
      <c r="F484" s="23">
        <v>21.92</v>
      </c>
      <c r="G484" s="23">
        <v>515</v>
      </c>
      <c r="H484" s="40">
        <v>1.3029999999999999</v>
      </c>
      <c r="I484" s="13">
        <f t="shared" si="7"/>
        <v>4.1382299270072984</v>
      </c>
      <c r="J484" s="48"/>
    </row>
    <row r="485" spans="2:10">
      <c r="C485" s="40">
        <v>2.2000000000000002</v>
      </c>
      <c r="D485" s="34">
        <v>161.5</v>
      </c>
      <c r="E485" s="23">
        <v>90.27</v>
      </c>
      <c r="F485" s="23">
        <v>21.14</v>
      </c>
      <c r="G485" s="23">
        <v>514.1</v>
      </c>
      <c r="H485" s="40">
        <v>1.3009999999999999</v>
      </c>
      <c r="I485" s="13">
        <f t="shared" si="7"/>
        <v>4.2701040681173126</v>
      </c>
      <c r="J485" s="48"/>
    </row>
    <row r="486" spans="2:10">
      <c r="C486" s="40">
        <v>2.2269999999999999</v>
      </c>
      <c r="D486" s="34">
        <v>154.80000000000001</v>
      </c>
      <c r="E486" s="23">
        <v>90.84</v>
      </c>
      <c r="F486" s="23">
        <v>21.13</v>
      </c>
      <c r="G486" s="23">
        <v>510.3</v>
      </c>
      <c r="H486" s="40">
        <v>1.5289999999999999</v>
      </c>
      <c r="I486" s="13">
        <f t="shared" si="7"/>
        <v>4.2991008045433041</v>
      </c>
      <c r="J486" s="48"/>
    </row>
    <row r="487" spans="2:10">
      <c r="C487" s="40">
        <v>2.2120000000000002</v>
      </c>
      <c r="D487" s="34">
        <v>158.1</v>
      </c>
      <c r="E487" s="23">
        <v>90.95</v>
      </c>
      <c r="F487" s="23">
        <v>20.63</v>
      </c>
      <c r="G487" s="23">
        <v>509.2</v>
      </c>
      <c r="H487" s="40">
        <v>1.3109999999999999</v>
      </c>
      <c r="I487" s="13">
        <f t="shared" si="7"/>
        <v>4.4086282113427053</v>
      </c>
      <c r="J487" s="48"/>
    </row>
    <row r="488" spans="2:10">
      <c r="C488" s="40">
        <v>2.109</v>
      </c>
      <c r="D488" s="34">
        <v>154.9</v>
      </c>
      <c r="E488" s="23">
        <v>89.9</v>
      </c>
      <c r="F488" s="23">
        <v>19.89</v>
      </c>
      <c r="G488" s="23">
        <v>510.1</v>
      </c>
      <c r="H488" s="40">
        <v>1.4059999999999999</v>
      </c>
      <c r="I488" s="13">
        <f t="shared" si="7"/>
        <v>4.5198592257415786</v>
      </c>
      <c r="J488" s="48"/>
    </row>
    <row r="489" spans="2:10">
      <c r="C489" s="40">
        <v>2.101</v>
      </c>
      <c r="D489" s="34">
        <v>167.9</v>
      </c>
      <c r="E489" s="23">
        <v>89.97</v>
      </c>
      <c r="F489" s="23">
        <v>19.59</v>
      </c>
      <c r="G489" s="23">
        <v>513.29999999999995</v>
      </c>
      <c r="H489" s="40">
        <v>1.6120000000000001</v>
      </c>
      <c r="I489" s="13">
        <f t="shared" si="7"/>
        <v>4.5926493108728943</v>
      </c>
      <c r="J489" s="48"/>
    </row>
    <row r="490" spans="2:10">
      <c r="C490" s="40">
        <v>2.2789999999999999</v>
      </c>
      <c r="D490" s="34">
        <v>159.30000000000001</v>
      </c>
      <c r="E490" s="23">
        <v>91.12</v>
      </c>
      <c r="F490" s="23">
        <v>21.1</v>
      </c>
      <c r="G490" s="23">
        <v>513.4</v>
      </c>
      <c r="H490" s="40">
        <v>1.2669999999999999</v>
      </c>
      <c r="I490" s="13">
        <f t="shared" si="7"/>
        <v>4.3184834123222746</v>
      </c>
      <c r="J490" s="48"/>
    </row>
    <row r="491" spans="2:10">
      <c r="C491" s="40">
        <v>2.2290000000000001</v>
      </c>
      <c r="D491" s="34">
        <v>149.80000000000001</v>
      </c>
      <c r="E491" s="23">
        <v>90.73</v>
      </c>
      <c r="F491" s="23">
        <v>20.14</v>
      </c>
      <c r="G491" s="23">
        <v>510.1</v>
      </c>
      <c r="H491" s="40">
        <v>1.3160000000000001</v>
      </c>
      <c r="I491" s="13">
        <f t="shared" si="7"/>
        <v>4.5049652432969216</v>
      </c>
      <c r="J491" s="48"/>
    </row>
    <row r="492" spans="2:10">
      <c r="C492" s="40">
        <v>2.2120000000000002</v>
      </c>
      <c r="D492" s="34">
        <v>155.9</v>
      </c>
      <c r="E492" s="23">
        <v>91.23</v>
      </c>
      <c r="F492" s="23">
        <v>20.23</v>
      </c>
      <c r="G492" s="23">
        <v>509.5</v>
      </c>
      <c r="H492" s="40">
        <v>1.5089999999999999</v>
      </c>
      <c r="I492" s="13">
        <f t="shared" si="7"/>
        <v>4.5096391497775583</v>
      </c>
      <c r="J492" s="48"/>
    </row>
    <row r="493" spans="2:10">
      <c r="C493" s="40">
        <v>2.1150000000000002</v>
      </c>
      <c r="D493" s="34">
        <v>158.1</v>
      </c>
      <c r="E493" s="23">
        <v>90.83</v>
      </c>
      <c r="F493" s="23">
        <v>19.93</v>
      </c>
      <c r="G493" s="23">
        <v>509.9</v>
      </c>
      <c r="H493" s="40">
        <v>1.4390000000000001</v>
      </c>
      <c r="I493" s="13">
        <f t="shared" si="7"/>
        <v>4.5574510787757152</v>
      </c>
      <c r="J493" s="48"/>
    </row>
    <row r="494" spans="2:10">
      <c r="C494" s="40">
        <v>2.0299999999999998</v>
      </c>
      <c r="D494" s="34">
        <v>163.19999999999999</v>
      </c>
      <c r="E494" s="23">
        <v>91.2</v>
      </c>
      <c r="F494" s="23">
        <v>19.600000000000001</v>
      </c>
      <c r="G494" s="23">
        <v>513.79999999999995</v>
      </c>
      <c r="H494" s="40">
        <v>1.393</v>
      </c>
      <c r="I494" s="13">
        <f t="shared" si="7"/>
        <v>4.6530612244897958</v>
      </c>
      <c r="J494" s="48"/>
    </row>
    <row r="495" spans="2:10">
      <c r="C495" s="40">
        <v>2.1150000000000002</v>
      </c>
      <c r="D495" s="34">
        <v>161.5</v>
      </c>
      <c r="E495" s="23">
        <v>90.26</v>
      </c>
      <c r="F495" s="23">
        <v>19.850000000000001</v>
      </c>
      <c r="G495" s="23">
        <v>515.29999999999995</v>
      </c>
      <c r="H495" s="40">
        <v>1.2929999999999999</v>
      </c>
      <c r="I495" s="13">
        <f t="shared" si="7"/>
        <v>4.5471032745591939</v>
      </c>
      <c r="J495" s="48"/>
    </row>
    <row r="496" spans="2:10">
      <c r="C496" s="40">
        <v>2.2120000000000002</v>
      </c>
      <c r="D496" s="34">
        <v>169.7</v>
      </c>
      <c r="E496" s="23">
        <v>91.34</v>
      </c>
      <c r="F496" s="23">
        <v>20.88</v>
      </c>
      <c r="G496" s="23">
        <v>514.6</v>
      </c>
      <c r="H496" s="40">
        <v>1.349</v>
      </c>
      <c r="I496" s="13">
        <f t="shared" si="7"/>
        <v>4.3745210727969353</v>
      </c>
      <c r="J496" s="48"/>
    </row>
    <row r="497" spans="2:10">
      <c r="C497" s="40">
        <v>2.2789999999999999</v>
      </c>
      <c r="D497" s="34">
        <v>178</v>
      </c>
      <c r="E497" s="23">
        <v>90.91</v>
      </c>
      <c r="F497" s="23">
        <v>20.100000000000001</v>
      </c>
      <c r="G497" s="23">
        <v>512.6</v>
      </c>
      <c r="H497" s="40">
        <v>1.4239999999999999</v>
      </c>
      <c r="I497" s="13">
        <f t="shared" si="7"/>
        <v>4.5228855721393026</v>
      </c>
      <c r="J497" s="48"/>
    </row>
    <row r="498" spans="2:10">
      <c r="C498" s="40">
        <v>2.1379999999999999</v>
      </c>
      <c r="D498" s="34">
        <v>171.7</v>
      </c>
      <c r="E498" s="23">
        <v>90.83</v>
      </c>
      <c r="F498" s="23">
        <v>21.46</v>
      </c>
      <c r="G498" s="23">
        <v>517.1</v>
      </c>
      <c r="H498" s="40">
        <v>1.514</v>
      </c>
      <c r="I498" s="13">
        <f t="shared" si="7"/>
        <v>4.2325256290773527</v>
      </c>
      <c r="J498" s="48"/>
    </row>
    <row r="499" spans="2:10">
      <c r="C499" s="40">
        <v>2.2759999999999998</v>
      </c>
      <c r="D499" s="34">
        <v>170</v>
      </c>
      <c r="E499" s="23">
        <v>90.65</v>
      </c>
      <c r="F499" s="23">
        <v>19.63</v>
      </c>
      <c r="G499" s="23">
        <v>516.79999999999995</v>
      </c>
      <c r="H499" s="40">
        <v>1.6910000000000001</v>
      </c>
      <c r="I499" s="13">
        <f t="shared" si="7"/>
        <v>4.6179317371370354</v>
      </c>
      <c r="J499" s="48"/>
    </row>
    <row r="500" spans="2:10">
      <c r="C500" s="40">
        <v>2.2269999999999999</v>
      </c>
      <c r="D500" s="34">
        <v>170.5</v>
      </c>
      <c r="E500" s="23">
        <v>91.62</v>
      </c>
      <c r="F500" s="23">
        <v>19.87</v>
      </c>
      <c r="G500" s="23">
        <v>515.1</v>
      </c>
      <c r="H500" s="40">
        <v>1.534</v>
      </c>
      <c r="I500" s="13">
        <f t="shared" si="7"/>
        <v>4.6109713135379966</v>
      </c>
      <c r="J500" s="48"/>
    </row>
    <row r="501" spans="2:10">
      <c r="C501" s="40">
        <v>2.133</v>
      </c>
      <c r="D501" s="34">
        <v>172</v>
      </c>
      <c r="E501" s="23">
        <v>91.21</v>
      </c>
      <c r="F501" s="23">
        <v>19.899999999999999</v>
      </c>
      <c r="G501" s="23">
        <v>520.20000000000005</v>
      </c>
      <c r="H501" s="40">
        <v>1.4239999999999999</v>
      </c>
      <c r="I501" s="13">
        <f t="shared" si="7"/>
        <v>4.5834170854271354</v>
      </c>
      <c r="J501" s="48"/>
    </row>
    <row r="502" spans="2:10">
      <c r="B502" s="47">
        <v>26</v>
      </c>
      <c r="C502" s="51">
        <v>2.67</v>
      </c>
      <c r="D502" s="37">
        <v>161.30000000000001</v>
      </c>
      <c r="E502" s="50">
        <v>111.1</v>
      </c>
      <c r="F502" s="50">
        <v>29.34</v>
      </c>
      <c r="G502" s="50">
        <v>532.5</v>
      </c>
      <c r="H502" s="51">
        <v>2.875</v>
      </c>
      <c r="I502" s="13">
        <f t="shared" si="7"/>
        <v>3.7866394001363326</v>
      </c>
      <c r="J502" s="48"/>
    </row>
    <row r="503" spans="2:10">
      <c r="C503" s="40">
        <v>2.8780000000000001</v>
      </c>
      <c r="D503" s="34">
        <v>156.9</v>
      </c>
      <c r="E503" s="23">
        <v>111</v>
      </c>
      <c r="F503" s="23">
        <v>29.22</v>
      </c>
      <c r="G503" s="23">
        <v>534.1</v>
      </c>
      <c r="H503" s="40">
        <v>3.7069999999999999</v>
      </c>
      <c r="I503" s="13">
        <f t="shared" si="7"/>
        <v>3.7987679671457908</v>
      </c>
      <c r="J503" s="48"/>
    </row>
    <row r="504" spans="2:10">
      <c r="C504" s="40">
        <v>2.7509999999999999</v>
      </c>
      <c r="D504" s="34">
        <v>192.1</v>
      </c>
      <c r="E504" s="23">
        <v>109.7</v>
      </c>
      <c r="F504" s="23">
        <v>29.37</v>
      </c>
      <c r="G504" s="23">
        <v>538.6</v>
      </c>
      <c r="H504" s="40">
        <v>2.827</v>
      </c>
      <c r="I504" s="13">
        <f t="shared" si="7"/>
        <v>3.7351038474633982</v>
      </c>
      <c r="J504" s="48"/>
    </row>
    <row r="505" spans="2:10">
      <c r="C505" s="40">
        <v>2.698</v>
      </c>
      <c r="D505" s="34">
        <v>144.19999999999999</v>
      </c>
      <c r="E505" s="23">
        <v>108.6</v>
      </c>
      <c r="F505" s="23">
        <v>31.1</v>
      </c>
      <c r="G505" s="23">
        <v>536.9</v>
      </c>
      <c r="H505" s="40">
        <v>2.9689999999999999</v>
      </c>
      <c r="I505" s="13">
        <f t="shared" si="7"/>
        <v>3.4919614147909965</v>
      </c>
      <c r="J505" s="48"/>
    </row>
    <row r="506" spans="2:10">
      <c r="C506" s="40">
        <v>2.6859999999999999</v>
      </c>
      <c r="D506" s="34">
        <v>146.6</v>
      </c>
      <c r="E506" s="23">
        <v>112.1</v>
      </c>
      <c r="F506" s="23">
        <v>31.03</v>
      </c>
      <c r="G506" s="23">
        <v>535.9</v>
      </c>
      <c r="H506" s="40">
        <v>2.6720000000000002</v>
      </c>
      <c r="I506" s="13">
        <f t="shared" si="7"/>
        <v>3.6126329358685139</v>
      </c>
      <c r="J506" s="48"/>
    </row>
    <row r="507" spans="2:10">
      <c r="C507" s="40">
        <v>2.577</v>
      </c>
      <c r="D507" s="34">
        <v>149.69999999999999</v>
      </c>
      <c r="E507" s="23">
        <v>110.8</v>
      </c>
      <c r="F507" s="23">
        <v>29.17</v>
      </c>
      <c r="G507" s="23">
        <v>534.4</v>
      </c>
      <c r="H507" s="40">
        <v>2.6269999999999998</v>
      </c>
      <c r="I507" s="13">
        <f t="shared" si="7"/>
        <v>3.7984230373671579</v>
      </c>
      <c r="J507" s="48"/>
    </row>
    <row r="508" spans="2:10">
      <c r="C508" s="40">
        <v>2.4980000000000002</v>
      </c>
      <c r="D508" s="34">
        <v>168.3</v>
      </c>
      <c r="E508" s="23">
        <v>111</v>
      </c>
      <c r="F508" s="23">
        <v>30.14</v>
      </c>
      <c r="G508" s="23">
        <v>536.6</v>
      </c>
      <c r="H508" s="40">
        <v>3.2629999999999999</v>
      </c>
      <c r="I508" s="13">
        <f t="shared" si="7"/>
        <v>3.6828135368281352</v>
      </c>
      <c r="J508" s="48"/>
    </row>
    <row r="509" spans="2:10">
      <c r="C509" s="40">
        <v>2.3660000000000001</v>
      </c>
      <c r="D509" s="34">
        <v>155.69999999999999</v>
      </c>
      <c r="E509" s="23">
        <v>111.5</v>
      </c>
      <c r="F509" s="23">
        <v>30.11</v>
      </c>
      <c r="G509" s="23">
        <v>543.9</v>
      </c>
      <c r="H509" s="40">
        <v>3.012</v>
      </c>
      <c r="I509" s="13">
        <f t="shared" si="7"/>
        <v>3.7030886748588507</v>
      </c>
      <c r="J509" s="48"/>
    </row>
    <row r="510" spans="2:10">
      <c r="C510" s="40">
        <v>2.5409999999999999</v>
      </c>
      <c r="D510" s="34">
        <v>189.5</v>
      </c>
      <c r="E510" s="23">
        <v>109.4</v>
      </c>
      <c r="F510" s="23">
        <v>29.49</v>
      </c>
      <c r="G510" s="23">
        <v>543.20000000000005</v>
      </c>
      <c r="H510" s="40">
        <v>2.6629999999999998</v>
      </c>
      <c r="I510" s="13">
        <f t="shared" si="7"/>
        <v>3.7097321125805363</v>
      </c>
      <c r="J510" s="48"/>
    </row>
    <row r="511" spans="2:10">
      <c r="C511" s="40">
        <v>2.585</v>
      </c>
      <c r="D511" s="34">
        <v>175.4</v>
      </c>
      <c r="E511" s="23">
        <v>111.2</v>
      </c>
      <c r="F511" s="23">
        <v>30.6</v>
      </c>
      <c r="G511" s="23">
        <v>542</v>
      </c>
      <c r="H511" s="40">
        <v>2.6269999999999998</v>
      </c>
      <c r="I511" s="13">
        <f t="shared" si="7"/>
        <v>3.6339869281045751</v>
      </c>
      <c r="J511" s="48"/>
    </row>
    <row r="512" spans="2:10">
      <c r="C512" s="40">
        <v>2.6019999999999999</v>
      </c>
      <c r="D512" s="34">
        <v>155.69999999999999</v>
      </c>
      <c r="E512" s="23">
        <v>115.5</v>
      </c>
      <c r="F512" s="23">
        <v>30.12</v>
      </c>
      <c r="G512" s="23">
        <v>537.70000000000005</v>
      </c>
      <c r="H512" s="40">
        <v>3.0179999999999998</v>
      </c>
      <c r="I512" s="13">
        <f t="shared" si="7"/>
        <v>3.834661354581673</v>
      </c>
      <c r="J512" s="48"/>
    </row>
    <row r="513" spans="2:10">
      <c r="C513" s="40">
        <v>2.3959999999999999</v>
      </c>
      <c r="D513" s="34">
        <v>152.19999999999999</v>
      </c>
      <c r="E513" s="23">
        <v>111.2</v>
      </c>
      <c r="F513" s="23">
        <v>29.73</v>
      </c>
      <c r="G513" s="23">
        <v>536.9</v>
      </c>
      <c r="H513" s="40">
        <v>3.3460000000000001</v>
      </c>
      <c r="I513" s="13">
        <f t="shared" si="7"/>
        <v>3.7403296333669696</v>
      </c>
      <c r="J513" s="48"/>
    </row>
    <row r="514" spans="2:10">
      <c r="C514" s="40">
        <v>2.4980000000000002</v>
      </c>
      <c r="D514" s="34">
        <v>146.6</v>
      </c>
      <c r="E514" s="23">
        <v>109.6</v>
      </c>
      <c r="F514" s="23">
        <v>29.5</v>
      </c>
      <c r="G514" s="23">
        <v>535.9</v>
      </c>
      <c r="H514" s="40">
        <v>2.923</v>
      </c>
      <c r="I514" s="13">
        <f t="shared" si="7"/>
        <v>3.7152542372881352</v>
      </c>
      <c r="J514" s="48"/>
    </row>
    <row r="515" spans="2:10">
      <c r="C515" s="40">
        <v>2.492</v>
      </c>
      <c r="D515" s="34">
        <v>144.19999999999999</v>
      </c>
      <c r="E515" s="23">
        <v>109.9</v>
      </c>
      <c r="F515" s="23">
        <v>30.27</v>
      </c>
      <c r="G515" s="23">
        <v>532.79999999999995</v>
      </c>
      <c r="H515" s="40">
        <v>2.7189999999999999</v>
      </c>
      <c r="I515" s="13">
        <f t="shared" ref="I515:I578" si="8">E515/F515</f>
        <v>3.6306574165840768</v>
      </c>
      <c r="J515" s="48"/>
    </row>
    <row r="516" spans="2:10">
      <c r="C516" s="40">
        <v>2.3029999999999999</v>
      </c>
      <c r="D516" s="34">
        <v>157.9</v>
      </c>
      <c r="E516" s="23">
        <v>110.4</v>
      </c>
      <c r="F516" s="23">
        <v>30.13</v>
      </c>
      <c r="G516" s="23">
        <v>535.20000000000005</v>
      </c>
      <c r="H516" s="40">
        <v>2.5950000000000002</v>
      </c>
      <c r="I516" s="13">
        <f t="shared" si="8"/>
        <v>3.6641221374045805</v>
      </c>
      <c r="J516" s="48"/>
    </row>
    <row r="517" spans="2:10">
      <c r="C517" s="40">
        <v>2.3660000000000001</v>
      </c>
      <c r="D517" s="34">
        <v>156.9</v>
      </c>
      <c r="E517" s="23">
        <v>110.1</v>
      </c>
      <c r="F517" s="23">
        <v>30.41</v>
      </c>
      <c r="G517" s="23">
        <v>530.6</v>
      </c>
      <c r="H517" s="40">
        <v>2.7770000000000001</v>
      </c>
      <c r="I517" s="13">
        <f t="shared" si="8"/>
        <v>3.6205195659322591</v>
      </c>
      <c r="J517" s="48"/>
    </row>
    <row r="518" spans="2:10">
      <c r="C518" s="40">
        <v>2.4510000000000001</v>
      </c>
      <c r="D518" s="34">
        <v>182.8</v>
      </c>
      <c r="E518" s="23">
        <v>108.4</v>
      </c>
      <c r="F518" s="23">
        <v>28.92</v>
      </c>
      <c r="G518" s="23">
        <v>537.5</v>
      </c>
      <c r="H518" s="40">
        <v>2.9630000000000001</v>
      </c>
      <c r="I518" s="13">
        <f t="shared" si="8"/>
        <v>3.7482710926694329</v>
      </c>
      <c r="J518" s="48"/>
    </row>
    <row r="519" spans="2:10">
      <c r="C519" s="40">
        <v>2.4</v>
      </c>
      <c r="D519" s="34">
        <v>159.80000000000001</v>
      </c>
      <c r="E519" s="23">
        <v>109.2</v>
      </c>
      <c r="F519" s="23">
        <v>30.02</v>
      </c>
      <c r="G519" s="23">
        <v>537.4</v>
      </c>
      <c r="H519" s="40">
        <v>3.2970000000000002</v>
      </c>
      <c r="I519" s="13">
        <f t="shared" si="8"/>
        <v>3.6375749500333114</v>
      </c>
      <c r="J519" s="48"/>
    </row>
    <row r="520" spans="2:10">
      <c r="C520" s="40">
        <v>2.2999999999999998</v>
      </c>
      <c r="D520" s="34">
        <v>157.9</v>
      </c>
      <c r="E520" s="23">
        <v>108.4</v>
      </c>
      <c r="F520" s="23">
        <v>30.26</v>
      </c>
      <c r="G520" s="23">
        <v>537.1</v>
      </c>
      <c r="H520" s="40">
        <v>3.4009999999999998</v>
      </c>
      <c r="I520" s="13">
        <f t="shared" si="8"/>
        <v>3.582286847323199</v>
      </c>
      <c r="J520" s="48"/>
    </row>
    <row r="521" spans="2:10">
      <c r="C521" s="40">
        <v>2.2010000000000001</v>
      </c>
      <c r="D521" s="34">
        <v>150.9</v>
      </c>
      <c r="E521" s="23">
        <v>109.1</v>
      </c>
      <c r="F521" s="23">
        <v>30.77</v>
      </c>
      <c r="G521" s="23">
        <v>536.20000000000005</v>
      </c>
      <c r="H521" s="40">
        <v>2.7189999999999999</v>
      </c>
      <c r="I521" s="13">
        <f t="shared" si="8"/>
        <v>3.5456613584660381</v>
      </c>
      <c r="J521" s="48"/>
    </row>
    <row r="522" spans="2:10">
      <c r="B522" s="47">
        <v>27</v>
      </c>
      <c r="C522" s="39">
        <v>1.8049999999999999</v>
      </c>
      <c r="D522" s="37">
        <v>262.5</v>
      </c>
      <c r="E522" s="38">
        <v>80.569999999999993</v>
      </c>
      <c r="F522" s="38">
        <v>33.200000000000003</v>
      </c>
      <c r="G522" s="38">
        <v>547.79999999999995</v>
      </c>
      <c r="H522" s="39">
        <v>3.5009999999999999</v>
      </c>
      <c r="I522" s="13">
        <f t="shared" si="8"/>
        <v>2.4268072289156621</v>
      </c>
      <c r="J522" s="48"/>
    </row>
    <row r="523" spans="2:10">
      <c r="C523" s="40">
        <v>1.8149999999999999</v>
      </c>
      <c r="D523" s="34">
        <v>242.2</v>
      </c>
      <c r="E523" s="23">
        <v>78.709999999999994</v>
      </c>
      <c r="F523" s="23">
        <v>33.24</v>
      </c>
      <c r="G523" s="23">
        <v>546.70000000000005</v>
      </c>
      <c r="H523" s="40">
        <v>2.262</v>
      </c>
      <c r="I523" s="13">
        <f t="shared" si="8"/>
        <v>2.3679302045728035</v>
      </c>
      <c r="J523" s="48"/>
    </row>
    <row r="524" spans="2:10">
      <c r="C524" s="40">
        <v>1.776</v>
      </c>
      <c r="D524" s="34">
        <v>229.1</v>
      </c>
      <c r="E524" s="23">
        <v>79.23</v>
      </c>
      <c r="F524" s="23">
        <v>33.9</v>
      </c>
      <c r="G524" s="23">
        <v>560.5</v>
      </c>
      <c r="H524" s="40">
        <v>2.2999999999999998</v>
      </c>
      <c r="I524" s="13">
        <f t="shared" si="8"/>
        <v>2.3371681415929206</v>
      </c>
      <c r="J524" s="48"/>
    </row>
    <row r="525" spans="2:10">
      <c r="C525" s="40">
        <v>1.756</v>
      </c>
      <c r="D525" s="34">
        <v>222.7</v>
      </c>
      <c r="E525" s="23">
        <v>78.38</v>
      </c>
      <c r="F525" s="23">
        <v>35.36</v>
      </c>
      <c r="G525" s="23">
        <v>563.20000000000005</v>
      </c>
      <c r="H525" s="40">
        <v>2.61</v>
      </c>
      <c r="I525" s="13">
        <f t="shared" si="8"/>
        <v>2.2166289592760182</v>
      </c>
      <c r="J525" s="48"/>
    </row>
    <row r="526" spans="2:10">
      <c r="C526" s="40">
        <v>1.798</v>
      </c>
      <c r="D526" s="34">
        <v>234.5</v>
      </c>
      <c r="E526" s="23">
        <v>81.16</v>
      </c>
      <c r="F526" s="23">
        <v>36.130000000000003</v>
      </c>
      <c r="G526" s="23">
        <v>566.29999999999995</v>
      </c>
      <c r="H526" s="40">
        <v>3.3090000000000002</v>
      </c>
      <c r="I526" s="13">
        <f t="shared" si="8"/>
        <v>2.2463326875172984</v>
      </c>
      <c r="J526" s="48"/>
    </row>
    <row r="527" spans="2:10">
      <c r="C527" s="40">
        <v>1.819</v>
      </c>
      <c r="D527" s="34">
        <v>266.60000000000002</v>
      </c>
      <c r="E527" s="23">
        <v>80.52</v>
      </c>
      <c r="F527" s="23">
        <v>35.33</v>
      </c>
      <c r="G527" s="23">
        <v>570.79999999999995</v>
      </c>
      <c r="H527" s="40">
        <v>3.698</v>
      </c>
      <c r="I527" s="13">
        <f t="shared" si="8"/>
        <v>2.2790829323521087</v>
      </c>
      <c r="J527" s="48"/>
    </row>
    <row r="528" spans="2:10">
      <c r="C528" s="40">
        <v>1.792</v>
      </c>
      <c r="D528" s="34">
        <v>247.9</v>
      </c>
      <c r="E528" s="23">
        <v>80.38</v>
      </c>
      <c r="F528" s="23">
        <v>36.15</v>
      </c>
      <c r="G528" s="23">
        <v>573.5</v>
      </c>
      <c r="H528" s="40">
        <v>3.875</v>
      </c>
      <c r="I528" s="13">
        <f t="shared" si="8"/>
        <v>2.2235131396957124</v>
      </c>
      <c r="J528" s="48"/>
    </row>
    <row r="529" spans="2:10">
      <c r="C529" s="40">
        <v>1.7709999999999999</v>
      </c>
      <c r="D529" s="34">
        <v>236.9</v>
      </c>
      <c r="E529" s="23">
        <v>81</v>
      </c>
      <c r="F529" s="23">
        <v>36.22</v>
      </c>
      <c r="G529" s="23">
        <v>576.1</v>
      </c>
      <c r="H529" s="40">
        <v>4.609</v>
      </c>
      <c r="I529" s="13">
        <f t="shared" si="8"/>
        <v>2.2363335173937053</v>
      </c>
      <c r="J529" s="48"/>
    </row>
    <row r="530" spans="2:10">
      <c r="C530" s="40">
        <v>1.8</v>
      </c>
      <c r="D530" s="34">
        <v>251.2</v>
      </c>
      <c r="E530" s="23">
        <v>80.39</v>
      </c>
      <c r="F530" s="23">
        <v>35.69</v>
      </c>
      <c r="G530" s="23">
        <v>549.20000000000005</v>
      </c>
      <c r="H530" s="40">
        <v>5.0229999999999997</v>
      </c>
      <c r="I530" s="13">
        <f t="shared" si="8"/>
        <v>2.2524516671336512</v>
      </c>
      <c r="J530" s="48"/>
    </row>
    <row r="531" spans="2:10">
      <c r="C531" s="40">
        <v>1.7649999999999999</v>
      </c>
      <c r="D531" s="34">
        <v>267.39999999999998</v>
      </c>
      <c r="E531" s="23">
        <v>80.680000000000007</v>
      </c>
      <c r="F531" s="23">
        <v>34.32</v>
      </c>
      <c r="G531" s="23">
        <v>553.1</v>
      </c>
      <c r="H531" s="40">
        <v>4.2850000000000001</v>
      </c>
      <c r="I531" s="13">
        <f t="shared" si="8"/>
        <v>2.350815850815851</v>
      </c>
      <c r="J531" s="48"/>
    </row>
    <row r="532" spans="2:10">
      <c r="C532" s="40">
        <v>1.732</v>
      </c>
      <c r="D532" s="34">
        <v>262.5</v>
      </c>
      <c r="E532" s="23">
        <v>81.430000000000007</v>
      </c>
      <c r="F532" s="23">
        <v>34.58</v>
      </c>
      <c r="G532" s="23">
        <v>551.79999999999995</v>
      </c>
      <c r="H532" s="40">
        <v>4.2709999999999999</v>
      </c>
      <c r="I532" s="13">
        <f t="shared" si="8"/>
        <v>2.354829381145171</v>
      </c>
      <c r="J532" s="48"/>
    </row>
    <row r="533" spans="2:10">
      <c r="C533" s="40">
        <v>1.7649999999999999</v>
      </c>
      <c r="D533" s="34">
        <v>267.7</v>
      </c>
      <c r="E533" s="23">
        <v>79.69</v>
      </c>
      <c r="F533" s="23">
        <v>34.85</v>
      </c>
      <c r="G533" s="23">
        <v>549.20000000000005</v>
      </c>
      <c r="H533" s="40">
        <v>3.8730000000000002</v>
      </c>
      <c r="I533" s="13">
        <f t="shared" si="8"/>
        <v>2.2866571018651363</v>
      </c>
      <c r="J533" s="48"/>
    </row>
    <row r="534" spans="2:10">
      <c r="C534" s="40">
        <v>1.776</v>
      </c>
      <c r="D534" s="34">
        <v>264.7</v>
      </c>
      <c r="E534" s="23">
        <v>80.87</v>
      </c>
      <c r="F534" s="23">
        <v>34.94</v>
      </c>
      <c r="G534" s="23">
        <v>564.20000000000005</v>
      </c>
      <c r="H534" s="40">
        <v>3.4369999999999998</v>
      </c>
      <c r="I534" s="13">
        <f t="shared" si="8"/>
        <v>2.3145392100744138</v>
      </c>
      <c r="J534" s="48"/>
    </row>
    <row r="535" spans="2:10">
      <c r="C535" s="40">
        <v>1.7809999999999999</v>
      </c>
      <c r="D535" s="34">
        <v>255.7</v>
      </c>
      <c r="E535" s="23">
        <v>80.150000000000006</v>
      </c>
      <c r="F535" s="23">
        <v>34.47</v>
      </c>
      <c r="G535" s="23">
        <v>544.4</v>
      </c>
      <c r="H535" s="40">
        <v>3.0230000000000001</v>
      </c>
      <c r="I535" s="13">
        <f t="shared" si="8"/>
        <v>2.3252103278212943</v>
      </c>
      <c r="J535" s="48"/>
    </row>
    <row r="536" spans="2:10">
      <c r="C536" s="40">
        <v>1.792</v>
      </c>
      <c r="D536" s="34">
        <v>241</v>
      </c>
      <c r="E536" s="23">
        <v>79.959999999999994</v>
      </c>
      <c r="F536" s="23">
        <v>35.69</v>
      </c>
      <c r="G536" s="23">
        <v>547.29999999999995</v>
      </c>
      <c r="H536" s="40">
        <v>2.3889999999999998</v>
      </c>
      <c r="I536" s="13">
        <f t="shared" si="8"/>
        <v>2.2404034743625667</v>
      </c>
      <c r="J536" s="48"/>
    </row>
    <row r="537" spans="2:10">
      <c r="C537" s="40">
        <v>1.798</v>
      </c>
      <c r="D537" s="34">
        <v>236.9</v>
      </c>
      <c r="E537" s="23">
        <v>80.540000000000006</v>
      </c>
      <c r="F537" s="23">
        <v>35.57</v>
      </c>
      <c r="G537" s="23">
        <v>553</v>
      </c>
      <c r="H537" s="40">
        <v>2.88</v>
      </c>
      <c r="I537" s="13">
        <f t="shared" si="8"/>
        <v>2.2642676412707341</v>
      </c>
      <c r="J537" s="48"/>
    </row>
    <row r="538" spans="2:10">
      <c r="C538" s="40">
        <v>1.819</v>
      </c>
      <c r="D538" s="34">
        <v>247.9</v>
      </c>
      <c r="E538" s="23">
        <v>80.150000000000006</v>
      </c>
      <c r="F538" s="23">
        <v>36.22</v>
      </c>
      <c r="G538" s="23">
        <v>557.1</v>
      </c>
      <c r="H538" s="40">
        <v>3.4239999999999999</v>
      </c>
      <c r="I538" s="13">
        <f t="shared" si="8"/>
        <v>2.2128658199889566</v>
      </c>
      <c r="J538" s="48"/>
    </row>
    <row r="539" spans="2:10">
      <c r="C539" s="40">
        <v>1.821</v>
      </c>
      <c r="D539" s="34">
        <v>227.2</v>
      </c>
      <c r="E539" s="23">
        <v>80.47</v>
      </c>
      <c r="F539" s="23">
        <v>36.28</v>
      </c>
      <c r="G539" s="23">
        <v>556.4</v>
      </c>
      <c r="H539" s="40">
        <v>3.8149999999999999</v>
      </c>
      <c r="I539" s="13">
        <f t="shared" si="8"/>
        <v>2.2180264608599778</v>
      </c>
      <c r="J539" s="48"/>
    </row>
    <row r="540" spans="2:10">
      <c r="C540" s="40">
        <v>1.7889999999999999</v>
      </c>
      <c r="D540" s="34">
        <v>221.6</v>
      </c>
      <c r="E540" s="23">
        <v>81.12</v>
      </c>
      <c r="F540" s="23">
        <v>36.409999999999997</v>
      </c>
      <c r="G540" s="23">
        <v>556</v>
      </c>
      <c r="H540" s="40">
        <v>4.3090000000000002</v>
      </c>
      <c r="I540" s="13">
        <f t="shared" si="8"/>
        <v>2.2279593518264216</v>
      </c>
      <c r="J540" s="48"/>
    </row>
    <row r="541" spans="2:10">
      <c r="C541" s="40">
        <v>1.734</v>
      </c>
      <c r="D541" s="34">
        <v>222.9</v>
      </c>
      <c r="E541" s="23">
        <v>80.08</v>
      </c>
      <c r="F541" s="23">
        <v>36.479999999999997</v>
      </c>
      <c r="G541" s="23">
        <v>564.20000000000005</v>
      </c>
      <c r="H541" s="40">
        <v>4.702</v>
      </c>
      <c r="I541" s="13">
        <f t="shared" si="8"/>
        <v>2.1951754385964914</v>
      </c>
      <c r="J541" s="48"/>
    </row>
    <row r="542" spans="2:10">
      <c r="B542" s="47">
        <v>28</v>
      </c>
      <c r="C542" s="39">
        <v>2.581</v>
      </c>
      <c r="D542" s="37">
        <v>188</v>
      </c>
      <c r="E542" s="38">
        <v>99.79</v>
      </c>
      <c r="F542" s="38">
        <v>31.79</v>
      </c>
      <c r="G542" s="38">
        <v>501.6</v>
      </c>
      <c r="H542" s="39">
        <v>2.7709999999999999</v>
      </c>
      <c r="I542" s="13">
        <f t="shared" si="8"/>
        <v>3.1390374331550803</v>
      </c>
      <c r="J542" s="48"/>
    </row>
    <row r="543" spans="2:10">
      <c r="C543" s="40">
        <v>2.6110000000000002</v>
      </c>
      <c r="D543" s="34">
        <v>219.7</v>
      </c>
      <c r="E543" s="23">
        <v>98.34</v>
      </c>
      <c r="F543" s="23">
        <v>31.23</v>
      </c>
      <c r="G543" s="23">
        <v>499.9</v>
      </c>
      <c r="H543" s="40">
        <v>3.3879999999999999</v>
      </c>
      <c r="I543" s="13">
        <f t="shared" si="8"/>
        <v>3.148895292987512</v>
      </c>
      <c r="J543" s="48"/>
    </row>
    <row r="544" spans="2:10">
      <c r="C544" s="40">
        <v>2.7450000000000001</v>
      </c>
      <c r="D544" s="34">
        <v>212.8</v>
      </c>
      <c r="E544" s="23">
        <v>98.6</v>
      </c>
      <c r="F544" s="23">
        <v>31.33</v>
      </c>
      <c r="G544" s="23">
        <v>503.5</v>
      </c>
      <c r="H544" s="40">
        <v>2.823</v>
      </c>
      <c r="I544" s="13">
        <f t="shared" si="8"/>
        <v>3.1471433131184168</v>
      </c>
      <c r="J544" s="48"/>
    </row>
    <row r="545" spans="3:10">
      <c r="C545" s="40">
        <v>2.5310000000000001</v>
      </c>
      <c r="D545" s="34">
        <v>191.4</v>
      </c>
      <c r="E545" s="23">
        <v>98.77</v>
      </c>
      <c r="F545" s="23">
        <v>31.73</v>
      </c>
      <c r="G545" s="23">
        <v>505.4</v>
      </c>
      <c r="H545" s="40">
        <v>3.0289999999999999</v>
      </c>
      <c r="I545" s="13">
        <f t="shared" si="8"/>
        <v>3.1128269776236999</v>
      </c>
      <c r="J545" s="48"/>
    </row>
    <row r="546" spans="3:10">
      <c r="C546" s="40">
        <v>2.4609999999999999</v>
      </c>
      <c r="D546" s="34">
        <v>176.5</v>
      </c>
      <c r="E546" s="23">
        <v>99.02</v>
      </c>
      <c r="F546" s="23">
        <v>31.96</v>
      </c>
      <c r="G546" s="23">
        <v>507.6</v>
      </c>
      <c r="H546" s="40">
        <v>3.323</v>
      </c>
      <c r="I546" s="13">
        <f t="shared" si="8"/>
        <v>3.0982478097622024</v>
      </c>
      <c r="J546" s="48"/>
    </row>
    <row r="547" spans="3:10">
      <c r="C547" s="40">
        <v>2.57</v>
      </c>
      <c r="D547" s="34">
        <v>182.1</v>
      </c>
      <c r="E547" s="23">
        <v>99.31</v>
      </c>
      <c r="F547" s="23">
        <v>31.25</v>
      </c>
      <c r="G547" s="23">
        <v>505</v>
      </c>
      <c r="H547" s="40">
        <v>3.4780000000000002</v>
      </c>
      <c r="I547" s="13">
        <f t="shared" si="8"/>
        <v>3.1779199999999999</v>
      </c>
      <c r="J547" s="48"/>
    </row>
    <row r="548" spans="3:10">
      <c r="C548" s="40">
        <v>2.6110000000000002</v>
      </c>
      <c r="D548" s="34">
        <v>176.9</v>
      </c>
      <c r="E548" s="23">
        <v>99.34</v>
      </c>
      <c r="F548" s="23">
        <v>31.45</v>
      </c>
      <c r="G548" s="23">
        <v>511.2</v>
      </c>
      <c r="H548" s="40">
        <v>3.1739999999999999</v>
      </c>
      <c r="I548" s="13">
        <f t="shared" si="8"/>
        <v>3.1586645468998413</v>
      </c>
      <c r="J548" s="48"/>
    </row>
    <row r="549" spans="3:10">
      <c r="C549" s="40">
        <v>2.625</v>
      </c>
      <c r="D549" s="34">
        <v>181.1</v>
      </c>
      <c r="E549" s="23">
        <v>99.51</v>
      </c>
      <c r="F549" s="23">
        <v>31.59</v>
      </c>
      <c r="G549" s="23">
        <v>518</v>
      </c>
      <c r="H549" s="40">
        <v>3.22</v>
      </c>
      <c r="I549" s="13">
        <f t="shared" si="8"/>
        <v>3.150047483380817</v>
      </c>
      <c r="J549" s="48"/>
    </row>
    <row r="550" spans="3:10">
      <c r="C550" s="40">
        <v>2.581</v>
      </c>
      <c r="D550" s="34">
        <v>173.2</v>
      </c>
      <c r="E550" s="23">
        <v>99.42</v>
      </c>
      <c r="F550" s="23">
        <v>30.74</v>
      </c>
      <c r="G550" s="23">
        <v>518.1</v>
      </c>
      <c r="H550" s="40">
        <v>3.3879999999999999</v>
      </c>
      <c r="I550" s="13">
        <f t="shared" si="8"/>
        <v>3.2342225113858167</v>
      </c>
      <c r="J550" s="48"/>
    </row>
    <row r="551" spans="3:10">
      <c r="C551" s="40">
        <v>2.3610000000000002</v>
      </c>
      <c r="D551" s="34">
        <v>174.1</v>
      </c>
      <c r="E551" s="23">
        <v>99.6</v>
      </c>
      <c r="F551" s="23">
        <v>31.06</v>
      </c>
      <c r="G551" s="23">
        <v>520.9</v>
      </c>
      <c r="H551" s="40">
        <v>3.3330000000000002</v>
      </c>
      <c r="I551" s="13">
        <f t="shared" si="8"/>
        <v>3.2066967160334836</v>
      </c>
      <c r="J551" s="48"/>
    </row>
    <row r="552" spans="3:10">
      <c r="C552" s="40">
        <v>2.2839999999999998</v>
      </c>
      <c r="D552" s="34">
        <v>188.5</v>
      </c>
      <c r="E552" s="23">
        <v>99.63</v>
      </c>
      <c r="F552" s="23">
        <v>30.17</v>
      </c>
      <c r="G552" s="23">
        <v>517.70000000000005</v>
      </c>
      <c r="H552" s="40">
        <v>3.2559999999999998</v>
      </c>
      <c r="I552" s="13">
        <f t="shared" si="8"/>
        <v>3.3022870401060653</v>
      </c>
      <c r="J552" s="48"/>
    </row>
    <row r="553" spans="3:10">
      <c r="C553" s="40">
        <v>2.0859999999999999</v>
      </c>
      <c r="D553" s="34">
        <v>174.6</v>
      </c>
      <c r="E553" s="23">
        <v>99.4</v>
      </c>
      <c r="F553" s="23">
        <v>30.76</v>
      </c>
      <c r="G553" s="23">
        <v>517.29999999999995</v>
      </c>
      <c r="H553" s="40">
        <v>2.4630000000000001</v>
      </c>
      <c r="I553" s="13">
        <f t="shared" si="8"/>
        <v>3.2314694408322495</v>
      </c>
      <c r="J553" s="48"/>
    </row>
    <row r="554" spans="3:10">
      <c r="C554" s="40">
        <v>2.1656</v>
      </c>
      <c r="D554" s="34">
        <v>190.4</v>
      </c>
      <c r="E554" s="23">
        <v>99.37</v>
      </c>
      <c r="F554" s="23">
        <v>30.96</v>
      </c>
      <c r="G554" s="23">
        <v>519.4</v>
      </c>
      <c r="H554" s="40">
        <v>2.4369999999999998</v>
      </c>
      <c r="I554" s="13">
        <f t="shared" si="8"/>
        <v>3.2096253229974159</v>
      </c>
      <c r="J554" s="48"/>
    </row>
    <row r="555" spans="3:10">
      <c r="C555" s="40">
        <v>2.3050000000000002</v>
      </c>
      <c r="D555" s="34">
        <v>165.2</v>
      </c>
      <c r="E555" s="23">
        <v>99.5</v>
      </c>
      <c r="F555" s="23">
        <v>30.5</v>
      </c>
      <c r="G555" s="23">
        <v>516.29999999999995</v>
      </c>
      <c r="H555" s="40">
        <v>2.4700000000000002</v>
      </c>
      <c r="I555" s="13">
        <f t="shared" si="8"/>
        <v>3.262295081967213</v>
      </c>
      <c r="J555" s="48"/>
    </row>
    <row r="556" spans="3:10">
      <c r="C556" s="40">
        <v>2.3879999999999999</v>
      </c>
      <c r="D556" s="34">
        <v>165</v>
      </c>
      <c r="E556" s="23">
        <v>99.2</v>
      </c>
      <c r="F556" s="23">
        <v>31.63</v>
      </c>
      <c r="G556" s="23">
        <v>522.9</v>
      </c>
      <c r="H556" s="40">
        <v>2.9580000000000002</v>
      </c>
      <c r="I556" s="13">
        <f t="shared" si="8"/>
        <v>3.136263041416377</v>
      </c>
      <c r="J556" s="48"/>
    </row>
    <row r="557" spans="3:10">
      <c r="C557" s="40">
        <v>2.4609999999999999</v>
      </c>
      <c r="D557" s="34">
        <v>171.5</v>
      </c>
      <c r="E557" s="23">
        <v>99.08</v>
      </c>
      <c r="F557" s="23">
        <v>31.13</v>
      </c>
      <c r="G557" s="23">
        <v>518.29999999999995</v>
      </c>
      <c r="H557" s="40">
        <v>3.2429999999999999</v>
      </c>
      <c r="I557" s="13">
        <f t="shared" si="8"/>
        <v>3.1827818824285257</v>
      </c>
      <c r="J557" s="48"/>
    </row>
    <row r="558" spans="3:10">
      <c r="C558" s="40">
        <v>2.4369999999999998</v>
      </c>
      <c r="D558" s="34">
        <v>151.6</v>
      </c>
      <c r="E558" s="23">
        <v>99.27</v>
      </c>
      <c r="F558" s="23">
        <v>31.65</v>
      </c>
      <c r="G558" s="23">
        <v>506</v>
      </c>
      <c r="H558" s="40">
        <v>2.7709999999999999</v>
      </c>
      <c r="I558" s="13">
        <f t="shared" si="8"/>
        <v>3.1364928909952607</v>
      </c>
      <c r="J558" s="48"/>
    </row>
    <row r="559" spans="3:10">
      <c r="C559" s="40">
        <v>2.3290000000000002</v>
      </c>
      <c r="D559" s="34">
        <v>156.69999999999999</v>
      </c>
      <c r="E559" s="23">
        <v>99.37</v>
      </c>
      <c r="F559" s="23">
        <v>31.48</v>
      </c>
      <c r="G559" s="23">
        <v>501.4</v>
      </c>
      <c r="H559" s="40">
        <v>2.6070000000000002</v>
      </c>
      <c r="I559" s="13">
        <f t="shared" si="8"/>
        <v>3.1566073697585768</v>
      </c>
      <c r="J559" s="48"/>
    </row>
    <row r="560" spans="3:10">
      <c r="C560" s="40">
        <v>2.391</v>
      </c>
      <c r="D560" s="34">
        <v>160.9</v>
      </c>
      <c r="E560" s="23">
        <v>98.89</v>
      </c>
      <c r="F560" s="23">
        <v>31.15</v>
      </c>
      <c r="G560" s="23">
        <v>500.6</v>
      </c>
      <c r="H560" s="40">
        <v>2.5790000000000002</v>
      </c>
      <c r="I560" s="13">
        <f t="shared" si="8"/>
        <v>3.1746388443017657</v>
      </c>
      <c r="J560" s="48"/>
    </row>
    <row r="561" spans="2:10">
      <c r="C561" s="40">
        <v>2.3639999999999999</v>
      </c>
      <c r="D561" s="34">
        <v>175.2</v>
      </c>
      <c r="E561" s="23">
        <v>99.17</v>
      </c>
      <c r="F561" s="23">
        <v>30.93</v>
      </c>
      <c r="G561" s="23">
        <v>505.4</v>
      </c>
      <c r="H561" s="40">
        <v>2.7080000000000002</v>
      </c>
      <c r="I561" s="13">
        <f t="shared" si="8"/>
        <v>3.206272227610734</v>
      </c>
      <c r="J561" s="48"/>
    </row>
    <row r="562" spans="2:10">
      <c r="B562" s="47">
        <v>29</v>
      </c>
      <c r="C562" s="39">
        <v>2.2469999999999999</v>
      </c>
      <c r="D562" s="37">
        <v>189.7</v>
      </c>
      <c r="E562" s="38">
        <v>107.6</v>
      </c>
      <c r="F562" s="38">
        <v>26.31</v>
      </c>
      <c r="G562" s="38">
        <v>564.29999999999995</v>
      </c>
      <c r="H562" s="39">
        <v>3.4430000000000001</v>
      </c>
      <c r="I562" s="13">
        <f t="shared" si="8"/>
        <v>4.0896997339414671</v>
      </c>
      <c r="J562" s="20"/>
    </row>
    <row r="563" spans="2:10">
      <c r="C563" s="40">
        <v>2.274</v>
      </c>
      <c r="D563" s="34">
        <v>199.8</v>
      </c>
      <c r="E563" s="23">
        <v>107.8</v>
      </c>
      <c r="F563" s="23">
        <v>27.43</v>
      </c>
      <c r="G563" s="23">
        <v>562.1</v>
      </c>
      <c r="H563" s="40">
        <v>3.7610000000000001</v>
      </c>
      <c r="I563" s="13">
        <f t="shared" si="8"/>
        <v>3.9300036456434562</v>
      </c>
      <c r="J563" s="20"/>
    </row>
    <row r="564" spans="2:10">
      <c r="C564" s="40">
        <v>2.2730000000000001</v>
      </c>
      <c r="D564" s="34">
        <v>192.1</v>
      </c>
      <c r="E564" s="23">
        <v>107.3</v>
      </c>
      <c r="F564" s="23">
        <v>26.39</v>
      </c>
      <c r="G564" s="23">
        <v>565.6</v>
      </c>
      <c r="H564" s="40">
        <v>3.07</v>
      </c>
      <c r="I564" s="13">
        <f t="shared" si="8"/>
        <v>4.0659340659340657</v>
      </c>
      <c r="J564" s="20"/>
    </row>
    <row r="565" spans="2:10">
      <c r="C565" s="40">
        <v>2.242</v>
      </c>
      <c r="D565" s="34">
        <v>188.7</v>
      </c>
      <c r="E565" s="23">
        <v>108.4</v>
      </c>
      <c r="F565" s="23">
        <v>28.05</v>
      </c>
      <c r="G565" s="23">
        <v>567.29999999999995</v>
      </c>
      <c r="H565" s="40">
        <v>3.242</v>
      </c>
      <c r="I565" s="13">
        <f t="shared" si="8"/>
        <v>3.8645276292335118</v>
      </c>
      <c r="J565" s="20"/>
    </row>
    <row r="566" spans="2:10">
      <c r="C566" s="40">
        <v>2.2469999999999999</v>
      </c>
      <c r="D566" s="34">
        <v>191.7</v>
      </c>
      <c r="E566" s="23">
        <v>107.3</v>
      </c>
      <c r="F566" s="23">
        <v>28.67</v>
      </c>
      <c r="G566" s="23">
        <v>564.20000000000005</v>
      </c>
      <c r="H566" s="40">
        <v>3.1360000000000001</v>
      </c>
      <c r="I566" s="13">
        <f t="shared" si="8"/>
        <v>3.7425880711545165</v>
      </c>
      <c r="J566" s="20"/>
    </row>
    <row r="567" spans="2:10">
      <c r="C567" s="40">
        <v>2.246</v>
      </c>
      <c r="D567" s="34">
        <v>188.5</v>
      </c>
      <c r="E567" s="23">
        <v>107.8</v>
      </c>
      <c r="F567" s="23">
        <v>27.2</v>
      </c>
      <c r="G567" s="23">
        <v>564.9</v>
      </c>
      <c r="H567" s="40">
        <v>2.774</v>
      </c>
      <c r="I567" s="13">
        <f t="shared" si="8"/>
        <v>3.9632352941176472</v>
      </c>
      <c r="J567" s="20"/>
    </row>
    <row r="568" spans="2:10">
      <c r="C568" s="40">
        <v>2.2400000000000002</v>
      </c>
      <c r="D568" s="34">
        <v>183.4</v>
      </c>
      <c r="E568" s="23">
        <v>108.3</v>
      </c>
      <c r="F568" s="23">
        <v>26.84</v>
      </c>
      <c r="G568" s="23">
        <v>565.79999999999995</v>
      </c>
      <c r="H568" s="40">
        <v>2.556</v>
      </c>
      <c r="I568" s="13">
        <f t="shared" si="8"/>
        <v>4.0350223546944859</v>
      </c>
      <c r="J568" s="20"/>
    </row>
    <row r="569" spans="2:10">
      <c r="C569" s="40">
        <v>2.2410000000000001</v>
      </c>
      <c r="D569" s="34">
        <v>196.9</v>
      </c>
      <c r="E569" s="23">
        <v>107.7</v>
      </c>
      <c r="F569" s="23">
        <v>27.15</v>
      </c>
      <c r="G569" s="23">
        <v>566.4</v>
      </c>
      <c r="H569" s="40">
        <v>2.411</v>
      </c>
      <c r="I569" s="13">
        <f t="shared" si="8"/>
        <v>3.9668508287292821</v>
      </c>
      <c r="J569" s="20"/>
    </row>
    <row r="570" spans="2:10">
      <c r="C570" s="40">
        <v>2.2229999999999999</v>
      </c>
      <c r="D570" s="34">
        <v>204.4</v>
      </c>
      <c r="E570" s="23">
        <v>106.9</v>
      </c>
      <c r="F570" s="23">
        <v>26.57</v>
      </c>
      <c r="G570" s="23">
        <v>566.70000000000005</v>
      </c>
      <c r="H570" s="40">
        <v>2.9470000000000001</v>
      </c>
      <c r="I570" s="13">
        <f t="shared" si="8"/>
        <v>4.0233345878810693</v>
      </c>
      <c r="J570" s="20"/>
    </row>
    <row r="571" spans="2:10">
      <c r="C571" s="40">
        <v>2.2029999999999998</v>
      </c>
      <c r="D571" s="34">
        <v>192</v>
      </c>
      <c r="E571" s="23">
        <v>106.8</v>
      </c>
      <c r="F571" s="23">
        <v>27.29</v>
      </c>
      <c r="G571" s="23">
        <v>566.79999999999995</v>
      </c>
      <c r="H571" s="40">
        <v>2.988</v>
      </c>
      <c r="I571" s="13">
        <f t="shared" si="8"/>
        <v>3.9135214364235984</v>
      </c>
      <c r="J571" s="20"/>
    </row>
    <row r="572" spans="2:10">
      <c r="C572" s="40">
        <v>2.2050000000000001</v>
      </c>
      <c r="D572" s="34">
        <v>187.9</v>
      </c>
      <c r="E572" s="23">
        <v>108.1</v>
      </c>
      <c r="F572" s="23">
        <v>27.24</v>
      </c>
      <c r="G572" s="23">
        <v>564.9</v>
      </c>
      <c r="H572" s="40">
        <v>2.7480000000000002</v>
      </c>
      <c r="I572" s="13">
        <f t="shared" si="8"/>
        <v>3.9684287812041115</v>
      </c>
      <c r="J572" s="20"/>
    </row>
    <row r="573" spans="2:10">
      <c r="C573" s="40">
        <v>2.2400000000000002</v>
      </c>
      <c r="D573" s="34">
        <v>205.6</v>
      </c>
      <c r="E573" s="23">
        <v>107.1</v>
      </c>
      <c r="F573" s="23">
        <v>27.43</v>
      </c>
      <c r="G573" s="23">
        <v>564.79999999999995</v>
      </c>
      <c r="H573" s="40">
        <v>3.5230000000000001</v>
      </c>
      <c r="I573" s="13">
        <f t="shared" si="8"/>
        <v>3.9044841414509661</v>
      </c>
      <c r="J573" s="20"/>
    </row>
    <row r="574" spans="2:10">
      <c r="C574" s="40">
        <v>2.254</v>
      </c>
      <c r="D574" s="34">
        <v>203.5</v>
      </c>
      <c r="E574" s="23">
        <v>107.2</v>
      </c>
      <c r="F574" s="23">
        <v>27.74</v>
      </c>
      <c r="G574" s="23">
        <v>562.29999999999995</v>
      </c>
      <c r="H574" s="40">
        <v>3.0920000000000001</v>
      </c>
      <c r="I574" s="13">
        <f t="shared" si="8"/>
        <v>3.8644556596971884</v>
      </c>
      <c r="J574" s="20"/>
    </row>
    <row r="575" spans="2:10">
      <c r="C575" s="40">
        <v>2.2229999999999999</v>
      </c>
      <c r="D575" s="34">
        <v>182.4</v>
      </c>
      <c r="E575" s="23">
        <v>107.4</v>
      </c>
      <c r="F575" s="23">
        <v>28.23</v>
      </c>
      <c r="G575" s="23">
        <v>562.5</v>
      </c>
      <c r="H575" s="40">
        <v>3.492</v>
      </c>
      <c r="I575" s="13">
        <f t="shared" si="8"/>
        <v>3.8044633368756644</v>
      </c>
      <c r="J575" s="20"/>
    </row>
    <row r="576" spans="2:10">
      <c r="C576" s="40">
        <v>2.206</v>
      </c>
      <c r="D576" s="34">
        <v>179.7</v>
      </c>
      <c r="E576" s="23">
        <v>107.5</v>
      </c>
      <c r="F576" s="23">
        <v>28.54</v>
      </c>
      <c r="G576" s="23">
        <v>562.6</v>
      </c>
      <c r="H576" s="40">
        <v>3.7669999999999999</v>
      </c>
      <c r="I576" s="13">
        <f t="shared" si="8"/>
        <v>3.7666433076384025</v>
      </c>
      <c r="J576" s="20"/>
    </row>
    <row r="577" spans="2:10">
      <c r="C577" s="40">
        <v>2.2170000000000001</v>
      </c>
      <c r="D577" s="34">
        <v>182.4</v>
      </c>
      <c r="E577" s="23">
        <v>107.8</v>
      </c>
      <c r="F577" s="23">
        <v>25.79</v>
      </c>
      <c r="G577" s="23">
        <v>562.5</v>
      </c>
      <c r="H577" s="40">
        <v>4.0419999999999998</v>
      </c>
      <c r="I577" s="13">
        <f t="shared" si="8"/>
        <v>4.1799146956184572</v>
      </c>
      <c r="J577" s="20"/>
    </row>
    <row r="578" spans="2:10">
      <c r="C578" s="40">
        <v>2.1850000000000001</v>
      </c>
      <c r="D578" s="34">
        <v>193.9</v>
      </c>
      <c r="E578" s="23">
        <v>107.2</v>
      </c>
      <c r="F578" s="23">
        <v>26.68</v>
      </c>
      <c r="G578" s="23">
        <v>559.20000000000005</v>
      </c>
      <c r="H578" s="40">
        <v>3.7149999999999999</v>
      </c>
      <c r="I578" s="13">
        <f t="shared" si="8"/>
        <v>4.0179910044977509</v>
      </c>
      <c r="J578" s="20"/>
    </row>
    <row r="579" spans="2:10">
      <c r="C579" s="40">
        <v>2.1080000000000001</v>
      </c>
      <c r="D579" s="34">
        <v>192.1</v>
      </c>
      <c r="E579" s="23">
        <v>108.3</v>
      </c>
      <c r="F579" s="23">
        <v>27.43</v>
      </c>
      <c r="G579" s="23">
        <v>560.29999999999995</v>
      </c>
      <c r="H579" s="40">
        <v>3.5910000000000002</v>
      </c>
      <c r="I579" s="13">
        <f t="shared" ref="I579:I642" si="9">E579/F579</f>
        <v>3.948231862923806</v>
      </c>
      <c r="J579" s="20"/>
    </row>
    <row r="580" spans="2:10">
      <c r="C580" s="40">
        <v>2.1240000000000001</v>
      </c>
      <c r="D580" s="34">
        <v>188.7</v>
      </c>
      <c r="E580" s="23">
        <v>107</v>
      </c>
      <c r="F580" s="23">
        <v>29.15</v>
      </c>
      <c r="G580" s="23">
        <v>565.29999999999995</v>
      </c>
      <c r="H580" s="40">
        <v>3.492</v>
      </c>
      <c r="I580" s="13">
        <f t="shared" si="9"/>
        <v>3.6706689536878216</v>
      </c>
      <c r="J580" s="20"/>
    </row>
    <row r="581" spans="2:10">
      <c r="C581" s="40">
        <v>2.1850000000000001</v>
      </c>
      <c r="D581" s="34">
        <v>199.5</v>
      </c>
      <c r="E581" s="23">
        <v>106.8</v>
      </c>
      <c r="F581" s="23">
        <v>28.36</v>
      </c>
      <c r="G581" s="23">
        <v>566.79999999999995</v>
      </c>
      <c r="H581" s="40">
        <v>3.839</v>
      </c>
      <c r="I581" s="13">
        <f t="shared" si="9"/>
        <v>3.7658674188998589</v>
      </c>
      <c r="J581" s="20"/>
    </row>
    <row r="582" spans="2:10">
      <c r="B582" s="47">
        <v>30</v>
      </c>
      <c r="C582" s="39">
        <v>3.1880000000000002</v>
      </c>
      <c r="D582" s="37">
        <v>212.1</v>
      </c>
      <c r="E582" s="38">
        <v>102.9</v>
      </c>
      <c r="F582" s="38">
        <v>49.49</v>
      </c>
      <c r="G582" s="38">
        <v>511.6</v>
      </c>
      <c r="H582" s="39">
        <v>2.6360000000000001</v>
      </c>
      <c r="I582" s="13">
        <f t="shared" si="9"/>
        <v>2.0792079207920793</v>
      </c>
      <c r="J582" s="20"/>
    </row>
    <row r="583" spans="2:10">
      <c r="C583" s="40">
        <v>3.2949999999999999</v>
      </c>
      <c r="D583" s="34">
        <v>198.8</v>
      </c>
      <c r="E583" s="23">
        <v>103</v>
      </c>
      <c r="F583" s="23">
        <v>48.64</v>
      </c>
      <c r="G583" s="23">
        <v>511.5</v>
      </c>
      <c r="H583" s="40">
        <v>2.4489999999999998</v>
      </c>
      <c r="I583" s="13">
        <f t="shared" si="9"/>
        <v>2.1175986842105261</v>
      </c>
      <c r="J583" s="20"/>
    </row>
    <row r="584" spans="2:10">
      <c r="C584" s="40">
        <v>3.3149999999999999</v>
      </c>
      <c r="D584" s="34">
        <v>209</v>
      </c>
      <c r="E584" s="23">
        <v>102.4</v>
      </c>
      <c r="F584" s="23">
        <v>48.05</v>
      </c>
      <c r="G584" s="23">
        <v>510.9</v>
      </c>
      <c r="H584" s="40">
        <v>2.375</v>
      </c>
      <c r="I584" s="13">
        <f t="shared" si="9"/>
        <v>2.1311134235171698</v>
      </c>
      <c r="J584" s="20"/>
    </row>
    <row r="585" spans="2:10">
      <c r="C585" s="40">
        <v>3.2989999999999999</v>
      </c>
      <c r="D585" s="34">
        <v>229</v>
      </c>
      <c r="E585" s="23">
        <v>102.9</v>
      </c>
      <c r="F585" s="23">
        <v>47.47</v>
      </c>
      <c r="G585" s="23">
        <v>511.2</v>
      </c>
      <c r="H585" s="40">
        <v>2.552</v>
      </c>
      <c r="I585" s="13">
        <f t="shared" si="9"/>
        <v>2.1676848535917421</v>
      </c>
      <c r="J585" s="20"/>
    </row>
    <row r="586" spans="2:10">
      <c r="C586" s="40">
        <v>3.2480000000000002</v>
      </c>
      <c r="D586" s="34">
        <v>239.5</v>
      </c>
      <c r="E586" s="23">
        <v>103.5</v>
      </c>
      <c r="F586" s="23">
        <v>50.15</v>
      </c>
      <c r="G586" s="23">
        <v>511.9</v>
      </c>
      <c r="H586" s="40">
        <v>2.65</v>
      </c>
      <c r="I586" s="13">
        <f t="shared" si="9"/>
        <v>2.0638085742771684</v>
      </c>
      <c r="J586" s="20"/>
    </row>
    <row r="587" spans="2:10">
      <c r="C587" s="40">
        <v>3.173</v>
      </c>
      <c r="D587" s="34">
        <v>206.1</v>
      </c>
      <c r="E587" s="23">
        <v>103.2</v>
      </c>
      <c r="F587" s="23">
        <v>49.94</v>
      </c>
      <c r="G587" s="23">
        <v>510.8</v>
      </c>
      <c r="H587" s="40">
        <v>2.5569999999999999</v>
      </c>
      <c r="I587" s="13">
        <f t="shared" si="9"/>
        <v>2.066479775730877</v>
      </c>
      <c r="J587" s="20"/>
    </row>
    <row r="588" spans="2:10">
      <c r="C588" s="40">
        <v>3.0270000000000001</v>
      </c>
      <c r="D588" s="34">
        <v>208</v>
      </c>
      <c r="E588" s="23">
        <v>101.3</v>
      </c>
      <c r="F588" s="23">
        <v>49.03</v>
      </c>
      <c r="G588" s="23">
        <v>511.4</v>
      </c>
      <c r="H588" s="40">
        <v>2.3610000000000002</v>
      </c>
      <c r="I588" s="13">
        <f t="shared" si="9"/>
        <v>2.066081990617989</v>
      </c>
      <c r="J588" s="20"/>
    </row>
    <row r="589" spans="2:10">
      <c r="C589" s="40">
        <v>3.02</v>
      </c>
      <c r="D589" s="34">
        <v>203.1</v>
      </c>
      <c r="E589" s="23">
        <v>101.8</v>
      </c>
      <c r="F589" s="23">
        <v>49.17</v>
      </c>
      <c r="G589" s="23">
        <v>510.8</v>
      </c>
      <c r="H589" s="40">
        <v>2.3639999999999999</v>
      </c>
      <c r="I589" s="13">
        <f t="shared" si="9"/>
        <v>2.0703681106365668</v>
      </c>
      <c r="J589" s="20"/>
    </row>
    <row r="590" spans="2:10">
      <c r="C590" s="40">
        <v>3.1549999999999998</v>
      </c>
      <c r="D590" s="34">
        <v>218.4</v>
      </c>
      <c r="E590" s="23">
        <v>102.7</v>
      </c>
      <c r="F590" s="23">
        <v>49.24</v>
      </c>
      <c r="G590" s="23">
        <v>512</v>
      </c>
      <c r="H590" s="40">
        <v>2.3050000000000002</v>
      </c>
      <c r="I590" s="13">
        <f t="shared" si="9"/>
        <v>2.0857026807473598</v>
      </c>
      <c r="J590" s="20"/>
    </row>
    <row r="591" spans="2:10">
      <c r="C591" s="40">
        <v>3.2749999999999999</v>
      </c>
      <c r="D591" s="34">
        <v>222.2</v>
      </c>
      <c r="E591" s="23">
        <v>101.5</v>
      </c>
      <c r="F591" s="23">
        <v>48.13</v>
      </c>
      <c r="G591" s="23">
        <v>512.5</v>
      </c>
      <c r="H591" s="40">
        <v>2.3940000000000001</v>
      </c>
      <c r="I591" s="13">
        <f t="shared" si="9"/>
        <v>2.1088718055266984</v>
      </c>
      <c r="J591" s="20"/>
    </row>
    <row r="592" spans="2:10">
      <c r="C592" s="40">
        <v>3.3149999999999999</v>
      </c>
      <c r="D592" s="34">
        <v>206.1</v>
      </c>
      <c r="E592" s="23">
        <v>102.5</v>
      </c>
      <c r="F592" s="23">
        <v>48.51</v>
      </c>
      <c r="G592" s="23">
        <v>511.7</v>
      </c>
      <c r="H592" s="40">
        <v>2.722</v>
      </c>
      <c r="I592" s="13">
        <f t="shared" si="9"/>
        <v>2.1129663986806846</v>
      </c>
      <c r="J592" s="20"/>
    </row>
    <row r="593" spans="2:10">
      <c r="C593" s="40">
        <v>3.343</v>
      </c>
      <c r="D593" s="34">
        <v>228</v>
      </c>
      <c r="E593" s="23">
        <v>103.2</v>
      </c>
      <c r="F593" s="23">
        <v>48.44</v>
      </c>
      <c r="G593" s="23">
        <v>511.6</v>
      </c>
      <c r="H593" s="40">
        <v>2.65</v>
      </c>
      <c r="I593" s="13">
        <f t="shared" si="9"/>
        <v>2.1304706853839805</v>
      </c>
      <c r="J593" s="20"/>
    </row>
    <row r="594" spans="2:10">
      <c r="C594" s="40">
        <v>3.2949999999999999</v>
      </c>
      <c r="D594" s="34">
        <v>224</v>
      </c>
      <c r="E594" s="23">
        <v>102.9</v>
      </c>
      <c r="F594" s="23">
        <v>48.79</v>
      </c>
      <c r="G594" s="23">
        <v>512.6</v>
      </c>
      <c r="H594" s="40">
        <v>2.621</v>
      </c>
      <c r="I594" s="13">
        <f t="shared" si="9"/>
        <v>2.1090387374461983</v>
      </c>
      <c r="J594" s="20"/>
    </row>
    <row r="595" spans="2:10">
      <c r="C595" s="40">
        <v>3.2429999999999999</v>
      </c>
      <c r="D595" s="34">
        <v>247.2</v>
      </c>
      <c r="E595" s="23">
        <v>102</v>
      </c>
      <c r="F595" s="23">
        <v>48.44</v>
      </c>
      <c r="G595" s="23">
        <v>510.3</v>
      </c>
      <c r="H595" s="40">
        <v>2.552</v>
      </c>
      <c r="I595" s="13">
        <f t="shared" si="9"/>
        <v>2.1056977704376547</v>
      </c>
      <c r="J595" s="20"/>
    </row>
    <row r="596" spans="2:10">
      <c r="C596" s="40">
        <v>3.214</v>
      </c>
      <c r="D596" s="34">
        <v>239.5</v>
      </c>
      <c r="E596" s="23">
        <v>103</v>
      </c>
      <c r="F596" s="23">
        <v>48.36</v>
      </c>
      <c r="G596" s="23">
        <v>509.8</v>
      </c>
      <c r="H596" s="40">
        <v>2.4729999999999999</v>
      </c>
      <c r="I596" s="13">
        <f t="shared" si="9"/>
        <v>2.1298593879239043</v>
      </c>
      <c r="J596" s="20"/>
    </row>
    <row r="597" spans="2:10">
      <c r="C597" s="40">
        <v>3.1829999999999998</v>
      </c>
      <c r="D597" s="34">
        <v>221.3</v>
      </c>
      <c r="E597" s="23">
        <v>102.1</v>
      </c>
      <c r="F597" s="23">
        <v>47.95</v>
      </c>
      <c r="G597" s="23">
        <v>510.3</v>
      </c>
      <c r="H597" s="40">
        <v>2.347</v>
      </c>
      <c r="I597" s="13">
        <f t="shared" si="9"/>
        <v>2.1293013555787277</v>
      </c>
      <c r="J597" s="20"/>
    </row>
    <row r="598" spans="2:10">
      <c r="C598" s="40">
        <v>3.1789999999999998</v>
      </c>
      <c r="D598" s="34">
        <v>235</v>
      </c>
      <c r="E598" s="23">
        <v>102.2</v>
      </c>
      <c r="F598" s="23">
        <v>48.96</v>
      </c>
      <c r="G598" s="23">
        <v>512.9</v>
      </c>
      <c r="H598" s="40">
        <v>2.476</v>
      </c>
      <c r="I598" s="13">
        <f t="shared" si="9"/>
        <v>2.0874183006535949</v>
      </c>
      <c r="J598" s="20"/>
    </row>
    <row r="599" spans="2:10">
      <c r="C599" s="40">
        <v>3.161</v>
      </c>
      <c r="D599" s="34">
        <v>207.5</v>
      </c>
      <c r="E599" s="23">
        <v>102.4</v>
      </c>
      <c r="F599" s="23">
        <v>49.64</v>
      </c>
      <c r="G599" s="23">
        <v>513.4</v>
      </c>
      <c r="H599" s="40">
        <v>2.4630000000000001</v>
      </c>
      <c r="I599" s="13">
        <f t="shared" si="9"/>
        <v>2.0628525382755845</v>
      </c>
      <c r="J599" s="20"/>
    </row>
    <row r="600" spans="2:10">
      <c r="C600" s="40">
        <v>3.19</v>
      </c>
      <c r="D600" s="34">
        <v>211.1</v>
      </c>
      <c r="E600" s="23">
        <v>102.7</v>
      </c>
      <c r="F600" s="23">
        <v>49.62</v>
      </c>
      <c r="G600" s="23">
        <v>511</v>
      </c>
      <c r="H600" s="40">
        <v>2.359</v>
      </c>
      <c r="I600" s="13">
        <f t="shared" si="9"/>
        <v>2.0697299476017736</v>
      </c>
      <c r="J600" s="20"/>
    </row>
    <row r="601" spans="2:10">
      <c r="C601" s="40">
        <v>3.137</v>
      </c>
      <c r="D601" s="34">
        <v>223.4</v>
      </c>
      <c r="E601" s="23">
        <v>102.1</v>
      </c>
      <c r="F601" s="23">
        <v>48.96</v>
      </c>
      <c r="G601" s="23">
        <v>511.6</v>
      </c>
      <c r="H601" s="40">
        <v>2.4260000000000002</v>
      </c>
      <c r="I601" s="13">
        <f t="shared" si="9"/>
        <v>2.085375816993464</v>
      </c>
      <c r="J601" s="20"/>
    </row>
    <row r="602" spans="2:10">
      <c r="B602" s="47">
        <v>31</v>
      </c>
      <c r="C602" s="39">
        <v>2.3239999999999998</v>
      </c>
      <c r="D602" s="37">
        <v>107.3</v>
      </c>
      <c r="E602" s="38">
        <v>106</v>
      </c>
      <c r="F602" s="38">
        <v>37.32</v>
      </c>
      <c r="G602" s="38">
        <v>523.1</v>
      </c>
      <c r="H602" s="39">
        <v>3.4780000000000002</v>
      </c>
      <c r="I602" s="13">
        <f t="shared" si="9"/>
        <v>2.840300107181136</v>
      </c>
      <c r="J602" s="20"/>
    </row>
    <row r="603" spans="2:10">
      <c r="C603" s="40">
        <v>2.2120000000000002</v>
      </c>
      <c r="D603" s="34">
        <v>102.9</v>
      </c>
      <c r="E603" s="23">
        <v>103.2</v>
      </c>
      <c r="F603" s="23">
        <v>37.54</v>
      </c>
      <c r="G603" s="23">
        <v>523.4</v>
      </c>
      <c r="H603" s="40">
        <v>3.4420000000000002</v>
      </c>
      <c r="I603" s="13">
        <f t="shared" si="9"/>
        <v>2.749067661161428</v>
      </c>
      <c r="J603" s="20"/>
    </row>
    <row r="604" spans="2:10">
      <c r="C604" s="40">
        <v>2.3010000000000002</v>
      </c>
      <c r="D604" s="34">
        <v>104.7</v>
      </c>
      <c r="E604" s="23">
        <v>103.7</v>
      </c>
      <c r="F604" s="23">
        <v>37.979999999999997</v>
      </c>
      <c r="G604" s="23">
        <v>522.9</v>
      </c>
      <c r="H604" s="40">
        <v>3.39</v>
      </c>
      <c r="I604" s="13">
        <f t="shared" si="9"/>
        <v>2.7303844128488679</v>
      </c>
      <c r="J604" s="20"/>
    </row>
    <row r="605" spans="2:10">
      <c r="C605" s="40">
        <v>2.1720000000000002</v>
      </c>
      <c r="D605" s="34">
        <v>124.5</v>
      </c>
      <c r="E605" s="23">
        <v>104</v>
      </c>
      <c r="F605" s="23">
        <v>38.450000000000003</v>
      </c>
      <c r="G605" s="23">
        <v>523.29999999999995</v>
      </c>
      <c r="H605" s="40">
        <v>3.3279999999999998</v>
      </c>
      <c r="I605" s="13">
        <f t="shared" si="9"/>
        <v>2.7048114434330297</v>
      </c>
      <c r="J605" s="20"/>
    </row>
    <row r="606" spans="2:10">
      <c r="C606" s="40">
        <v>2.2290000000000001</v>
      </c>
      <c r="D606" s="34">
        <v>122.9</v>
      </c>
      <c r="E606" s="23">
        <v>103.8</v>
      </c>
      <c r="F606" s="23">
        <v>38.229999999999997</v>
      </c>
      <c r="G606" s="23">
        <v>524.70000000000005</v>
      </c>
      <c r="H606" s="40">
        <v>3.2069999999999999</v>
      </c>
      <c r="I606" s="13">
        <f t="shared" si="9"/>
        <v>2.7151451739471621</v>
      </c>
      <c r="J606" s="20"/>
    </row>
    <row r="607" spans="2:10">
      <c r="C607" s="40">
        <v>2.2610000000000001</v>
      </c>
      <c r="D607" s="34">
        <v>111.1</v>
      </c>
      <c r="E607" s="23">
        <v>104.3</v>
      </c>
      <c r="F607" s="23">
        <v>38.479999999999997</v>
      </c>
      <c r="G607" s="23">
        <v>527.6</v>
      </c>
      <c r="H607" s="40">
        <v>3.173</v>
      </c>
      <c r="I607" s="13">
        <f t="shared" si="9"/>
        <v>2.7104989604989607</v>
      </c>
      <c r="J607" s="20"/>
    </row>
    <row r="608" spans="2:10">
      <c r="C608" s="40">
        <v>2.0859999999999999</v>
      </c>
      <c r="D608" s="34">
        <v>124.5</v>
      </c>
      <c r="E608" s="23">
        <v>103.4</v>
      </c>
      <c r="F608" s="23">
        <v>38.159999999999997</v>
      </c>
      <c r="G608" s="23">
        <v>524.70000000000005</v>
      </c>
      <c r="H608" s="40">
        <v>3.07</v>
      </c>
      <c r="I608" s="13">
        <f t="shared" si="9"/>
        <v>2.7096436058700215</v>
      </c>
      <c r="J608" s="20"/>
    </row>
    <row r="609" spans="2:10">
      <c r="C609" s="40">
        <v>2.5880000000000001</v>
      </c>
      <c r="D609" s="34">
        <v>124.6</v>
      </c>
      <c r="E609" s="23">
        <v>102.8</v>
      </c>
      <c r="F609" s="23">
        <v>38.25</v>
      </c>
      <c r="G609" s="23">
        <v>525.70000000000005</v>
      </c>
      <c r="H609" s="40">
        <v>3.0739999999999998</v>
      </c>
      <c r="I609" s="13">
        <f t="shared" si="9"/>
        <v>2.687581699346405</v>
      </c>
      <c r="J609" s="20"/>
    </row>
    <row r="610" spans="2:10">
      <c r="C610" s="40">
        <v>2.57</v>
      </c>
      <c r="D610" s="34">
        <v>100.8</v>
      </c>
      <c r="E610" s="23">
        <v>102.7</v>
      </c>
      <c r="F610" s="23">
        <v>38.9</v>
      </c>
      <c r="G610" s="23">
        <v>526.5</v>
      </c>
      <c r="H610" s="40">
        <v>3.1720000000000002</v>
      </c>
      <c r="I610" s="13">
        <f t="shared" si="9"/>
        <v>2.6401028277634961</v>
      </c>
      <c r="J610" s="20"/>
    </row>
    <row r="611" spans="2:10">
      <c r="C611" s="40">
        <v>2.5030000000000001</v>
      </c>
      <c r="D611" s="34">
        <v>111.9</v>
      </c>
      <c r="E611" s="23">
        <v>103.1</v>
      </c>
      <c r="F611" s="23">
        <v>37.950000000000003</v>
      </c>
      <c r="G611" s="23">
        <v>523.79999999999995</v>
      </c>
      <c r="H611" s="40">
        <v>3.1240000000000001</v>
      </c>
      <c r="I611" s="13">
        <f t="shared" si="9"/>
        <v>2.7167325428194991</v>
      </c>
      <c r="J611" s="20"/>
    </row>
    <row r="612" spans="2:10">
      <c r="C612" s="40">
        <v>2.3010000000000002</v>
      </c>
      <c r="D612" s="34">
        <v>97.05</v>
      </c>
      <c r="E612" s="23">
        <v>102.4</v>
      </c>
      <c r="F612" s="23">
        <v>38.369999999999997</v>
      </c>
      <c r="G612" s="23">
        <v>521.79999999999995</v>
      </c>
      <c r="H612" s="40">
        <v>3.141</v>
      </c>
      <c r="I612" s="13">
        <f t="shared" si="9"/>
        <v>2.668751628876727</v>
      </c>
      <c r="J612" s="20"/>
    </row>
    <row r="613" spans="2:10">
      <c r="C613" s="40">
        <v>2.2120000000000002</v>
      </c>
      <c r="D613" s="34">
        <v>98.31</v>
      </c>
      <c r="E613" s="23">
        <v>103.4</v>
      </c>
      <c r="F613" s="23">
        <v>38.21</v>
      </c>
      <c r="G613" s="23">
        <v>522.6</v>
      </c>
      <c r="H613" s="40">
        <v>3.2719999999999998</v>
      </c>
      <c r="I613" s="13">
        <f t="shared" si="9"/>
        <v>2.70609788013609</v>
      </c>
      <c r="J613" s="20"/>
    </row>
    <row r="614" spans="2:10">
      <c r="C614" s="40">
        <v>2.1110000000000002</v>
      </c>
      <c r="D614" s="34">
        <v>97.2</v>
      </c>
      <c r="E614" s="23">
        <v>103.8</v>
      </c>
      <c r="F614" s="23">
        <v>37.82</v>
      </c>
      <c r="G614" s="23">
        <v>523.70000000000005</v>
      </c>
      <c r="H614" s="40">
        <v>3.5289999999999999</v>
      </c>
      <c r="I614" s="13">
        <f t="shared" si="9"/>
        <v>2.7445795875198309</v>
      </c>
      <c r="J614" s="20"/>
    </row>
    <row r="615" spans="2:10">
      <c r="C615" s="40">
        <v>2.5329999999999999</v>
      </c>
      <c r="D615" s="34">
        <v>86.55</v>
      </c>
      <c r="E615" s="23">
        <v>103.2</v>
      </c>
      <c r="F615" s="23">
        <v>38.549999999999997</v>
      </c>
      <c r="G615" s="23">
        <v>523.20000000000005</v>
      </c>
      <c r="H615" s="40">
        <v>3.4780000000000002</v>
      </c>
      <c r="I615" s="13">
        <f t="shared" si="9"/>
        <v>2.6770428015564205</v>
      </c>
      <c r="J615" s="20"/>
    </row>
    <row r="616" spans="2:10">
      <c r="C616" s="40">
        <v>2.4089999999999998</v>
      </c>
      <c r="D616" s="34">
        <v>108.1</v>
      </c>
      <c r="E616" s="23">
        <v>103.1</v>
      </c>
      <c r="F616" s="23">
        <v>40.14</v>
      </c>
      <c r="G616" s="23">
        <v>521.6</v>
      </c>
      <c r="H616" s="40">
        <v>3.2610000000000001</v>
      </c>
      <c r="I616" s="13">
        <f t="shared" si="9"/>
        <v>2.5685102142501246</v>
      </c>
      <c r="J616" s="20"/>
    </row>
    <row r="617" spans="2:10">
      <c r="C617" s="40">
        <v>2.2320000000000002</v>
      </c>
      <c r="D617" s="34">
        <v>122.9</v>
      </c>
      <c r="E617" s="23">
        <v>103.5</v>
      </c>
      <c r="F617" s="23">
        <v>39.5</v>
      </c>
      <c r="G617" s="23">
        <v>522.9</v>
      </c>
      <c r="H617" s="40">
        <v>3.367</v>
      </c>
      <c r="I617" s="13">
        <f t="shared" si="9"/>
        <v>2.6202531645569622</v>
      </c>
      <c r="J617" s="20"/>
    </row>
    <row r="618" spans="2:10">
      <c r="C618" s="40">
        <v>2.2730000000000001</v>
      </c>
      <c r="D618" s="34">
        <v>105.7</v>
      </c>
      <c r="E618" s="23">
        <v>103.2</v>
      </c>
      <c r="F618" s="23">
        <v>37.909999999999997</v>
      </c>
      <c r="G618" s="23">
        <v>524.1</v>
      </c>
      <c r="H618" s="40">
        <v>3.407</v>
      </c>
      <c r="I618" s="13">
        <f t="shared" si="9"/>
        <v>2.7222368768135059</v>
      </c>
      <c r="J618" s="20"/>
    </row>
    <row r="619" spans="2:10">
      <c r="C619" s="40">
        <v>2.4009999999999998</v>
      </c>
      <c r="D619" s="34">
        <v>128.30000000000001</v>
      </c>
      <c r="E619" s="23">
        <v>102.9</v>
      </c>
      <c r="F619" s="23">
        <v>38.14</v>
      </c>
      <c r="G619" s="23">
        <v>525.20000000000005</v>
      </c>
      <c r="H619" s="40">
        <v>3.4340000000000002</v>
      </c>
      <c r="I619" s="13">
        <f t="shared" si="9"/>
        <v>2.6979549029889882</v>
      </c>
      <c r="J619" s="20"/>
    </row>
    <row r="620" spans="2:10">
      <c r="C620" s="40">
        <v>2.4359999999999999</v>
      </c>
      <c r="D620" s="34">
        <v>119</v>
      </c>
      <c r="E620" s="23">
        <v>102.6</v>
      </c>
      <c r="F620" s="23">
        <v>38.46</v>
      </c>
      <c r="G620" s="23">
        <v>523.29999999999995</v>
      </c>
      <c r="H620" s="40">
        <v>3.5419999999999998</v>
      </c>
      <c r="I620" s="13">
        <f t="shared" si="9"/>
        <v>2.6677067082683306</v>
      </c>
      <c r="J620" s="20"/>
    </row>
    <row r="621" spans="2:10">
      <c r="C621" s="40">
        <v>2.456</v>
      </c>
      <c r="D621" s="34">
        <v>97.95</v>
      </c>
      <c r="E621" s="23">
        <v>102.3</v>
      </c>
      <c r="F621" s="23">
        <v>39.200000000000003</v>
      </c>
      <c r="G621" s="23">
        <v>523.79999999999995</v>
      </c>
      <c r="H621" s="40">
        <v>3.532</v>
      </c>
      <c r="I621" s="13">
        <f t="shared" si="9"/>
        <v>2.6096938775510203</v>
      </c>
      <c r="J621" s="20"/>
    </row>
    <row r="622" spans="2:10">
      <c r="B622" s="47">
        <v>32</v>
      </c>
      <c r="C622" s="39">
        <v>2.3370000000000002</v>
      </c>
      <c r="D622" s="37">
        <v>211.6</v>
      </c>
      <c r="E622" s="38">
        <v>111.5</v>
      </c>
      <c r="F622" s="38">
        <v>21.46</v>
      </c>
      <c r="G622" s="38">
        <v>518.5</v>
      </c>
      <c r="H622" s="39">
        <v>4.28</v>
      </c>
      <c r="I622" s="13">
        <f t="shared" si="9"/>
        <v>5.1957129543336436</v>
      </c>
      <c r="J622" s="20"/>
    </row>
    <row r="623" spans="2:10">
      <c r="C623" s="40">
        <v>2.226</v>
      </c>
      <c r="D623" s="34">
        <v>200.3</v>
      </c>
      <c r="E623" s="23">
        <v>109.3</v>
      </c>
      <c r="F623" s="23">
        <v>21.71</v>
      </c>
      <c r="G623" s="23">
        <v>523.79999999999995</v>
      </c>
      <c r="H623" s="40">
        <v>4.2699999999999996</v>
      </c>
      <c r="I623" s="13">
        <f t="shared" si="9"/>
        <v>5.0345462920313215</v>
      </c>
      <c r="J623" s="20"/>
    </row>
    <row r="624" spans="2:10">
      <c r="C624" s="40">
        <v>2.5139999999999998</v>
      </c>
      <c r="D624" s="34">
        <v>202.1</v>
      </c>
      <c r="E624" s="23">
        <v>109.7</v>
      </c>
      <c r="F624" s="23">
        <v>22.63</v>
      </c>
      <c r="G624" s="23">
        <v>526.5</v>
      </c>
      <c r="H624" s="40">
        <v>4.2640000000000002</v>
      </c>
      <c r="I624" s="13">
        <f t="shared" si="9"/>
        <v>4.8475475033141855</v>
      </c>
      <c r="J624" s="20"/>
    </row>
    <row r="625" spans="3:10">
      <c r="C625" s="40">
        <v>2.4660000000000002</v>
      </c>
      <c r="D625" s="34">
        <v>177.6</v>
      </c>
      <c r="E625" s="23">
        <v>110</v>
      </c>
      <c r="F625" s="23">
        <v>22.65</v>
      </c>
      <c r="G625" s="23">
        <v>528.20000000000005</v>
      </c>
      <c r="H625" s="40">
        <v>4.28</v>
      </c>
      <c r="I625" s="13">
        <f t="shared" si="9"/>
        <v>4.8565121412803531</v>
      </c>
      <c r="J625" s="20"/>
    </row>
    <row r="626" spans="3:10">
      <c r="C626" s="40">
        <v>2.5859999999999999</v>
      </c>
      <c r="D626" s="34">
        <v>197.6</v>
      </c>
      <c r="E626" s="23">
        <v>109.9</v>
      </c>
      <c r="F626" s="23">
        <v>22.46</v>
      </c>
      <c r="G626" s="23">
        <v>529.70000000000005</v>
      </c>
      <c r="H626" s="40">
        <v>4.3520000000000003</v>
      </c>
      <c r="I626" s="13">
        <f t="shared" si="9"/>
        <v>4.8931433659839714</v>
      </c>
      <c r="J626" s="20"/>
    </row>
    <row r="627" spans="3:10">
      <c r="C627" s="40">
        <v>2.4660000000000002</v>
      </c>
      <c r="D627" s="34">
        <v>189.9</v>
      </c>
      <c r="E627" s="23">
        <v>110.3</v>
      </c>
      <c r="F627" s="23">
        <v>24.05</v>
      </c>
      <c r="G627" s="23">
        <v>528.4</v>
      </c>
      <c r="H627" s="40">
        <v>4.383</v>
      </c>
      <c r="I627" s="13">
        <f t="shared" si="9"/>
        <v>4.5862785862785858</v>
      </c>
      <c r="J627" s="20"/>
    </row>
    <row r="628" spans="3:10">
      <c r="C628" s="40">
        <v>2.5470000000000002</v>
      </c>
      <c r="D628" s="34">
        <v>181.5</v>
      </c>
      <c r="E628" s="23">
        <v>110.6</v>
      </c>
      <c r="F628" s="23">
        <v>24.52</v>
      </c>
      <c r="G628" s="23">
        <v>529.79999999999995</v>
      </c>
      <c r="H628" s="40">
        <v>4.4729999999999999</v>
      </c>
      <c r="I628" s="13">
        <f t="shared" si="9"/>
        <v>4.5106035889070144</v>
      </c>
      <c r="J628" s="20"/>
    </row>
    <row r="629" spans="3:10">
      <c r="C629" s="40">
        <v>2.5630000000000002</v>
      </c>
      <c r="D629" s="34">
        <v>187.5</v>
      </c>
      <c r="E629" s="23">
        <v>109.9</v>
      </c>
      <c r="F629" s="23">
        <v>25.22</v>
      </c>
      <c r="G629" s="23">
        <v>527.70000000000005</v>
      </c>
      <c r="H629" s="40">
        <v>4.5960000000000001</v>
      </c>
      <c r="I629" s="13">
        <f t="shared" si="9"/>
        <v>4.3576526566217293</v>
      </c>
      <c r="J629" s="20"/>
    </row>
    <row r="630" spans="3:10">
      <c r="C630" s="40">
        <v>2.6659999999999999</v>
      </c>
      <c r="D630" s="34">
        <v>171.1</v>
      </c>
      <c r="E630" s="23">
        <v>110.5</v>
      </c>
      <c r="F630" s="23">
        <v>22.67</v>
      </c>
      <c r="G630" s="23">
        <v>522.6</v>
      </c>
      <c r="H630" s="40">
        <v>4.66</v>
      </c>
      <c r="I630" s="13">
        <f t="shared" si="9"/>
        <v>4.8742831936479929</v>
      </c>
      <c r="J630" s="20"/>
    </row>
    <row r="631" spans="3:10">
      <c r="C631" s="40">
        <v>2.5609999999999999</v>
      </c>
      <c r="D631" s="34">
        <v>179</v>
      </c>
      <c r="E631" s="23">
        <v>110</v>
      </c>
      <c r="F631" s="23">
        <v>22.87</v>
      </c>
      <c r="G631" s="23">
        <v>522</v>
      </c>
      <c r="H631" s="40">
        <v>4.67</v>
      </c>
      <c r="I631" s="13">
        <f t="shared" si="9"/>
        <v>4.809794490599038</v>
      </c>
      <c r="J631" s="20"/>
    </row>
    <row r="632" spans="3:10">
      <c r="C632" s="40">
        <v>2.4359999999999999</v>
      </c>
      <c r="D632" s="34">
        <v>187.1</v>
      </c>
      <c r="E632" s="23">
        <v>110.1</v>
      </c>
      <c r="F632" s="23">
        <v>23.12</v>
      </c>
      <c r="G632" s="23">
        <v>528.5</v>
      </c>
      <c r="H632" s="40">
        <v>4.6470000000000002</v>
      </c>
      <c r="I632" s="13">
        <f t="shared" si="9"/>
        <v>4.7621107266435985</v>
      </c>
      <c r="J632" s="20"/>
    </row>
    <row r="633" spans="3:10">
      <c r="C633" s="40">
        <v>2.395</v>
      </c>
      <c r="D633" s="34">
        <v>190.5</v>
      </c>
      <c r="E633" s="23">
        <v>109.8</v>
      </c>
      <c r="F633" s="23">
        <v>23.61</v>
      </c>
      <c r="G633" s="23">
        <v>525.20000000000005</v>
      </c>
      <c r="H633" s="40">
        <v>4.4480000000000004</v>
      </c>
      <c r="I633" s="13">
        <f t="shared" si="9"/>
        <v>4.6505717916137232</v>
      </c>
      <c r="J633" s="20"/>
    </row>
    <row r="634" spans="3:10">
      <c r="C634" s="40">
        <v>2.2450000000000001</v>
      </c>
      <c r="D634" s="34">
        <v>181.8</v>
      </c>
      <c r="E634" s="23">
        <v>111.3</v>
      </c>
      <c r="F634" s="23">
        <v>22.4</v>
      </c>
      <c r="G634" s="23">
        <v>517.1</v>
      </c>
      <c r="H634" s="40">
        <v>4.383</v>
      </c>
      <c r="I634" s="13">
        <f t="shared" si="9"/>
        <v>4.96875</v>
      </c>
      <c r="J634" s="20"/>
    </row>
    <row r="635" spans="3:10">
      <c r="C635" s="40">
        <v>2.3530000000000002</v>
      </c>
      <c r="D635" s="34">
        <v>172</v>
      </c>
      <c r="E635" s="23">
        <v>109.4</v>
      </c>
      <c r="F635" s="23">
        <v>21.95</v>
      </c>
      <c r="G635" s="23">
        <v>517.6</v>
      </c>
      <c r="H635" s="40">
        <v>4.5389999999999997</v>
      </c>
      <c r="I635" s="13">
        <f t="shared" si="9"/>
        <v>4.9840546697038732</v>
      </c>
      <c r="J635" s="20"/>
    </row>
    <row r="636" spans="3:10">
      <c r="C636" s="40">
        <v>2.3559999999999999</v>
      </c>
      <c r="D636" s="34">
        <v>177.3</v>
      </c>
      <c r="E636" s="23">
        <v>110.5</v>
      </c>
      <c r="F636" s="23">
        <v>22.42</v>
      </c>
      <c r="G636" s="23">
        <v>517.4</v>
      </c>
      <c r="H636" s="40">
        <v>4.6150000000000002</v>
      </c>
      <c r="I636" s="13">
        <f t="shared" si="9"/>
        <v>4.9286351471900085</v>
      </c>
      <c r="J636" s="20"/>
    </row>
    <row r="637" spans="3:10">
      <c r="C637" s="40">
        <v>2.2770000000000001</v>
      </c>
      <c r="D637" s="34">
        <v>190.5</v>
      </c>
      <c r="E637" s="23">
        <v>110.2</v>
      </c>
      <c r="F637" s="23">
        <v>22.75</v>
      </c>
      <c r="G637" s="23">
        <v>524.20000000000005</v>
      </c>
      <c r="H637" s="40">
        <v>4.68</v>
      </c>
      <c r="I637" s="13">
        <f t="shared" si="9"/>
        <v>4.8439560439560445</v>
      </c>
      <c r="J637" s="20"/>
    </row>
    <row r="638" spans="3:10">
      <c r="C638" s="40">
        <v>2.226</v>
      </c>
      <c r="D638" s="34">
        <v>207.9</v>
      </c>
      <c r="E638" s="23">
        <v>108.8</v>
      </c>
      <c r="F638" s="23">
        <v>22.71</v>
      </c>
      <c r="G638" s="23">
        <v>527.6</v>
      </c>
      <c r="H638" s="40">
        <v>4.6219999999999999</v>
      </c>
      <c r="I638" s="13">
        <f t="shared" si="9"/>
        <v>4.7908410391897842</v>
      </c>
      <c r="J638" s="20"/>
    </row>
    <row r="639" spans="3:10">
      <c r="C639" s="40">
        <v>2.056</v>
      </c>
      <c r="D639" s="34">
        <v>185.9</v>
      </c>
      <c r="E639" s="23">
        <v>109.6</v>
      </c>
      <c r="F639" s="23">
        <v>21.95</v>
      </c>
      <c r="G639" s="23">
        <v>521.6</v>
      </c>
      <c r="H639" s="40">
        <v>4.6020000000000003</v>
      </c>
      <c r="I639" s="13">
        <f t="shared" si="9"/>
        <v>4.9931662870159457</v>
      </c>
      <c r="J639" s="20"/>
    </row>
    <row r="640" spans="3:10">
      <c r="C640" s="40">
        <v>2.0590000000000002</v>
      </c>
      <c r="D640" s="34">
        <v>189.9</v>
      </c>
      <c r="E640" s="23">
        <v>110.4</v>
      </c>
      <c r="F640" s="23">
        <v>22.63</v>
      </c>
      <c r="G640" s="23">
        <v>521.1</v>
      </c>
      <c r="H640" s="40">
        <v>4.4539999999999997</v>
      </c>
      <c r="I640" s="13">
        <f t="shared" si="9"/>
        <v>4.8784798939460901</v>
      </c>
      <c r="J640" s="20"/>
    </row>
    <row r="641" spans="2:10">
      <c r="C641" s="40">
        <v>2.2389999999999999</v>
      </c>
      <c r="D641" s="34">
        <v>194.3</v>
      </c>
      <c r="E641" s="23">
        <v>109.9</v>
      </c>
      <c r="F641" s="23">
        <v>22.87</v>
      </c>
      <c r="G641" s="23">
        <v>520.6</v>
      </c>
      <c r="H641" s="40">
        <v>4.3410000000000002</v>
      </c>
      <c r="I641" s="13">
        <f t="shared" si="9"/>
        <v>4.8054219501530389</v>
      </c>
      <c r="J641" s="20"/>
    </row>
    <row r="642" spans="2:10">
      <c r="B642" s="47">
        <v>33</v>
      </c>
      <c r="C642" s="39">
        <v>2.6269999999999998</v>
      </c>
      <c r="D642" s="37">
        <v>244.6</v>
      </c>
      <c r="E642" s="38">
        <v>111.9</v>
      </c>
      <c r="F642" s="38">
        <v>27</v>
      </c>
      <c r="G642" s="38">
        <v>519</v>
      </c>
      <c r="H642" s="39">
        <v>2.5630000000000002</v>
      </c>
      <c r="I642" s="13">
        <f t="shared" si="9"/>
        <v>4.1444444444444448</v>
      </c>
      <c r="J642" s="48"/>
    </row>
    <row r="643" spans="2:10">
      <c r="C643" s="40">
        <v>2.6339999999999999</v>
      </c>
      <c r="D643" s="34">
        <v>267.8</v>
      </c>
      <c r="E643" s="23">
        <v>111.2</v>
      </c>
      <c r="F643" s="23">
        <v>26.72</v>
      </c>
      <c r="G643" s="23">
        <v>515.6</v>
      </c>
      <c r="H643" s="40">
        <v>2.0569999999999999</v>
      </c>
      <c r="I643" s="13">
        <f t="shared" ref="I643:I706" si="10">E643/F643</f>
        <v>4.1616766467065869</v>
      </c>
      <c r="J643" s="48"/>
    </row>
    <row r="644" spans="2:10">
      <c r="C644" s="40">
        <v>2.4529999999999998</v>
      </c>
      <c r="D644" s="34">
        <v>219</v>
      </c>
      <c r="E644" s="23">
        <v>110.9</v>
      </c>
      <c r="F644" s="23">
        <v>27.75</v>
      </c>
      <c r="G644" s="23">
        <v>518.70000000000005</v>
      </c>
      <c r="H644" s="40">
        <v>1.988</v>
      </c>
      <c r="I644" s="13">
        <f t="shared" si="10"/>
        <v>3.9963963963963964</v>
      </c>
      <c r="J644" s="48"/>
    </row>
    <row r="645" spans="2:10">
      <c r="C645" s="40">
        <v>2.5379999999999998</v>
      </c>
      <c r="D645" s="34">
        <v>209</v>
      </c>
      <c r="E645" s="23">
        <v>111.4</v>
      </c>
      <c r="F645" s="23">
        <v>26.55</v>
      </c>
      <c r="G645" s="23">
        <v>521.4</v>
      </c>
      <c r="H645" s="40">
        <v>1.9830000000000001</v>
      </c>
      <c r="I645" s="13">
        <f t="shared" si="10"/>
        <v>4.1958568738229758</v>
      </c>
      <c r="J645" s="48"/>
    </row>
    <row r="646" spans="2:10">
      <c r="C646" s="40">
        <v>2.5259999999999998</v>
      </c>
      <c r="D646" s="34">
        <v>270.7</v>
      </c>
      <c r="E646" s="23">
        <v>112.2</v>
      </c>
      <c r="F646" s="23">
        <v>26.54</v>
      </c>
      <c r="G646" s="23">
        <v>518.70000000000005</v>
      </c>
      <c r="H646" s="40">
        <v>2.0910000000000002</v>
      </c>
      <c r="I646" s="13">
        <f t="shared" si="10"/>
        <v>4.2275810097965341</v>
      </c>
      <c r="J646" s="48"/>
    </row>
    <row r="647" spans="2:10">
      <c r="C647" s="40">
        <v>2.5870000000000002</v>
      </c>
      <c r="D647" s="34">
        <v>181.4</v>
      </c>
      <c r="E647" s="23">
        <v>112</v>
      </c>
      <c r="F647" s="23">
        <v>27.49</v>
      </c>
      <c r="G647" s="23">
        <v>519.5</v>
      </c>
      <c r="H647" s="40">
        <v>2.077</v>
      </c>
      <c r="I647" s="13">
        <f t="shared" si="10"/>
        <v>4.0742088032011639</v>
      </c>
      <c r="J647" s="48"/>
    </row>
    <row r="648" spans="2:10">
      <c r="C648" s="40">
        <v>2.6309999999999998</v>
      </c>
      <c r="D648" s="34">
        <v>213.9</v>
      </c>
      <c r="E648" s="23">
        <v>111.3</v>
      </c>
      <c r="F648" s="23">
        <v>26.5</v>
      </c>
      <c r="G648" s="23">
        <v>519</v>
      </c>
      <c r="H648" s="40">
        <v>2.2759999999999998</v>
      </c>
      <c r="I648" s="13">
        <f t="shared" si="10"/>
        <v>4.2</v>
      </c>
      <c r="J648" s="48"/>
    </row>
    <row r="649" spans="2:10">
      <c r="C649" s="40">
        <v>2.5609999999999999</v>
      </c>
      <c r="D649" s="34">
        <v>280.60000000000002</v>
      </c>
      <c r="E649" s="23">
        <v>110.8</v>
      </c>
      <c r="F649" s="23">
        <v>27.28</v>
      </c>
      <c r="G649" s="23">
        <v>521.1</v>
      </c>
      <c r="H649" s="40">
        <v>2.6509999999999998</v>
      </c>
      <c r="I649" s="13">
        <f t="shared" si="10"/>
        <v>4.0615835777126099</v>
      </c>
      <c r="J649" s="48"/>
    </row>
    <row r="650" spans="2:10">
      <c r="C650" s="40">
        <v>2.3570000000000002</v>
      </c>
      <c r="D650" s="34">
        <v>231.3</v>
      </c>
      <c r="E650" s="23">
        <v>111.8</v>
      </c>
      <c r="F650" s="23">
        <v>26.72</v>
      </c>
      <c r="G650" s="23">
        <v>526.5</v>
      </c>
      <c r="H650" s="40">
        <v>2.7679999999999998</v>
      </c>
      <c r="I650" s="13">
        <f t="shared" si="10"/>
        <v>4.1841317365269459</v>
      </c>
      <c r="J650" s="48"/>
    </row>
    <row r="651" spans="2:10">
      <c r="C651" s="40">
        <v>2.3490000000000002</v>
      </c>
      <c r="D651" s="34">
        <v>203.3</v>
      </c>
      <c r="E651" s="23">
        <v>112.1</v>
      </c>
      <c r="F651" s="23">
        <v>26.67</v>
      </c>
      <c r="G651" s="23">
        <v>523.9</v>
      </c>
      <c r="H651" s="40">
        <v>2.9449999999999998</v>
      </c>
      <c r="I651" s="13">
        <f t="shared" si="10"/>
        <v>4.2032245969253834</v>
      </c>
      <c r="J651" s="48"/>
    </row>
    <row r="652" spans="2:10">
      <c r="C652" s="40">
        <v>2.1970000000000001</v>
      </c>
      <c r="D652" s="34">
        <v>183.5</v>
      </c>
      <c r="E652" s="23">
        <v>111.1</v>
      </c>
      <c r="F652" s="23">
        <v>26.35</v>
      </c>
      <c r="G652" s="23">
        <v>519</v>
      </c>
      <c r="H652" s="40">
        <v>2.8079999999999998</v>
      </c>
      <c r="I652" s="13">
        <f t="shared" si="10"/>
        <v>4.2163187855787472</v>
      </c>
      <c r="J652" s="48"/>
    </row>
    <row r="653" spans="2:10">
      <c r="C653" s="40">
        <v>2.4390000000000001</v>
      </c>
      <c r="D653" s="34">
        <v>209</v>
      </c>
      <c r="E653" s="23">
        <v>112.4</v>
      </c>
      <c r="F653" s="23">
        <v>25.81</v>
      </c>
      <c r="G653" s="23">
        <v>514</v>
      </c>
      <c r="H653" s="40">
        <v>2.5979999999999999</v>
      </c>
      <c r="I653" s="13">
        <f t="shared" si="10"/>
        <v>4.3549012010848509</v>
      </c>
      <c r="J653" s="48"/>
    </row>
    <row r="654" spans="2:10">
      <c r="C654" s="40">
        <v>2.4830000000000001</v>
      </c>
      <c r="D654" s="34">
        <v>197</v>
      </c>
      <c r="E654" s="23">
        <v>112.8</v>
      </c>
      <c r="F654" s="23">
        <v>25.73</v>
      </c>
      <c r="G654" s="23">
        <v>516</v>
      </c>
      <c r="H654" s="40">
        <v>2.3780000000000001</v>
      </c>
      <c r="I654" s="13">
        <f t="shared" si="10"/>
        <v>4.3839875631558494</v>
      </c>
      <c r="J654" s="48"/>
    </row>
    <row r="655" spans="2:10">
      <c r="C655" s="40">
        <v>2.58</v>
      </c>
      <c r="D655" s="34">
        <v>191.2</v>
      </c>
      <c r="E655" s="23">
        <v>112.1</v>
      </c>
      <c r="F655" s="23">
        <v>26.08</v>
      </c>
      <c r="G655" s="23">
        <v>518.29999999999995</v>
      </c>
      <c r="H655" s="40">
        <v>2.4729999999999999</v>
      </c>
      <c r="I655" s="13">
        <f t="shared" si="10"/>
        <v>4.2983128834355826</v>
      </c>
      <c r="J655" s="48"/>
    </row>
    <row r="656" spans="2:10">
      <c r="C656" s="40">
        <v>2.7570000000000001</v>
      </c>
      <c r="D656" s="34">
        <v>221.3</v>
      </c>
      <c r="E656" s="23">
        <v>111.7</v>
      </c>
      <c r="F656" s="23">
        <v>26.29</v>
      </c>
      <c r="G656" s="23">
        <v>519.70000000000005</v>
      </c>
      <c r="H656" s="40">
        <v>2.4510000000000001</v>
      </c>
      <c r="I656" s="13">
        <f t="shared" si="10"/>
        <v>4.2487637885127425</v>
      </c>
      <c r="J656" s="48"/>
    </row>
    <row r="657" spans="2:10">
      <c r="C657" s="40">
        <v>2.5449999999999999</v>
      </c>
      <c r="D657" s="34">
        <v>213.6</v>
      </c>
      <c r="E657" s="23">
        <v>110.6</v>
      </c>
      <c r="F657" s="23">
        <v>27.47</v>
      </c>
      <c r="G657" s="23">
        <v>521.4</v>
      </c>
      <c r="H657" s="40">
        <v>2.3290000000000002</v>
      </c>
      <c r="I657" s="13">
        <f t="shared" si="10"/>
        <v>4.0262104113578445</v>
      </c>
      <c r="J657" s="48"/>
    </row>
    <row r="658" spans="2:10">
      <c r="C658" s="40">
        <v>2.492</v>
      </c>
      <c r="D658" s="34">
        <v>202.4</v>
      </c>
      <c r="E658" s="23">
        <v>110.8</v>
      </c>
      <c r="F658" s="23">
        <v>26.99</v>
      </c>
      <c r="G658" s="23">
        <v>525.4</v>
      </c>
      <c r="H658" s="40">
        <v>2.1920000000000002</v>
      </c>
      <c r="I658" s="13">
        <f t="shared" si="10"/>
        <v>4.1052241570952201</v>
      </c>
      <c r="J658" s="48"/>
    </row>
    <row r="659" spans="2:10">
      <c r="C659" s="40">
        <v>2.4020000000000001</v>
      </c>
      <c r="D659" s="34">
        <v>188.8</v>
      </c>
      <c r="E659" s="23">
        <v>111.3</v>
      </c>
      <c r="F659" s="23">
        <v>26.63</v>
      </c>
      <c r="G659" s="23">
        <v>524.70000000000005</v>
      </c>
      <c r="H659" s="40">
        <v>2.246</v>
      </c>
      <c r="I659" s="13">
        <f t="shared" si="10"/>
        <v>4.1794968081111525</v>
      </c>
      <c r="J659" s="48"/>
    </row>
    <row r="660" spans="2:10">
      <c r="C660" s="40">
        <v>2.1989999999999998</v>
      </c>
      <c r="D660" s="34">
        <v>213.5</v>
      </c>
      <c r="E660" s="23">
        <v>111.4</v>
      </c>
      <c r="F660" s="23">
        <v>28.02</v>
      </c>
      <c r="G660" s="23">
        <v>516</v>
      </c>
      <c r="H660" s="40">
        <v>2.0209999999999999</v>
      </c>
      <c r="I660" s="13">
        <f t="shared" si="10"/>
        <v>3.9757316202712349</v>
      </c>
      <c r="J660" s="48"/>
    </row>
    <row r="661" spans="2:10">
      <c r="C661" s="40">
        <v>2.33</v>
      </c>
      <c r="D661" s="34">
        <v>197.4</v>
      </c>
      <c r="E661" s="23">
        <v>111.6</v>
      </c>
      <c r="F661" s="23">
        <v>27.28</v>
      </c>
      <c r="G661" s="23">
        <v>524.9</v>
      </c>
      <c r="H661" s="40">
        <v>1.92</v>
      </c>
      <c r="I661" s="13">
        <f t="shared" si="10"/>
        <v>4.0909090909090908</v>
      </c>
      <c r="J661" s="48"/>
    </row>
    <row r="662" spans="2:10">
      <c r="B662" s="47">
        <v>34</v>
      </c>
      <c r="C662" s="39">
        <v>1.764</v>
      </c>
      <c r="D662" s="37">
        <v>202.6</v>
      </c>
      <c r="E662" s="38">
        <v>87.35</v>
      </c>
      <c r="F662" s="38">
        <v>30.41</v>
      </c>
      <c r="G662" s="38">
        <v>548.79999999999995</v>
      </c>
      <c r="H662" s="39">
        <v>4.5679999999999996</v>
      </c>
      <c r="I662" s="13">
        <f t="shared" si="10"/>
        <v>2.872410391318645</v>
      </c>
      <c r="J662" s="48"/>
    </row>
    <row r="663" spans="2:10">
      <c r="C663" s="40">
        <v>1.6220000000000001</v>
      </c>
      <c r="D663" s="34">
        <v>190</v>
      </c>
      <c r="E663" s="23">
        <v>86.82</v>
      </c>
      <c r="F663" s="23">
        <v>30.11</v>
      </c>
      <c r="G663" s="23">
        <v>551.4</v>
      </c>
      <c r="H663" s="40">
        <v>4.37</v>
      </c>
      <c r="I663" s="13">
        <f t="shared" si="10"/>
        <v>2.8834274327465956</v>
      </c>
      <c r="J663" s="48"/>
    </row>
    <row r="664" spans="2:10">
      <c r="C664" s="40">
        <v>1.794</v>
      </c>
      <c r="D664" s="34">
        <v>184.3</v>
      </c>
      <c r="E664" s="23">
        <v>86.6</v>
      </c>
      <c r="F664" s="23">
        <v>30.31</v>
      </c>
      <c r="G664" s="23">
        <v>547.79999999999995</v>
      </c>
      <c r="H664" s="40">
        <v>3.8340000000000001</v>
      </c>
      <c r="I664" s="13">
        <f t="shared" si="10"/>
        <v>2.8571428571428572</v>
      </c>
      <c r="J664" s="48"/>
    </row>
    <row r="665" spans="2:10">
      <c r="C665" s="40">
        <v>1.91</v>
      </c>
      <c r="D665" s="34">
        <v>161.4</v>
      </c>
      <c r="E665" s="23">
        <v>86.2</v>
      </c>
      <c r="F665" s="23">
        <v>31.17</v>
      </c>
      <c r="G665" s="23">
        <v>543.1</v>
      </c>
      <c r="H665" s="40">
        <v>4.0229999999999997</v>
      </c>
      <c r="I665" s="13">
        <f t="shared" si="10"/>
        <v>2.7654796278472888</v>
      </c>
      <c r="J665" s="48"/>
    </row>
    <row r="666" spans="2:10">
      <c r="C666" s="40">
        <v>2.0489999999999999</v>
      </c>
      <c r="D666" s="34">
        <v>161</v>
      </c>
      <c r="E666" s="23">
        <v>87.07</v>
      </c>
      <c r="F666" s="23">
        <v>30.9</v>
      </c>
      <c r="G666" s="23">
        <v>545</v>
      </c>
      <c r="H666" s="40">
        <v>5.1890000000000001</v>
      </c>
      <c r="I666" s="13">
        <f t="shared" si="10"/>
        <v>2.8177993527508089</v>
      </c>
      <c r="J666" s="48"/>
    </row>
    <row r="667" spans="2:10">
      <c r="C667" s="40">
        <v>2.012</v>
      </c>
      <c r="D667" s="34">
        <v>156.19999999999999</v>
      </c>
      <c r="E667" s="23">
        <v>86.12</v>
      </c>
      <c r="F667" s="23">
        <v>30.46</v>
      </c>
      <c r="G667" s="23">
        <v>548.6</v>
      </c>
      <c r="H667" s="40">
        <v>7.181</v>
      </c>
      <c r="I667" s="13">
        <f t="shared" si="10"/>
        <v>2.8273145108338804</v>
      </c>
      <c r="J667" s="48"/>
    </row>
    <row r="668" spans="2:10">
      <c r="C668" s="40">
        <v>1.8520000000000001</v>
      </c>
      <c r="D668" s="34">
        <v>190</v>
      </c>
      <c r="E668" s="23">
        <v>87.42</v>
      </c>
      <c r="F668" s="23">
        <v>29.81</v>
      </c>
      <c r="G668" s="23">
        <v>548.20000000000005</v>
      </c>
      <c r="H668" s="40">
        <v>7.2549999999999999</v>
      </c>
      <c r="I668" s="13">
        <f t="shared" si="10"/>
        <v>2.9325729620932575</v>
      </c>
      <c r="J668" s="48"/>
    </row>
    <row r="669" spans="2:10">
      <c r="C669" s="40">
        <v>1.617</v>
      </c>
      <c r="D669" s="34">
        <v>193.1</v>
      </c>
      <c r="E669" s="23">
        <v>87.82</v>
      </c>
      <c r="F669" s="23">
        <v>29.46</v>
      </c>
      <c r="G669" s="23">
        <v>543.1</v>
      </c>
      <c r="H669" s="40">
        <v>5.5460000000000003</v>
      </c>
      <c r="I669" s="13">
        <f t="shared" si="10"/>
        <v>2.9809911744738624</v>
      </c>
      <c r="J669" s="48"/>
    </row>
    <row r="670" spans="2:10">
      <c r="C670" s="40">
        <v>1.4690000000000001</v>
      </c>
      <c r="D670" s="34">
        <v>193.8</v>
      </c>
      <c r="E670" s="23">
        <v>87.17</v>
      </c>
      <c r="F670" s="23">
        <v>29.2</v>
      </c>
      <c r="G670" s="23">
        <v>547</v>
      </c>
      <c r="H670" s="40">
        <v>5.7549999999999999</v>
      </c>
      <c r="I670" s="13">
        <f t="shared" si="10"/>
        <v>2.98527397260274</v>
      </c>
      <c r="J670" s="48"/>
    </row>
    <row r="671" spans="2:10">
      <c r="C671" s="40">
        <v>1.548</v>
      </c>
      <c r="D671" s="34">
        <v>186</v>
      </c>
      <c r="E671" s="23">
        <v>87.5</v>
      </c>
      <c r="F671" s="23">
        <v>29.65</v>
      </c>
      <c r="G671" s="23">
        <v>552.29999999999995</v>
      </c>
      <c r="H671" s="40">
        <v>8.76</v>
      </c>
      <c r="I671" s="13">
        <f t="shared" si="10"/>
        <v>2.9510961214165263</v>
      </c>
      <c r="J671" s="48"/>
    </row>
    <row r="672" spans="2:10">
      <c r="C672" s="40">
        <v>1.5640000000000001</v>
      </c>
      <c r="D672" s="34">
        <v>191.1</v>
      </c>
      <c r="E672" s="23">
        <v>86.88</v>
      </c>
      <c r="F672" s="23">
        <v>30.33</v>
      </c>
      <c r="G672" s="23">
        <v>565.9</v>
      </c>
      <c r="H672" s="40">
        <v>6.0350000000000001</v>
      </c>
      <c r="I672" s="13">
        <f t="shared" si="10"/>
        <v>2.8644906033630071</v>
      </c>
      <c r="J672" s="48"/>
    </row>
    <row r="673" spans="2:10">
      <c r="C673" s="40">
        <v>1.294</v>
      </c>
      <c r="D673" s="34">
        <v>197.3</v>
      </c>
      <c r="E673" s="23">
        <v>86.95</v>
      </c>
      <c r="F673" s="23">
        <v>30.6</v>
      </c>
      <c r="G673" s="23">
        <v>568.79999999999995</v>
      </c>
      <c r="H673" s="40">
        <v>5.3460000000000001</v>
      </c>
      <c r="I673" s="13">
        <f t="shared" si="10"/>
        <v>2.8415032679738563</v>
      </c>
      <c r="J673" s="20"/>
    </row>
    <row r="674" spans="2:10">
      <c r="C674" s="40">
        <v>1.423</v>
      </c>
      <c r="D674" s="34">
        <v>224.5</v>
      </c>
      <c r="E674" s="23">
        <v>87.87</v>
      </c>
      <c r="F674" s="23">
        <v>30.87</v>
      </c>
      <c r="G674" s="23">
        <v>552.4</v>
      </c>
      <c r="H674" s="40">
        <v>5.5179999999999998</v>
      </c>
      <c r="I674" s="13">
        <f t="shared" si="10"/>
        <v>2.8464528668610303</v>
      </c>
      <c r="J674" s="20"/>
    </row>
    <row r="675" spans="2:10">
      <c r="C675" s="40">
        <v>1.2729999999999999</v>
      </c>
      <c r="D675" s="34">
        <v>193</v>
      </c>
      <c r="E675" s="23">
        <v>88.15</v>
      </c>
      <c r="F675" s="23">
        <v>30.03</v>
      </c>
      <c r="G675" s="23">
        <v>555.6</v>
      </c>
      <c r="H675" s="40">
        <v>5.4710000000000001</v>
      </c>
      <c r="I675" s="13">
        <f t="shared" si="10"/>
        <v>2.9353979353979356</v>
      </c>
      <c r="J675" s="48"/>
    </row>
    <row r="676" spans="2:10">
      <c r="C676" s="40">
        <v>1.508</v>
      </c>
      <c r="D676" s="34">
        <v>173.9</v>
      </c>
      <c r="E676" s="23">
        <v>87.99</v>
      </c>
      <c r="F676" s="23">
        <v>30.53</v>
      </c>
      <c r="G676" s="23">
        <v>549.70000000000005</v>
      </c>
      <c r="H676" s="40">
        <v>6.5179999999999998</v>
      </c>
      <c r="I676" s="13">
        <f t="shared" si="10"/>
        <v>2.8820831968555516</v>
      </c>
      <c r="J676" s="48"/>
    </row>
    <row r="677" spans="2:10">
      <c r="C677" s="40">
        <v>1.5269999999999999</v>
      </c>
      <c r="D677" s="34">
        <v>187.5</v>
      </c>
      <c r="E677" s="23">
        <v>87.93</v>
      </c>
      <c r="F677" s="23">
        <v>30.59</v>
      </c>
      <c r="G677" s="23">
        <v>550.4</v>
      </c>
      <c r="H677" s="40">
        <v>6.4320000000000004</v>
      </c>
      <c r="I677" s="13">
        <f t="shared" si="10"/>
        <v>2.8744687806472706</v>
      </c>
      <c r="J677" s="48"/>
    </row>
    <row r="678" spans="2:10">
      <c r="C678" s="40">
        <v>1.4350000000000001</v>
      </c>
      <c r="D678" s="34">
        <v>202.6</v>
      </c>
      <c r="E678" s="23">
        <v>87</v>
      </c>
      <c r="F678" s="23">
        <v>30.3</v>
      </c>
      <c r="G678" s="23">
        <v>551.70000000000005</v>
      </c>
      <c r="H678" s="40">
        <v>6.6150000000000002</v>
      </c>
      <c r="I678" s="13">
        <f t="shared" si="10"/>
        <v>2.8712871287128712</v>
      </c>
      <c r="J678" s="48"/>
    </row>
    <row r="679" spans="2:10">
      <c r="C679" s="40">
        <v>1.64</v>
      </c>
      <c r="D679" s="34">
        <v>190</v>
      </c>
      <c r="E679" s="23">
        <v>87.4</v>
      </c>
      <c r="F679" s="23">
        <v>30.2</v>
      </c>
      <c r="G679" s="23">
        <v>548.9</v>
      </c>
      <c r="H679" s="40">
        <v>5.6719999999999997</v>
      </c>
      <c r="I679" s="13">
        <f t="shared" si="10"/>
        <v>2.8940397350993381</v>
      </c>
      <c r="J679" s="48"/>
    </row>
    <row r="680" spans="2:10">
      <c r="C680" s="40">
        <v>1.4350000000000001</v>
      </c>
      <c r="D680" s="34">
        <v>183.4</v>
      </c>
      <c r="E680" s="23">
        <v>86.2</v>
      </c>
      <c r="F680" s="23">
        <v>30.47</v>
      </c>
      <c r="G680" s="23">
        <v>549.70000000000005</v>
      </c>
      <c r="H680" s="40">
        <v>7.7320000000000002</v>
      </c>
      <c r="I680" s="13">
        <f t="shared" si="10"/>
        <v>2.8290121430915658</v>
      </c>
      <c r="J680" s="48"/>
    </row>
    <row r="681" spans="2:10">
      <c r="C681" s="40">
        <v>1.2270000000000001</v>
      </c>
      <c r="D681" s="34">
        <v>156.19999999999999</v>
      </c>
      <c r="E681" s="23">
        <v>87.5</v>
      </c>
      <c r="F681" s="23">
        <v>31.01</v>
      </c>
      <c r="G681" s="23">
        <v>552.4</v>
      </c>
      <c r="H681" s="40">
        <v>6.1580000000000004</v>
      </c>
      <c r="I681" s="13">
        <f t="shared" si="10"/>
        <v>2.821670428893905</v>
      </c>
      <c r="J681" s="20"/>
    </row>
    <row r="682" spans="2:10">
      <c r="B682" s="47">
        <v>35</v>
      </c>
      <c r="C682" s="39">
        <v>2.86</v>
      </c>
      <c r="D682" s="37">
        <v>82.88</v>
      </c>
      <c r="E682" s="38">
        <v>105</v>
      </c>
      <c r="F682" s="38">
        <v>43.84</v>
      </c>
      <c r="G682" s="38">
        <v>516.9</v>
      </c>
      <c r="H682" s="39">
        <v>3.5630000000000002</v>
      </c>
      <c r="I682" s="13">
        <f t="shared" si="10"/>
        <v>2.3950729927007299</v>
      </c>
      <c r="J682" s="20"/>
    </row>
    <row r="683" spans="2:10">
      <c r="C683" s="40">
        <v>2.8730000000000002</v>
      </c>
      <c r="D683" s="34">
        <v>83.95</v>
      </c>
      <c r="E683" s="23">
        <v>105.5</v>
      </c>
      <c r="F683" s="23">
        <v>43.21</v>
      </c>
      <c r="G683" s="23">
        <v>519.4</v>
      </c>
      <c r="H683" s="40">
        <v>3.57</v>
      </c>
      <c r="I683" s="13">
        <f t="shared" si="10"/>
        <v>2.4415644526729925</v>
      </c>
      <c r="J683" s="20"/>
    </row>
    <row r="684" spans="2:10">
      <c r="C684" s="40">
        <v>2.7749999999999999</v>
      </c>
      <c r="D684" s="34">
        <v>81.53</v>
      </c>
      <c r="E684" s="23">
        <v>105.2</v>
      </c>
      <c r="F684" s="23">
        <v>44.87</v>
      </c>
      <c r="G684" s="23">
        <v>515.20000000000005</v>
      </c>
      <c r="H684" s="40">
        <v>3.4910000000000001</v>
      </c>
      <c r="I684" s="13">
        <f t="shared" si="10"/>
        <v>2.344550924894139</v>
      </c>
      <c r="J684" s="20"/>
    </row>
    <row r="685" spans="2:10">
      <c r="C685" s="40">
        <v>2.7970000000000002</v>
      </c>
      <c r="D685" s="34">
        <v>76.66</v>
      </c>
      <c r="E685" s="23">
        <v>107.2</v>
      </c>
      <c r="F685" s="23">
        <v>43.88</v>
      </c>
      <c r="G685" s="23">
        <v>517.6</v>
      </c>
      <c r="H685" s="40">
        <v>3.6259999999999999</v>
      </c>
      <c r="I685" s="13">
        <f t="shared" si="10"/>
        <v>2.4430264357338194</v>
      </c>
      <c r="J685" s="20"/>
    </row>
    <row r="686" spans="2:10">
      <c r="C686" s="40">
        <v>2.927</v>
      </c>
      <c r="D686" s="34">
        <v>87.34</v>
      </c>
      <c r="E686" s="23">
        <v>106.7</v>
      </c>
      <c r="F686" s="23">
        <v>43.27</v>
      </c>
      <c r="G686" s="23">
        <v>518.6</v>
      </c>
      <c r="H686" s="40">
        <v>3.6859999999999999</v>
      </c>
      <c r="I686" s="13">
        <f t="shared" si="10"/>
        <v>2.4659117171250289</v>
      </c>
      <c r="J686" s="20"/>
    </row>
    <row r="687" spans="2:10">
      <c r="C687" s="40">
        <v>2.9580000000000002</v>
      </c>
      <c r="D687" s="34">
        <v>87.67</v>
      </c>
      <c r="E687" s="23">
        <v>106.3</v>
      </c>
      <c r="F687" s="23">
        <v>43.49</v>
      </c>
      <c r="G687" s="23">
        <v>525.4</v>
      </c>
      <c r="H687" s="40">
        <v>3.67</v>
      </c>
      <c r="I687" s="13">
        <f t="shared" si="10"/>
        <v>2.4442400551850998</v>
      </c>
      <c r="J687" s="20"/>
    </row>
    <row r="688" spans="2:10">
      <c r="C688" s="40">
        <v>2.91</v>
      </c>
      <c r="D688" s="34">
        <v>84.63</v>
      </c>
      <c r="E688" s="23">
        <v>105.6</v>
      </c>
      <c r="F688" s="23">
        <v>43.76</v>
      </c>
      <c r="G688" s="23">
        <v>518.4</v>
      </c>
      <c r="H688" s="40">
        <v>3.6720000000000002</v>
      </c>
      <c r="I688" s="13">
        <f t="shared" si="10"/>
        <v>2.413162705667276</v>
      </c>
      <c r="J688" s="20"/>
    </row>
    <row r="689" spans="2:10">
      <c r="C689" s="40">
        <v>2.976</v>
      </c>
      <c r="D689" s="34">
        <v>92.29</v>
      </c>
      <c r="E689" s="23">
        <v>105.4</v>
      </c>
      <c r="F689" s="23">
        <v>43.66</v>
      </c>
      <c r="G689" s="23">
        <v>512.70000000000005</v>
      </c>
      <c r="H689" s="40">
        <v>3.66</v>
      </c>
      <c r="I689" s="13">
        <f t="shared" si="10"/>
        <v>2.4141090242785159</v>
      </c>
      <c r="J689" s="20"/>
    </row>
    <row r="690" spans="2:10">
      <c r="C690" s="40">
        <v>3.081</v>
      </c>
      <c r="D690" s="34">
        <v>82.27</v>
      </c>
      <c r="E690" s="23">
        <v>105.3</v>
      </c>
      <c r="F690" s="23">
        <v>43.82</v>
      </c>
      <c r="G690" s="23">
        <v>520.9</v>
      </c>
      <c r="H690" s="40">
        <v>3.722</v>
      </c>
      <c r="I690" s="13">
        <f t="shared" si="10"/>
        <v>2.4030123231401186</v>
      </c>
      <c r="J690" s="20"/>
    </row>
    <row r="691" spans="2:10">
      <c r="C691" s="40">
        <v>3.0630000000000002</v>
      </c>
      <c r="D691" s="34">
        <v>83.59</v>
      </c>
      <c r="E691" s="23">
        <v>105.1</v>
      </c>
      <c r="F691" s="23">
        <v>43.68</v>
      </c>
      <c r="G691" s="23">
        <v>522.9</v>
      </c>
      <c r="H691" s="40">
        <v>3.669</v>
      </c>
      <c r="I691" s="13">
        <f t="shared" si="10"/>
        <v>2.406135531135531</v>
      </c>
      <c r="J691" s="20"/>
    </row>
    <row r="692" spans="2:10">
      <c r="C692" s="40">
        <v>2.9860000000000002</v>
      </c>
      <c r="D692" s="34">
        <v>76.66</v>
      </c>
      <c r="E692" s="23">
        <v>105.9</v>
      </c>
      <c r="F692" s="23">
        <v>43.4</v>
      </c>
      <c r="G692" s="23">
        <v>528.1</v>
      </c>
      <c r="H692" s="40">
        <v>3.6579999999999999</v>
      </c>
      <c r="I692" s="13">
        <f t="shared" si="10"/>
        <v>2.4400921658986179</v>
      </c>
      <c r="J692" s="20"/>
    </row>
    <row r="693" spans="2:10">
      <c r="C693" s="40">
        <v>3.1309999999999998</v>
      </c>
      <c r="D693" s="34">
        <v>82.06</v>
      </c>
      <c r="E693" s="23">
        <v>105.4</v>
      </c>
      <c r="F693" s="23">
        <v>43.44</v>
      </c>
      <c r="G693" s="23">
        <v>524.20000000000005</v>
      </c>
      <c r="H693" s="40">
        <v>3.6190000000000002</v>
      </c>
      <c r="I693" s="13">
        <f t="shared" si="10"/>
        <v>2.4263351749539597</v>
      </c>
      <c r="J693" s="20"/>
    </row>
    <row r="694" spans="2:10">
      <c r="C694" s="40">
        <v>3.173</v>
      </c>
      <c r="D694" s="34">
        <v>84.99</v>
      </c>
      <c r="E694" s="23">
        <v>105.3</v>
      </c>
      <c r="F694" s="23">
        <v>43.96</v>
      </c>
      <c r="G694" s="23">
        <v>512.79999999999995</v>
      </c>
      <c r="H694" s="40">
        <v>3.5880000000000001</v>
      </c>
      <c r="I694" s="13">
        <f t="shared" si="10"/>
        <v>2.3953594176524113</v>
      </c>
      <c r="J694" s="20"/>
    </row>
    <row r="695" spans="2:10">
      <c r="C695" s="40">
        <v>3.1669999999999998</v>
      </c>
      <c r="D695" s="34">
        <v>78.69</v>
      </c>
      <c r="E695" s="23">
        <v>105.6</v>
      </c>
      <c r="F695" s="23">
        <v>44</v>
      </c>
      <c r="G695" s="23">
        <v>513.1</v>
      </c>
      <c r="H695" s="40">
        <v>3.5760000000000001</v>
      </c>
      <c r="I695" s="13">
        <f t="shared" si="10"/>
        <v>2.4</v>
      </c>
      <c r="J695" s="20"/>
    </row>
    <row r="696" spans="2:10">
      <c r="C696" s="40">
        <v>3.2440000000000002</v>
      </c>
      <c r="D696" s="34">
        <v>79.89</v>
      </c>
      <c r="E696" s="23">
        <v>106.3</v>
      </c>
      <c r="F696" s="23">
        <v>43.65</v>
      </c>
      <c r="G696" s="23">
        <v>512.6</v>
      </c>
      <c r="H696" s="40">
        <v>3.62</v>
      </c>
      <c r="I696" s="13">
        <f t="shared" si="10"/>
        <v>2.4352806414662087</v>
      </c>
      <c r="J696" s="20"/>
    </row>
    <row r="697" spans="2:10">
      <c r="C697" s="40">
        <v>3.2730000000000001</v>
      </c>
      <c r="D697" s="34">
        <v>82.98</v>
      </c>
      <c r="E697" s="23">
        <v>106</v>
      </c>
      <c r="F697" s="23">
        <v>43.93</v>
      </c>
      <c r="G697" s="23">
        <v>514.5</v>
      </c>
      <c r="H697" s="40">
        <v>3.605</v>
      </c>
      <c r="I697" s="13">
        <f t="shared" si="10"/>
        <v>2.4129296608240383</v>
      </c>
      <c r="J697" s="20"/>
    </row>
    <row r="698" spans="2:10">
      <c r="C698" s="40">
        <v>3.2629999999999999</v>
      </c>
      <c r="D698" s="34">
        <v>90.71</v>
      </c>
      <c r="E698" s="23">
        <v>105.7</v>
      </c>
      <c r="F698" s="23">
        <v>43.86</v>
      </c>
      <c r="G698" s="23">
        <v>522.1</v>
      </c>
      <c r="H698" s="40">
        <v>3.6349999999999998</v>
      </c>
      <c r="I698" s="13">
        <f t="shared" si="10"/>
        <v>2.4099407204742365</v>
      </c>
      <c r="J698" s="20"/>
    </row>
    <row r="699" spans="2:10">
      <c r="C699" s="40">
        <v>3.3090000000000002</v>
      </c>
      <c r="D699" s="34">
        <v>87.34</v>
      </c>
      <c r="E699" s="23">
        <v>106.1</v>
      </c>
      <c r="F699" s="23">
        <v>43.59</v>
      </c>
      <c r="G699" s="23">
        <v>520.4</v>
      </c>
      <c r="H699" s="40">
        <v>3.649</v>
      </c>
      <c r="I699" s="13">
        <f t="shared" si="10"/>
        <v>2.4340445056205549</v>
      </c>
      <c r="J699" s="20"/>
    </row>
    <row r="700" spans="2:10">
      <c r="C700" s="40">
        <v>3.278</v>
      </c>
      <c r="D700" s="34">
        <v>82.06</v>
      </c>
      <c r="E700" s="23">
        <v>105.8</v>
      </c>
      <c r="F700" s="23">
        <v>44.03</v>
      </c>
      <c r="G700" s="23">
        <v>519.79999999999995</v>
      </c>
      <c r="H700" s="40">
        <v>3.6480000000000001</v>
      </c>
      <c r="I700" s="13">
        <f t="shared" si="10"/>
        <v>2.4029071087894618</v>
      </c>
      <c r="J700" s="20"/>
    </row>
    <row r="701" spans="2:10">
      <c r="C701" s="40">
        <v>3.33</v>
      </c>
      <c r="D701" s="34">
        <v>82.27</v>
      </c>
      <c r="E701" s="23">
        <v>105.4</v>
      </c>
      <c r="F701" s="23">
        <v>43.54</v>
      </c>
      <c r="G701" s="23">
        <v>522.9</v>
      </c>
      <c r="H701" s="40">
        <v>3.6190000000000002</v>
      </c>
      <c r="I701" s="13">
        <f t="shared" si="10"/>
        <v>2.42076251722554</v>
      </c>
      <c r="J701" s="20"/>
    </row>
    <row r="702" spans="2:10">
      <c r="B702" s="47">
        <v>36</v>
      </c>
      <c r="C702" s="39">
        <v>2.15</v>
      </c>
      <c r="D702" s="37">
        <v>156.5</v>
      </c>
      <c r="E702" s="38">
        <v>99.94</v>
      </c>
      <c r="F702" s="38">
        <v>17.03</v>
      </c>
      <c r="G702" s="38">
        <v>508.5</v>
      </c>
      <c r="H702" s="39">
        <v>4.1959999999999997</v>
      </c>
      <c r="I702" s="13">
        <f t="shared" si="10"/>
        <v>5.8684674104521424</v>
      </c>
      <c r="J702" s="48"/>
    </row>
    <row r="703" spans="2:10">
      <c r="C703" s="40">
        <v>2.278</v>
      </c>
      <c r="D703" s="34">
        <v>180.3</v>
      </c>
      <c r="E703" s="23">
        <v>100.9</v>
      </c>
      <c r="F703" s="23">
        <v>18.41</v>
      </c>
      <c r="G703" s="23">
        <v>513.5</v>
      </c>
      <c r="H703" s="40">
        <v>4.1440000000000001</v>
      </c>
      <c r="I703" s="13">
        <f t="shared" si="10"/>
        <v>5.4807170016295492</v>
      </c>
      <c r="J703" s="48"/>
    </row>
    <row r="704" spans="2:10">
      <c r="C704" s="40">
        <v>2.1070000000000002</v>
      </c>
      <c r="D704" s="34">
        <v>111.5</v>
      </c>
      <c r="E704" s="23">
        <v>100.7</v>
      </c>
      <c r="F704" s="23">
        <v>18.03</v>
      </c>
      <c r="G704" s="23">
        <v>514.5</v>
      </c>
      <c r="H704" s="40">
        <v>4.2839999999999998</v>
      </c>
      <c r="I704" s="13">
        <f t="shared" si="10"/>
        <v>5.5851358846367161</v>
      </c>
      <c r="J704" s="48"/>
    </row>
    <row r="705" spans="3:10">
      <c r="C705" s="40">
        <v>2.2000000000000002</v>
      </c>
      <c r="D705" s="34">
        <v>112.8</v>
      </c>
      <c r="E705" s="23">
        <v>101.6</v>
      </c>
      <c r="F705" s="23">
        <v>17.670000000000002</v>
      </c>
      <c r="G705" s="23">
        <v>514</v>
      </c>
      <c r="H705" s="40">
        <v>4.2009999999999996</v>
      </c>
      <c r="I705" s="13">
        <f t="shared" si="10"/>
        <v>5.7498585172608934</v>
      </c>
      <c r="J705" s="48"/>
    </row>
    <row r="706" spans="3:10">
      <c r="C706" s="40">
        <v>2.2330000000000001</v>
      </c>
      <c r="D706" s="34">
        <v>134.80000000000001</v>
      </c>
      <c r="E706" s="23">
        <v>99.94</v>
      </c>
      <c r="F706" s="23">
        <v>18.489999999999998</v>
      </c>
      <c r="G706" s="23">
        <v>514.79999999999995</v>
      </c>
      <c r="H706" s="40">
        <v>4.2880000000000003</v>
      </c>
      <c r="I706" s="13">
        <f t="shared" si="10"/>
        <v>5.4050838290968093</v>
      </c>
      <c r="J706" s="48"/>
    </row>
    <row r="707" spans="3:10">
      <c r="C707" s="40">
        <v>2.3239999999999998</v>
      </c>
      <c r="D707" s="34">
        <v>174.6</v>
      </c>
      <c r="E707" s="23">
        <v>100.9</v>
      </c>
      <c r="F707" s="23">
        <v>17.57</v>
      </c>
      <c r="G707" s="23">
        <v>515.1</v>
      </c>
      <c r="H707" s="40">
        <v>4.1079999999999997</v>
      </c>
      <c r="I707" s="13">
        <f t="shared" ref="I707:I770" si="11">E707/F707</f>
        <v>5.7427433124644285</v>
      </c>
      <c r="J707" s="48"/>
    </row>
    <row r="708" spans="3:10">
      <c r="C708" s="40">
        <v>2.1619999999999999</v>
      </c>
      <c r="D708" s="34">
        <v>94.9</v>
      </c>
      <c r="E708" s="23">
        <v>100.7</v>
      </c>
      <c r="F708" s="23">
        <v>17.59</v>
      </c>
      <c r="G708" s="23">
        <v>511.3</v>
      </c>
      <c r="H708" s="40">
        <v>4.1710000000000003</v>
      </c>
      <c r="I708" s="13">
        <f t="shared" si="11"/>
        <v>5.7248436611711204</v>
      </c>
      <c r="J708" s="48"/>
    </row>
    <row r="709" spans="3:10">
      <c r="C709" s="40">
        <v>2.0979999999999999</v>
      </c>
      <c r="D709" s="34">
        <v>131.6</v>
      </c>
      <c r="E709" s="23">
        <v>100.5</v>
      </c>
      <c r="F709" s="23">
        <v>17.75</v>
      </c>
      <c r="G709" s="23">
        <v>508.2</v>
      </c>
      <c r="H709" s="40">
        <v>4.5010000000000003</v>
      </c>
      <c r="I709" s="13">
        <f t="shared" si="11"/>
        <v>5.6619718309859151</v>
      </c>
      <c r="J709" s="48"/>
    </row>
    <row r="710" spans="3:10">
      <c r="C710" s="40">
        <v>2.2330000000000001</v>
      </c>
      <c r="D710" s="34">
        <v>154.4</v>
      </c>
      <c r="E710" s="23">
        <v>101.9</v>
      </c>
      <c r="F710" s="23">
        <v>18.41</v>
      </c>
      <c r="G710" s="23">
        <v>509.2</v>
      </c>
      <c r="H710" s="40">
        <v>4.5869999999999997</v>
      </c>
      <c r="I710" s="13">
        <f t="shared" si="11"/>
        <v>5.5350353068984246</v>
      </c>
      <c r="J710" s="48"/>
    </row>
    <row r="711" spans="3:10">
      <c r="C711" s="40">
        <v>2.2000000000000002</v>
      </c>
      <c r="D711" s="34">
        <v>95.1</v>
      </c>
      <c r="E711" s="23">
        <v>101.6</v>
      </c>
      <c r="F711" s="23">
        <v>17.48</v>
      </c>
      <c r="G711" s="23">
        <v>510.5</v>
      </c>
      <c r="H711" s="40">
        <v>4.452</v>
      </c>
      <c r="I711" s="13">
        <f t="shared" si="11"/>
        <v>5.8123569794050338</v>
      </c>
      <c r="J711" s="48"/>
    </row>
    <row r="712" spans="3:10">
      <c r="C712" s="40">
        <v>2.278</v>
      </c>
      <c r="D712" s="34">
        <v>100.8</v>
      </c>
      <c r="E712" s="23">
        <v>101.4</v>
      </c>
      <c r="F712" s="23">
        <v>18.14</v>
      </c>
      <c r="G712" s="23">
        <v>515.20000000000005</v>
      </c>
      <c r="H712" s="40">
        <v>4.4930000000000003</v>
      </c>
      <c r="I712" s="13">
        <f t="shared" si="11"/>
        <v>5.5898566703417867</v>
      </c>
      <c r="J712" s="48"/>
    </row>
    <row r="713" spans="3:10">
      <c r="C713" s="40">
        <v>2.1539999999999999</v>
      </c>
      <c r="D713" s="34">
        <v>119.1</v>
      </c>
      <c r="E713" s="23">
        <v>100.9</v>
      </c>
      <c r="F713" s="23">
        <v>18.39</v>
      </c>
      <c r="G713" s="23">
        <v>514.70000000000005</v>
      </c>
      <c r="H713" s="40">
        <v>4.5990000000000002</v>
      </c>
      <c r="I713" s="13">
        <f t="shared" si="11"/>
        <v>5.4866775421424689</v>
      </c>
      <c r="J713" s="48"/>
    </row>
    <row r="714" spans="3:10">
      <c r="C714" s="40">
        <v>2.1070000000000002</v>
      </c>
      <c r="D714" s="34">
        <v>125.7</v>
      </c>
      <c r="E714" s="23">
        <v>100.7</v>
      </c>
      <c r="F714" s="23">
        <v>18.66</v>
      </c>
      <c r="G714" s="23">
        <v>513.79999999999995</v>
      </c>
      <c r="H714" s="40">
        <v>4.5620000000000003</v>
      </c>
      <c r="I714" s="13">
        <f t="shared" si="11"/>
        <v>5.396570203644159</v>
      </c>
      <c r="J714" s="48"/>
    </row>
    <row r="715" spans="3:10">
      <c r="C715" s="40">
        <v>1.958</v>
      </c>
      <c r="D715" s="34">
        <v>142.19999999999999</v>
      </c>
      <c r="E715" s="23">
        <v>100.5</v>
      </c>
      <c r="F715" s="23">
        <v>18.010000000000002</v>
      </c>
      <c r="G715" s="23">
        <v>517.9</v>
      </c>
      <c r="H715" s="40">
        <v>4.4850000000000003</v>
      </c>
      <c r="I715" s="13">
        <f t="shared" si="11"/>
        <v>5.5802332037756797</v>
      </c>
      <c r="J715" s="48"/>
    </row>
    <row r="716" spans="3:10">
      <c r="C716" s="40">
        <v>2.1760000000000002</v>
      </c>
      <c r="D716" s="34">
        <v>94.9</v>
      </c>
      <c r="E716" s="23">
        <v>100.3</v>
      </c>
      <c r="F716" s="23">
        <v>18.440000000000001</v>
      </c>
      <c r="G716" s="23">
        <v>507.2</v>
      </c>
      <c r="H716" s="40">
        <v>4.2629999999999999</v>
      </c>
      <c r="I716" s="13">
        <f t="shared" si="11"/>
        <v>5.4392624728850318</v>
      </c>
      <c r="J716" s="48"/>
    </row>
    <row r="717" spans="3:10">
      <c r="C717" s="40">
        <v>2.4009999999999998</v>
      </c>
      <c r="D717" s="34">
        <v>134.80000000000001</v>
      </c>
      <c r="E717" s="23">
        <v>99.11</v>
      </c>
      <c r="F717" s="23">
        <v>18.12</v>
      </c>
      <c r="G717" s="23">
        <v>504.8</v>
      </c>
      <c r="H717" s="40">
        <v>4.327</v>
      </c>
      <c r="I717" s="13">
        <f t="shared" si="11"/>
        <v>5.4696467991169975</v>
      </c>
      <c r="J717" s="48"/>
    </row>
    <row r="718" spans="3:10">
      <c r="C718" s="40">
        <v>2.3359999999999999</v>
      </c>
      <c r="D718" s="34">
        <v>111.5</v>
      </c>
      <c r="E718" s="23">
        <v>99.75</v>
      </c>
      <c r="F718" s="23">
        <v>18.41</v>
      </c>
      <c r="G718" s="23">
        <v>502.2</v>
      </c>
      <c r="H718" s="40">
        <v>4.2480000000000002</v>
      </c>
      <c r="I718" s="13">
        <f t="shared" si="11"/>
        <v>5.418250950570342</v>
      </c>
      <c r="J718" s="48"/>
    </row>
    <row r="719" spans="3:10">
      <c r="C719" s="40">
        <v>2.4510000000000001</v>
      </c>
      <c r="D719" s="34">
        <v>138.1</v>
      </c>
      <c r="E719" s="23">
        <v>99.99</v>
      </c>
      <c r="F719" s="23">
        <v>17.72</v>
      </c>
      <c r="G719" s="23">
        <v>507.2</v>
      </c>
      <c r="H719" s="40">
        <v>4.1440000000000001</v>
      </c>
      <c r="I719" s="13">
        <f t="shared" si="11"/>
        <v>5.6427765237020315</v>
      </c>
      <c r="J719" s="48"/>
    </row>
    <row r="720" spans="3:10">
      <c r="C720" s="40">
        <v>2.3239999999999998</v>
      </c>
      <c r="D720" s="34">
        <v>155.80000000000001</v>
      </c>
      <c r="E720" s="23">
        <v>100.2</v>
      </c>
      <c r="F720" s="23">
        <v>17.68</v>
      </c>
      <c r="G720" s="23">
        <v>508.7</v>
      </c>
      <c r="H720" s="40">
        <v>4.1959999999999997</v>
      </c>
      <c r="I720" s="13">
        <f t="shared" si="11"/>
        <v>5.6674208144796383</v>
      </c>
      <c r="J720" s="48"/>
    </row>
    <row r="721" spans="2:10">
      <c r="C721" s="40">
        <v>2.0979999999999999</v>
      </c>
      <c r="D721" s="34">
        <v>165.5</v>
      </c>
      <c r="E721" s="23">
        <v>101.1</v>
      </c>
      <c r="F721" s="23">
        <v>16.71</v>
      </c>
      <c r="G721" s="23">
        <v>509.9</v>
      </c>
      <c r="H721" s="40">
        <v>4.3310000000000004</v>
      </c>
      <c r="I721" s="13">
        <f t="shared" si="11"/>
        <v>6.0502692998204664</v>
      </c>
      <c r="J721" s="48"/>
    </row>
    <row r="722" spans="2:10">
      <c r="B722" s="47">
        <v>37</v>
      </c>
      <c r="C722" s="39">
        <v>1.996</v>
      </c>
      <c r="D722" s="37">
        <v>187.1</v>
      </c>
      <c r="E722" s="38">
        <v>85.13</v>
      </c>
      <c r="F722" s="38">
        <v>38.14</v>
      </c>
      <c r="G722" s="38">
        <v>508.8</v>
      </c>
      <c r="H722" s="39">
        <v>4.0860000000000003</v>
      </c>
      <c r="I722" s="13">
        <f t="shared" si="11"/>
        <v>2.2320398531725223</v>
      </c>
      <c r="J722" s="48"/>
    </row>
    <row r="723" spans="2:10">
      <c r="C723" s="40">
        <v>1.994</v>
      </c>
      <c r="D723" s="34">
        <v>181.7</v>
      </c>
      <c r="E723" s="23">
        <v>86.67</v>
      </c>
      <c r="F723" s="23">
        <v>37.520000000000003</v>
      </c>
      <c r="G723" s="23">
        <v>506.5</v>
      </c>
      <c r="H723" s="40">
        <v>3.9580000000000002</v>
      </c>
      <c r="I723" s="13">
        <f t="shared" si="11"/>
        <v>2.3099680170575692</v>
      </c>
      <c r="J723" s="48"/>
    </row>
    <row r="724" spans="2:10">
      <c r="C724" s="40">
        <v>1.9510000000000001</v>
      </c>
      <c r="D724" s="34">
        <v>178</v>
      </c>
      <c r="E724" s="23">
        <v>85.59</v>
      </c>
      <c r="F724" s="23">
        <v>37.21</v>
      </c>
      <c r="G724" s="23">
        <v>505.2</v>
      </c>
      <c r="H724" s="40">
        <v>5.0129999999999999</v>
      </c>
      <c r="I724" s="13">
        <f t="shared" si="11"/>
        <v>2.3001881214727224</v>
      </c>
      <c r="J724" s="48"/>
    </row>
    <row r="725" spans="2:10">
      <c r="C725" s="40">
        <v>1.929</v>
      </c>
      <c r="D725" s="34">
        <v>180.4</v>
      </c>
      <c r="E725" s="23">
        <v>86.91</v>
      </c>
      <c r="F725" s="23">
        <v>34.36</v>
      </c>
      <c r="G725" s="23">
        <v>507.3</v>
      </c>
      <c r="H725" s="40">
        <v>5.43</v>
      </c>
      <c r="I725" s="13">
        <f t="shared" si="11"/>
        <v>2.5293946449359721</v>
      </c>
      <c r="J725" s="48"/>
    </row>
    <row r="726" spans="2:10">
      <c r="C726" s="40">
        <v>1.8580000000000001</v>
      </c>
      <c r="D726" s="34">
        <v>155</v>
      </c>
      <c r="E726" s="23">
        <v>86.03</v>
      </c>
      <c r="F726" s="23">
        <v>34.39</v>
      </c>
      <c r="G726" s="23">
        <v>506.3</v>
      </c>
      <c r="H726" s="40">
        <v>3.819</v>
      </c>
      <c r="I726" s="13">
        <f t="shared" si="11"/>
        <v>2.5015993021227101</v>
      </c>
      <c r="J726" s="48"/>
    </row>
    <row r="727" spans="2:10">
      <c r="C727" s="40">
        <v>1.8029999999999999</v>
      </c>
      <c r="D727" s="34">
        <v>161.30000000000001</v>
      </c>
      <c r="E727" s="23">
        <v>86.72</v>
      </c>
      <c r="F727" s="23">
        <v>35.33</v>
      </c>
      <c r="G727" s="23">
        <v>502.9</v>
      </c>
      <c r="H727" s="40">
        <v>2.8620000000000001</v>
      </c>
      <c r="I727" s="13">
        <f t="shared" si="11"/>
        <v>2.4545711859609396</v>
      </c>
      <c r="J727" s="48"/>
    </row>
    <row r="728" spans="2:10">
      <c r="C728" s="40">
        <v>1.796</v>
      </c>
      <c r="D728" s="34">
        <v>132.30000000000001</v>
      </c>
      <c r="E728" s="23">
        <v>86.78</v>
      </c>
      <c r="F728" s="23">
        <v>35.67</v>
      </c>
      <c r="G728" s="23">
        <v>506.4</v>
      </c>
      <c r="H728" s="40">
        <v>4.6669999999999998</v>
      </c>
      <c r="I728" s="13">
        <f t="shared" si="11"/>
        <v>2.432856742360527</v>
      </c>
      <c r="J728" s="48"/>
    </row>
    <row r="729" spans="2:10">
      <c r="C729" s="40">
        <v>1.756</v>
      </c>
      <c r="D729" s="34">
        <v>122.9</v>
      </c>
      <c r="E729" s="23">
        <v>87.1</v>
      </c>
      <c r="F729" s="23">
        <v>36</v>
      </c>
      <c r="G729" s="23">
        <v>507.5</v>
      </c>
      <c r="H729" s="40">
        <v>3.9009999999999998</v>
      </c>
      <c r="I729" s="13">
        <f t="shared" si="11"/>
        <v>2.4194444444444443</v>
      </c>
      <c r="J729" s="48"/>
    </row>
    <row r="730" spans="2:10">
      <c r="C730" s="40">
        <v>1.7869999999999999</v>
      </c>
      <c r="D730" s="34">
        <v>181</v>
      </c>
      <c r="E730" s="23">
        <v>87.38</v>
      </c>
      <c r="F730" s="23">
        <v>35.369999999999997</v>
      </c>
      <c r="G730" s="23">
        <v>508.2</v>
      </c>
      <c r="H730" s="40">
        <v>4.7430000000000003</v>
      </c>
      <c r="I730" s="13">
        <f t="shared" si="11"/>
        <v>2.4704551880124401</v>
      </c>
      <c r="J730" s="48"/>
    </row>
    <row r="731" spans="2:10">
      <c r="C731" s="40">
        <v>1.831</v>
      </c>
      <c r="D731" s="34">
        <v>187</v>
      </c>
      <c r="E731" s="23">
        <v>87.7</v>
      </c>
      <c r="F731" s="23">
        <v>36.04</v>
      </c>
      <c r="G731" s="23">
        <v>506.7</v>
      </c>
      <c r="H731" s="40">
        <v>5.7210000000000001</v>
      </c>
      <c r="I731" s="13">
        <f t="shared" si="11"/>
        <v>2.4334073251942288</v>
      </c>
      <c r="J731" s="48"/>
    </row>
    <row r="732" spans="2:10">
      <c r="C732" s="40">
        <v>1.9039999999999999</v>
      </c>
      <c r="D732" s="34">
        <v>192.4</v>
      </c>
      <c r="E732" s="23">
        <v>87.64</v>
      </c>
      <c r="F732" s="23">
        <v>36.33</v>
      </c>
      <c r="G732" s="23">
        <v>506.4</v>
      </c>
      <c r="H732" s="40">
        <v>5.3849999999999998</v>
      </c>
      <c r="I732" s="13">
        <f t="shared" si="11"/>
        <v>2.4123314065510599</v>
      </c>
      <c r="J732" s="48"/>
    </row>
    <row r="733" spans="2:10">
      <c r="C733" s="40">
        <v>1.962</v>
      </c>
      <c r="D733" s="34">
        <v>194</v>
      </c>
      <c r="E733" s="23">
        <v>87.29</v>
      </c>
      <c r="F733" s="23">
        <v>36.68</v>
      </c>
      <c r="G733" s="23">
        <v>505.4</v>
      </c>
      <c r="H733" s="40">
        <v>4.367</v>
      </c>
      <c r="I733" s="13">
        <f t="shared" si="11"/>
        <v>2.3797709923664123</v>
      </c>
      <c r="J733" s="48"/>
    </row>
    <row r="734" spans="2:10">
      <c r="C734" s="40">
        <v>1.978</v>
      </c>
      <c r="D734" s="34">
        <v>200.1</v>
      </c>
      <c r="E734" s="23">
        <v>86.59</v>
      </c>
      <c r="F734" s="23">
        <v>36.67</v>
      </c>
      <c r="G734" s="23">
        <v>510.3</v>
      </c>
      <c r="H734" s="40">
        <v>3.2959999999999998</v>
      </c>
      <c r="I734" s="13">
        <f t="shared" si="11"/>
        <v>2.3613307881101719</v>
      </c>
      <c r="J734" s="48"/>
    </row>
    <row r="735" spans="2:10">
      <c r="C735" s="40">
        <v>1.988</v>
      </c>
      <c r="D735" s="34">
        <v>192.4</v>
      </c>
      <c r="E735" s="23">
        <v>87.74</v>
      </c>
      <c r="F735" s="23">
        <v>35.369999999999997</v>
      </c>
      <c r="G735" s="23">
        <v>512</v>
      </c>
      <c r="H735" s="40">
        <v>2.8660000000000001</v>
      </c>
      <c r="I735" s="13">
        <f t="shared" si="11"/>
        <v>2.4806333050607861</v>
      </c>
      <c r="J735" s="48"/>
    </row>
    <row r="736" spans="2:10">
      <c r="C736" s="40">
        <v>1.9990000000000001</v>
      </c>
      <c r="D736" s="34">
        <v>191.3</v>
      </c>
      <c r="E736" s="23">
        <v>87.18</v>
      </c>
      <c r="F736" s="23">
        <v>35.71</v>
      </c>
      <c r="G736" s="23">
        <v>511.9</v>
      </c>
      <c r="H736" s="40">
        <v>2.274</v>
      </c>
      <c r="I736" s="13">
        <f t="shared" si="11"/>
        <v>2.4413329599551949</v>
      </c>
      <c r="J736" s="48"/>
    </row>
    <row r="737" spans="2:10">
      <c r="C737" s="40">
        <v>2.0049999999999999</v>
      </c>
      <c r="D737" s="34">
        <v>192.4</v>
      </c>
      <c r="E737" s="23">
        <v>86.1</v>
      </c>
      <c r="F737" s="23">
        <v>34.36</v>
      </c>
      <c r="G737" s="23">
        <v>509.4</v>
      </c>
      <c r="H737" s="40">
        <v>2.3370000000000002</v>
      </c>
      <c r="I737" s="13">
        <f t="shared" si="11"/>
        <v>2.5058207217694992</v>
      </c>
      <c r="J737" s="48"/>
    </row>
    <row r="738" spans="2:10">
      <c r="C738" s="40">
        <v>2.0070000000000001</v>
      </c>
      <c r="D738" s="34">
        <v>181.4</v>
      </c>
      <c r="E738" s="23">
        <v>87.18</v>
      </c>
      <c r="F738" s="23">
        <v>34.69</v>
      </c>
      <c r="G738" s="23">
        <v>505.2</v>
      </c>
      <c r="H738" s="40">
        <v>2.4430000000000001</v>
      </c>
      <c r="I738" s="13">
        <f t="shared" si="11"/>
        <v>2.5131161718074377</v>
      </c>
      <c r="J738" s="48"/>
    </row>
    <row r="739" spans="2:10">
      <c r="C739" s="40">
        <v>1.972</v>
      </c>
      <c r="D739" s="34">
        <v>169.1</v>
      </c>
      <c r="E739" s="23">
        <v>86.49</v>
      </c>
      <c r="F739" s="23">
        <v>34.340000000000003</v>
      </c>
      <c r="G739" s="23">
        <v>506.1</v>
      </c>
      <c r="H739" s="40">
        <v>2.532</v>
      </c>
      <c r="I739" s="13">
        <f t="shared" si="11"/>
        <v>2.5186371578334299</v>
      </c>
      <c r="J739" s="48"/>
    </row>
    <row r="740" spans="2:10">
      <c r="C740" s="40">
        <v>1.9830000000000001</v>
      </c>
      <c r="D740" s="34">
        <v>140.1</v>
      </c>
      <c r="E740" s="23">
        <v>87.52</v>
      </c>
      <c r="F740" s="23">
        <v>35.67</v>
      </c>
      <c r="G740" s="23">
        <v>511.5</v>
      </c>
      <c r="H740" s="40">
        <v>3.9390000000000001</v>
      </c>
      <c r="I740" s="13">
        <f t="shared" si="11"/>
        <v>2.4536024670591532</v>
      </c>
      <c r="J740" s="48"/>
    </row>
    <row r="741" spans="2:10">
      <c r="C741" s="40">
        <v>1.9510000000000001</v>
      </c>
      <c r="D741" s="34">
        <v>160.4</v>
      </c>
      <c r="E741" s="23">
        <v>87.96</v>
      </c>
      <c r="F741" s="23">
        <v>36.01</v>
      </c>
      <c r="G741" s="23">
        <v>507.4</v>
      </c>
      <c r="H741" s="40">
        <v>4.1959999999999997</v>
      </c>
      <c r="I741" s="13">
        <f t="shared" si="11"/>
        <v>2.4426548181060816</v>
      </c>
      <c r="J741" s="48"/>
    </row>
    <row r="742" spans="2:10">
      <c r="B742" s="47">
        <v>38</v>
      </c>
      <c r="C742" s="39">
        <v>2.964</v>
      </c>
      <c r="D742" s="37">
        <v>161</v>
      </c>
      <c r="E742" s="38">
        <v>103.1</v>
      </c>
      <c r="F742" s="38">
        <v>29.36</v>
      </c>
      <c r="G742" s="38">
        <v>471.9</v>
      </c>
      <c r="H742" s="39">
        <v>3.4910000000000001</v>
      </c>
      <c r="I742" s="13">
        <f t="shared" si="11"/>
        <v>3.5115803814713895</v>
      </c>
      <c r="J742" s="48"/>
    </row>
    <row r="743" spans="2:10">
      <c r="C743" s="40">
        <v>2.9239999999999999</v>
      </c>
      <c r="D743" s="34">
        <v>163.80000000000001</v>
      </c>
      <c r="E743" s="23">
        <v>102.6</v>
      </c>
      <c r="F743" s="23">
        <v>29.07</v>
      </c>
      <c r="G743" s="23">
        <v>469.5</v>
      </c>
      <c r="H743" s="40">
        <v>3.5219999999999998</v>
      </c>
      <c r="I743" s="13">
        <f t="shared" si="11"/>
        <v>3.5294117647058822</v>
      </c>
      <c r="J743" s="48"/>
    </row>
    <row r="744" spans="2:10">
      <c r="C744" s="40">
        <v>2.782</v>
      </c>
      <c r="D744" s="34">
        <v>157</v>
      </c>
      <c r="E744" s="23">
        <v>102.9</v>
      </c>
      <c r="F744" s="23">
        <v>29.33</v>
      </c>
      <c r="G744" s="23">
        <v>473.4</v>
      </c>
      <c r="H744" s="40">
        <v>3.5550000000000002</v>
      </c>
      <c r="I744" s="13">
        <f t="shared" si="11"/>
        <v>3.5083532219570408</v>
      </c>
      <c r="J744" s="48"/>
    </row>
    <row r="745" spans="2:10">
      <c r="C745" s="40">
        <v>2.8889999999999998</v>
      </c>
      <c r="D745" s="34">
        <v>157.6</v>
      </c>
      <c r="E745" s="23">
        <v>103.2</v>
      </c>
      <c r="F745" s="23">
        <v>29.35</v>
      </c>
      <c r="G745" s="23">
        <v>477.1</v>
      </c>
      <c r="H745" s="40">
        <v>3.536</v>
      </c>
      <c r="I745" s="13">
        <f t="shared" si="11"/>
        <v>3.51618398637138</v>
      </c>
      <c r="J745" s="48"/>
    </row>
    <row r="746" spans="2:10">
      <c r="C746" s="40">
        <v>3.008</v>
      </c>
      <c r="D746" s="34">
        <v>169.4</v>
      </c>
      <c r="E746" s="23">
        <v>100.8</v>
      </c>
      <c r="F746" s="23">
        <v>29.05</v>
      </c>
      <c r="G746" s="23">
        <v>481</v>
      </c>
      <c r="H746" s="40">
        <v>3.53</v>
      </c>
      <c r="I746" s="13">
        <f t="shared" si="11"/>
        <v>3.4698795180722888</v>
      </c>
      <c r="J746" s="48"/>
    </row>
    <row r="747" spans="2:10">
      <c r="C747" s="40">
        <v>3.01</v>
      </c>
      <c r="D747" s="34">
        <v>161.9</v>
      </c>
      <c r="E747" s="23">
        <v>100.9</v>
      </c>
      <c r="F747" s="23">
        <v>29.67</v>
      </c>
      <c r="G747" s="23">
        <v>474.1</v>
      </c>
      <c r="H747" s="40">
        <v>3.5489999999999999</v>
      </c>
      <c r="I747" s="13">
        <f t="shared" si="11"/>
        <v>3.4007414897202564</v>
      </c>
      <c r="J747" s="48"/>
    </row>
    <row r="748" spans="2:10">
      <c r="C748" s="40">
        <v>3.012</v>
      </c>
      <c r="D748" s="34">
        <v>195.6</v>
      </c>
      <c r="E748" s="23">
        <v>101</v>
      </c>
      <c r="F748" s="23">
        <v>29.33</v>
      </c>
      <c r="G748" s="23">
        <v>472.7</v>
      </c>
      <c r="H748" s="40">
        <v>3.4830000000000001</v>
      </c>
      <c r="I748" s="13">
        <f t="shared" si="11"/>
        <v>3.4435731333106037</v>
      </c>
      <c r="J748" s="48"/>
    </row>
    <row r="749" spans="2:10">
      <c r="C749" s="40">
        <v>2.9849999999999999</v>
      </c>
      <c r="D749" s="34">
        <v>166.7</v>
      </c>
      <c r="E749" s="23">
        <v>103.9</v>
      </c>
      <c r="F749" s="23">
        <v>29.35</v>
      </c>
      <c r="G749" s="23">
        <v>473.6</v>
      </c>
      <c r="H749" s="40">
        <v>3.5019999999999998</v>
      </c>
      <c r="I749" s="13">
        <f t="shared" si="11"/>
        <v>3.5400340715502554</v>
      </c>
      <c r="J749" s="48"/>
    </row>
    <row r="750" spans="2:10">
      <c r="C750" s="40">
        <v>2.9660000000000002</v>
      </c>
      <c r="D750" s="34">
        <v>196.6</v>
      </c>
      <c r="E750" s="23">
        <v>103.9</v>
      </c>
      <c r="F750" s="23">
        <v>29.07</v>
      </c>
      <c r="G750" s="23">
        <v>471.9</v>
      </c>
      <c r="H750" s="40">
        <v>3.5209999999999999</v>
      </c>
      <c r="I750" s="13">
        <f t="shared" si="11"/>
        <v>3.5741314069487444</v>
      </c>
      <c r="J750" s="48"/>
    </row>
    <row r="751" spans="2:10">
      <c r="C751" s="40">
        <v>2.7749999999999999</v>
      </c>
      <c r="D751" s="34">
        <v>181.6</v>
      </c>
      <c r="E751" s="23">
        <v>104.6</v>
      </c>
      <c r="F751" s="23">
        <v>29.7</v>
      </c>
      <c r="G751" s="23">
        <v>476.5</v>
      </c>
      <c r="H751" s="40">
        <v>3.4569999999999999</v>
      </c>
      <c r="I751" s="13">
        <f t="shared" si="11"/>
        <v>3.5218855218855216</v>
      </c>
      <c r="J751" s="48"/>
    </row>
    <row r="752" spans="2:10">
      <c r="C752" s="40">
        <v>2.778</v>
      </c>
      <c r="D752" s="34">
        <v>179.6</v>
      </c>
      <c r="E752" s="23">
        <v>103.3</v>
      </c>
      <c r="F752" s="23">
        <v>29.67</v>
      </c>
      <c r="G752" s="23">
        <v>488.7</v>
      </c>
      <c r="H752" s="40">
        <v>3.4350000000000001</v>
      </c>
      <c r="I752" s="13">
        <f t="shared" si="11"/>
        <v>3.481631277384563</v>
      </c>
      <c r="J752" s="48"/>
    </row>
    <row r="753" spans="2:10">
      <c r="C753" s="40">
        <v>2.79</v>
      </c>
      <c r="D753" s="34">
        <v>180.1</v>
      </c>
      <c r="E753" s="23">
        <v>101.6</v>
      </c>
      <c r="F753" s="23">
        <v>28.87</v>
      </c>
      <c r="G753" s="23">
        <v>479.1</v>
      </c>
      <c r="H753" s="40">
        <v>3.4020000000000001</v>
      </c>
      <c r="I753" s="13">
        <f t="shared" si="11"/>
        <v>3.5192241080706612</v>
      </c>
      <c r="J753" s="48"/>
    </row>
    <row r="754" spans="2:10">
      <c r="C754" s="40">
        <v>2.5830000000000002</v>
      </c>
      <c r="D754" s="34">
        <v>189.9</v>
      </c>
      <c r="E754" s="23">
        <v>102.6</v>
      </c>
      <c r="F754" s="23">
        <v>29</v>
      </c>
      <c r="G754" s="23">
        <v>471.7</v>
      </c>
      <c r="H754" s="40">
        <v>3.411</v>
      </c>
      <c r="I754" s="13">
        <f t="shared" si="11"/>
        <v>3.5379310344827584</v>
      </c>
      <c r="J754" s="48"/>
    </row>
    <row r="755" spans="2:10">
      <c r="C755" s="40">
        <v>2.8479999999999999</v>
      </c>
      <c r="D755" s="34">
        <v>198.7</v>
      </c>
      <c r="E755" s="23">
        <v>102.4</v>
      </c>
      <c r="F755" s="23">
        <v>29.02</v>
      </c>
      <c r="G755" s="23">
        <v>472.2</v>
      </c>
      <c r="H755" s="40">
        <v>3.3969999999999998</v>
      </c>
      <c r="I755" s="13">
        <f t="shared" si="11"/>
        <v>3.5286009648518264</v>
      </c>
      <c r="J755" s="48"/>
    </row>
    <row r="756" spans="2:10">
      <c r="C756" s="40">
        <v>2.92</v>
      </c>
      <c r="D756" s="34">
        <v>166.7</v>
      </c>
      <c r="E756" s="23">
        <v>102.7</v>
      </c>
      <c r="F756" s="23">
        <v>28.02</v>
      </c>
      <c r="G756" s="23">
        <v>472.3</v>
      </c>
      <c r="H756" s="40">
        <v>3.4020000000000001</v>
      </c>
      <c r="I756" s="13">
        <f t="shared" si="11"/>
        <v>3.6652391149179158</v>
      </c>
      <c r="J756" s="48"/>
    </row>
    <row r="757" spans="2:10">
      <c r="C757" s="40">
        <v>2.988</v>
      </c>
      <c r="D757" s="34">
        <v>175.9</v>
      </c>
      <c r="E757" s="23">
        <v>102.1</v>
      </c>
      <c r="F757" s="23">
        <v>28.34</v>
      </c>
      <c r="G757" s="23">
        <v>472</v>
      </c>
      <c r="H757" s="40">
        <v>3.5110000000000001</v>
      </c>
      <c r="I757" s="13">
        <f t="shared" si="11"/>
        <v>3.6026817219477767</v>
      </c>
      <c r="J757" s="48"/>
    </row>
    <row r="758" spans="2:10">
      <c r="C758" s="40">
        <v>3.101</v>
      </c>
      <c r="D758" s="34">
        <v>153.4</v>
      </c>
      <c r="E758" s="23">
        <v>101.6</v>
      </c>
      <c r="F758" s="23">
        <v>29.01</v>
      </c>
      <c r="G758" s="23">
        <v>473.8</v>
      </c>
      <c r="H758" s="40">
        <v>3.5550000000000002</v>
      </c>
      <c r="I758" s="13">
        <f t="shared" si="11"/>
        <v>3.5022406066873488</v>
      </c>
      <c r="J758" s="48"/>
    </row>
    <row r="759" spans="2:10">
      <c r="C759" s="40">
        <v>2.8119999999999998</v>
      </c>
      <c r="D759" s="34">
        <v>169</v>
      </c>
      <c r="E759" s="23">
        <v>101.4</v>
      </c>
      <c r="F759" s="23">
        <v>27.34</v>
      </c>
      <c r="G759" s="23">
        <v>483.4</v>
      </c>
      <c r="H759" s="40">
        <v>3.47</v>
      </c>
      <c r="I759" s="13">
        <f t="shared" si="11"/>
        <v>3.7088514996342359</v>
      </c>
      <c r="J759" s="48"/>
    </row>
    <row r="760" spans="2:10">
      <c r="C760" s="40">
        <v>2.9660000000000002</v>
      </c>
      <c r="D760" s="34">
        <v>169.4</v>
      </c>
      <c r="E760" s="23">
        <v>101.8</v>
      </c>
      <c r="F760" s="23">
        <v>29.33</v>
      </c>
      <c r="G760" s="23">
        <v>476.5</v>
      </c>
      <c r="H760" s="40">
        <v>3.4460000000000002</v>
      </c>
      <c r="I760" s="13">
        <f t="shared" si="11"/>
        <v>3.4708489601091035</v>
      </c>
      <c r="J760" s="48"/>
    </row>
    <row r="761" spans="2:10">
      <c r="C761" s="40">
        <v>2.988</v>
      </c>
      <c r="D761" s="34">
        <v>161.9</v>
      </c>
      <c r="E761" s="23">
        <v>102.2</v>
      </c>
      <c r="F761" s="23">
        <v>28</v>
      </c>
      <c r="G761" s="23">
        <v>475.6</v>
      </c>
      <c r="H761" s="40">
        <v>3.47</v>
      </c>
      <c r="I761" s="13">
        <f t="shared" si="11"/>
        <v>3.65</v>
      </c>
      <c r="J761" s="48"/>
    </row>
    <row r="762" spans="2:10">
      <c r="B762" s="47">
        <v>39</v>
      </c>
      <c r="C762" s="39">
        <v>1.673</v>
      </c>
      <c r="D762" s="37">
        <v>155.9</v>
      </c>
      <c r="E762" s="38">
        <v>106.9</v>
      </c>
      <c r="F762" s="38">
        <v>28.4</v>
      </c>
      <c r="G762" s="38">
        <v>500</v>
      </c>
      <c r="H762" s="39">
        <v>4.7300000000000004</v>
      </c>
      <c r="I762" s="13">
        <f t="shared" si="11"/>
        <v>3.7640845070422539</v>
      </c>
      <c r="J762" s="48"/>
    </row>
    <row r="763" spans="2:10">
      <c r="C763" s="40">
        <v>1.627</v>
      </c>
      <c r="D763" s="34">
        <v>160.69999999999999</v>
      </c>
      <c r="E763" s="23">
        <v>113</v>
      </c>
      <c r="F763" s="23">
        <v>27.95</v>
      </c>
      <c r="G763" s="23">
        <v>500.6</v>
      </c>
      <c r="H763" s="40">
        <v>3.4870000000000001</v>
      </c>
      <c r="I763" s="13">
        <f t="shared" si="11"/>
        <v>4.0429338103756711</v>
      </c>
      <c r="J763" s="48"/>
    </row>
    <row r="764" spans="2:10">
      <c r="C764" s="40">
        <v>1.5329999999999999</v>
      </c>
      <c r="D764" s="34">
        <v>162.30000000000001</v>
      </c>
      <c r="E764" s="23">
        <v>112.2</v>
      </c>
      <c r="F764" s="23">
        <v>27.81</v>
      </c>
      <c r="G764" s="23">
        <v>501.3</v>
      </c>
      <c r="H764" s="40">
        <v>2.9540000000000002</v>
      </c>
      <c r="I764" s="13">
        <f t="shared" si="11"/>
        <v>4.0345199568500538</v>
      </c>
      <c r="J764" s="48"/>
    </row>
    <row r="765" spans="2:10">
      <c r="C765" s="40">
        <v>1.49</v>
      </c>
      <c r="D765" s="34">
        <v>149</v>
      </c>
      <c r="E765" s="23">
        <v>113.6</v>
      </c>
      <c r="F765" s="23">
        <v>27.88</v>
      </c>
      <c r="G765" s="23">
        <v>499.5</v>
      </c>
      <c r="H765" s="40">
        <v>2.702</v>
      </c>
      <c r="I765" s="13">
        <f t="shared" si="11"/>
        <v>4.074605451936872</v>
      </c>
      <c r="J765" s="48"/>
    </row>
    <row r="766" spans="2:10">
      <c r="C766" s="40">
        <v>1.587</v>
      </c>
      <c r="D766" s="34">
        <v>152.1</v>
      </c>
      <c r="E766" s="23">
        <v>113.6</v>
      </c>
      <c r="F766" s="23">
        <v>27.72</v>
      </c>
      <c r="G766" s="23">
        <v>498.1</v>
      </c>
      <c r="H766" s="40">
        <v>3.3530000000000002</v>
      </c>
      <c r="I766" s="13">
        <f t="shared" si="11"/>
        <v>4.0981240981240985</v>
      </c>
      <c r="J766" s="48"/>
    </row>
    <row r="767" spans="2:10">
      <c r="C767" s="40">
        <v>1.597</v>
      </c>
      <c r="D767" s="34">
        <v>169.4</v>
      </c>
      <c r="E767" s="23">
        <v>112.1</v>
      </c>
      <c r="F767" s="23">
        <v>27.59</v>
      </c>
      <c r="G767" s="23">
        <v>495.8</v>
      </c>
      <c r="H767" s="40">
        <v>2.7610000000000001</v>
      </c>
      <c r="I767" s="13">
        <f t="shared" si="11"/>
        <v>4.0630663283798478</v>
      </c>
      <c r="J767" s="48"/>
    </row>
    <row r="768" spans="2:10">
      <c r="C768" s="40">
        <v>1.6279999999999999</v>
      </c>
      <c r="D768" s="34">
        <v>177.3</v>
      </c>
      <c r="E768" s="23">
        <v>112.6</v>
      </c>
      <c r="F768" s="23">
        <v>27.29</v>
      </c>
      <c r="G768" s="23">
        <v>497.2</v>
      </c>
      <c r="H768" s="40">
        <v>3.2970000000000002</v>
      </c>
      <c r="I768" s="13">
        <f t="shared" si="11"/>
        <v>4.1260534994503484</v>
      </c>
      <c r="J768" s="48"/>
    </row>
    <row r="769" spans="2:10">
      <c r="C769" s="40">
        <v>1.994</v>
      </c>
      <c r="D769" s="34">
        <v>173.6</v>
      </c>
      <c r="E769" s="23">
        <v>112.8</v>
      </c>
      <c r="F769" s="23">
        <v>27.4</v>
      </c>
      <c r="G769" s="23">
        <v>498.5</v>
      </c>
      <c r="H769" s="40">
        <v>2.3969999999999998</v>
      </c>
      <c r="I769" s="13">
        <f t="shared" si="11"/>
        <v>4.1167883211678831</v>
      </c>
      <c r="J769" s="48"/>
    </row>
    <row r="770" spans="2:10">
      <c r="C770" s="40">
        <v>1.9139999999999999</v>
      </c>
      <c r="D770" s="34">
        <v>162.6</v>
      </c>
      <c r="E770" s="23">
        <v>112</v>
      </c>
      <c r="F770" s="23">
        <v>27.88</v>
      </c>
      <c r="G770" s="23">
        <v>502.6</v>
      </c>
      <c r="H770" s="40">
        <v>3.423</v>
      </c>
      <c r="I770" s="13">
        <f t="shared" si="11"/>
        <v>4.0172166427546632</v>
      </c>
      <c r="J770" s="48"/>
    </row>
    <row r="771" spans="2:10">
      <c r="C771" s="40">
        <v>1.8520000000000001</v>
      </c>
      <c r="D771" s="34">
        <v>152.6</v>
      </c>
      <c r="E771" s="23">
        <v>111.5</v>
      </c>
      <c r="F771" s="23">
        <v>27.48</v>
      </c>
      <c r="G771" s="23">
        <v>500</v>
      </c>
      <c r="H771" s="40">
        <v>4.2619999999999996</v>
      </c>
      <c r="I771" s="13">
        <f t="shared" ref="I771:I834" si="12">E771/F771</f>
        <v>4.0574963609898109</v>
      </c>
      <c r="J771" s="48"/>
    </row>
    <row r="772" spans="2:10">
      <c r="C772" s="40">
        <v>1.89</v>
      </c>
      <c r="D772" s="34">
        <v>167.7</v>
      </c>
      <c r="E772" s="23">
        <v>112.3</v>
      </c>
      <c r="F772" s="23">
        <v>26.96</v>
      </c>
      <c r="G772" s="23">
        <v>504</v>
      </c>
      <c r="H772" s="40">
        <v>5.29</v>
      </c>
      <c r="I772" s="13">
        <f t="shared" si="12"/>
        <v>4.1654302670623142</v>
      </c>
      <c r="J772" s="48"/>
    </row>
    <row r="773" spans="2:10">
      <c r="C773" s="40">
        <v>1.95</v>
      </c>
      <c r="D773" s="34">
        <v>166.7</v>
      </c>
      <c r="E773" s="23">
        <v>111.8</v>
      </c>
      <c r="F773" s="23">
        <v>27.45</v>
      </c>
      <c r="G773" s="23">
        <v>504.3</v>
      </c>
      <c r="H773" s="40">
        <v>6.0730000000000004</v>
      </c>
      <c r="I773" s="13">
        <f t="shared" si="12"/>
        <v>4.0728597449908923</v>
      </c>
      <c r="J773" s="48"/>
    </row>
    <row r="774" spans="2:10">
      <c r="C774" s="40">
        <v>1.982</v>
      </c>
      <c r="D774" s="34">
        <v>174.7</v>
      </c>
      <c r="E774" s="23">
        <v>111.3</v>
      </c>
      <c r="F774" s="23">
        <v>27.57</v>
      </c>
      <c r="G774" s="23">
        <v>495.4</v>
      </c>
      <c r="H774" s="40">
        <v>6.49</v>
      </c>
      <c r="I774" s="13">
        <f t="shared" si="12"/>
        <v>4.0369967355821545</v>
      </c>
      <c r="J774" s="48"/>
    </row>
    <row r="775" spans="2:10">
      <c r="C775" s="40">
        <v>1.9790000000000001</v>
      </c>
      <c r="D775" s="34">
        <v>186.3</v>
      </c>
      <c r="E775" s="23">
        <v>111.7</v>
      </c>
      <c r="F775" s="23">
        <v>26.82</v>
      </c>
      <c r="G775" s="23">
        <v>496.9</v>
      </c>
      <c r="H775" s="40">
        <v>5.4939999999999998</v>
      </c>
      <c r="I775" s="13">
        <f t="shared" si="12"/>
        <v>4.1648023862788968</v>
      </c>
      <c r="J775" s="48"/>
    </row>
    <row r="776" spans="2:10">
      <c r="C776" s="40">
        <v>1.95</v>
      </c>
      <c r="D776" s="34">
        <v>217.7</v>
      </c>
      <c r="E776" s="23">
        <v>112.7</v>
      </c>
      <c r="F776" s="23">
        <v>27.27</v>
      </c>
      <c r="G776" s="23">
        <v>500.8</v>
      </c>
      <c r="H776" s="40">
        <v>4.2850000000000001</v>
      </c>
      <c r="I776" s="13">
        <f t="shared" si="12"/>
        <v>4.1327466079941333</v>
      </c>
      <c r="J776" s="48"/>
    </row>
    <row r="777" spans="2:10">
      <c r="C777" s="40">
        <v>1.917</v>
      </c>
      <c r="D777" s="34">
        <v>159.1</v>
      </c>
      <c r="E777" s="23">
        <v>112.5</v>
      </c>
      <c r="F777" s="23">
        <v>27.5</v>
      </c>
      <c r="G777" s="23">
        <v>503.2</v>
      </c>
      <c r="H777" s="40">
        <v>5.0750000000000002</v>
      </c>
      <c r="I777" s="13">
        <f t="shared" si="12"/>
        <v>4.0909090909090908</v>
      </c>
      <c r="J777" s="48"/>
    </row>
    <row r="778" spans="2:10">
      <c r="C778" s="40">
        <v>1.87</v>
      </c>
      <c r="D778" s="34">
        <v>174</v>
      </c>
      <c r="E778" s="23">
        <v>112.1</v>
      </c>
      <c r="F778" s="23">
        <v>28.52</v>
      </c>
      <c r="G778" s="23">
        <v>499.7</v>
      </c>
      <c r="H778" s="40">
        <v>4.16</v>
      </c>
      <c r="I778" s="13">
        <f t="shared" si="12"/>
        <v>3.9305750350631135</v>
      </c>
      <c r="J778" s="48"/>
    </row>
    <row r="779" spans="2:10">
      <c r="C779" s="40">
        <v>1.8180000000000001</v>
      </c>
      <c r="D779" s="34">
        <v>155</v>
      </c>
      <c r="E779" s="23">
        <v>110.9</v>
      </c>
      <c r="F779" s="23">
        <v>28.36</v>
      </c>
      <c r="G779" s="23">
        <v>500.1</v>
      </c>
      <c r="H779" s="40">
        <v>2.629</v>
      </c>
      <c r="I779" s="13">
        <f t="shared" si="12"/>
        <v>3.9104372355430188</v>
      </c>
      <c r="J779" s="48"/>
    </row>
    <row r="780" spans="2:10">
      <c r="C780" s="40">
        <v>1.9079999999999999</v>
      </c>
      <c r="D780" s="34">
        <v>161.19999999999999</v>
      </c>
      <c r="E780" s="23">
        <v>111.4</v>
      </c>
      <c r="F780" s="23">
        <v>27.91</v>
      </c>
      <c r="G780" s="23">
        <v>496.2</v>
      </c>
      <c r="H780" s="40">
        <v>2.2989999999999999</v>
      </c>
      <c r="I780" s="13">
        <f t="shared" si="12"/>
        <v>3.9914009315657473</v>
      </c>
      <c r="J780" s="48"/>
    </row>
    <row r="781" spans="2:10">
      <c r="C781" s="40">
        <v>1.972</v>
      </c>
      <c r="D781" s="34">
        <v>152</v>
      </c>
      <c r="E781" s="23">
        <v>110.2</v>
      </c>
      <c r="F781" s="23">
        <v>28.11</v>
      </c>
      <c r="G781" s="23">
        <v>490.4</v>
      </c>
      <c r="H781" s="40">
        <v>4.7060000000000004</v>
      </c>
      <c r="I781" s="13">
        <f t="shared" si="12"/>
        <v>3.9203130558520103</v>
      </c>
      <c r="J781" s="48"/>
    </row>
    <row r="782" spans="2:10">
      <c r="B782" s="47">
        <v>40</v>
      </c>
      <c r="C782" s="39">
        <v>2.4590000000000001</v>
      </c>
      <c r="D782" s="37">
        <v>113.6</v>
      </c>
      <c r="E782" s="38">
        <v>100.8</v>
      </c>
      <c r="F782" s="38">
        <v>46.84</v>
      </c>
      <c r="G782" s="38">
        <v>426.2</v>
      </c>
      <c r="H782" s="39">
        <v>2.6949999999999998</v>
      </c>
      <c r="I782" s="13">
        <f t="shared" si="12"/>
        <v>2.1520068317677197</v>
      </c>
      <c r="J782" s="48"/>
    </row>
    <row r="783" spans="2:10">
      <c r="C783" s="40">
        <v>2.5830000000000002</v>
      </c>
      <c r="D783" s="34">
        <v>112.8</v>
      </c>
      <c r="E783" s="23">
        <v>101.2</v>
      </c>
      <c r="F783" s="23">
        <v>46.27</v>
      </c>
      <c r="G783" s="23">
        <v>425.3</v>
      </c>
      <c r="H783" s="40">
        <v>2.2120000000000002</v>
      </c>
      <c r="I783" s="13">
        <f t="shared" si="12"/>
        <v>2.1871623081910525</v>
      </c>
      <c r="J783" s="48"/>
    </row>
    <row r="784" spans="2:10">
      <c r="C784" s="40">
        <v>2.512</v>
      </c>
      <c r="D784" s="34">
        <v>120.4</v>
      </c>
      <c r="E784" s="23">
        <v>102.9</v>
      </c>
      <c r="F784" s="23">
        <v>46.46</v>
      </c>
      <c r="G784" s="23">
        <v>427.3</v>
      </c>
      <c r="H784" s="40">
        <v>1.99</v>
      </c>
      <c r="I784" s="13">
        <f t="shared" si="12"/>
        <v>2.2148084373654759</v>
      </c>
      <c r="J784" s="48"/>
    </row>
    <row r="785" spans="3:10">
      <c r="C785" s="40">
        <v>2.5459999999999998</v>
      </c>
      <c r="D785" s="34">
        <v>128.69999999999999</v>
      </c>
      <c r="E785" s="23">
        <v>101.2</v>
      </c>
      <c r="F785" s="23">
        <v>45.54</v>
      </c>
      <c r="G785" s="23">
        <v>424.8</v>
      </c>
      <c r="H785" s="40">
        <v>2.5350000000000001</v>
      </c>
      <c r="I785" s="13">
        <f t="shared" si="12"/>
        <v>2.2222222222222223</v>
      </c>
      <c r="J785" s="48"/>
    </row>
    <row r="786" spans="3:10">
      <c r="C786" s="40">
        <v>2.387</v>
      </c>
      <c r="D786" s="34">
        <v>140.1</v>
      </c>
      <c r="E786" s="23">
        <v>101</v>
      </c>
      <c r="F786" s="23">
        <v>46</v>
      </c>
      <c r="G786" s="23">
        <v>425</v>
      </c>
      <c r="H786" s="40">
        <v>2.4620000000000002</v>
      </c>
      <c r="I786" s="13">
        <f t="shared" si="12"/>
        <v>2.1956521739130435</v>
      </c>
      <c r="J786" s="48"/>
    </row>
    <row r="787" spans="3:10">
      <c r="C787" s="40">
        <v>2.3239999999999998</v>
      </c>
      <c r="D787" s="34">
        <v>145.69999999999999</v>
      </c>
      <c r="E787" s="23">
        <v>100.7</v>
      </c>
      <c r="F787" s="23">
        <v>46.27</v>
      </c>
      <c r="G787" s="23">
        <v>424.7</v>
      </c>
      <c r="H787" s="40">
        <v>2.7040000000000002</v>
      </c>
      <c r="I787" s="13">
        <f t="shared" si="12"/>
        <v>2.1763561703047332</v>
      </c>
      <c r="J787" s="48"/>
    </row>
    <row r="788" spans="3:10">
      <c r="C788" s="40">
        <v>2.2570000000000001</v>
      </c>
      <c r="D788" s="34">
        <v>126.2</v>
      </c>
      <c r="E788" s="23">
        <v>99.78</v>
      </c>
      <c r="F788" s="23">
        <v>45.14</v>
      </c>
      <c r="G788" s="23">
        <v>425</v>
      </c>
      <c r="H788" s="40">
        <v>2.7749999999999999</v>
      </c>
      <c r="I788" s="13">
        <f t="shared" si="12"/>
        <v>2.2104563579973417</v>
      </c>
      <c r="J788" s="48"/>
    </row>
    <row r="789" spans="3:10">
      <c r="C789" s="40">
        <v>2.2650000000000001</v>
      </c>
      <c r="D789" s="34">
        <v>122.2</v>
      </c>
      <c r="E789" s="23">
        <v>100.3</v>
      </c>
      <c r="F789" s="23">
        <v>45.08</v>
      </c>
      <c r="G789" s="23">
        <v>435.9</v>
      </c>
      <c r="H789" s="40">
        <v>2.92</v>
      </c>
      <c r="I789" s="13">
        <f t="shared" si="12"/>
        <v>2.224933451641526</v>
      </c>
      <c r="J789" s="48"/>
    </row>
    <row r="790" spans="3:10">
      <c r="C790" s="40">
        <v>2.2869999999999999</v>
      </c>
      <c r="D790" s="34">
        <v>112.9</v>
      </c>
      <c r="E790" s="23">
        <v>100.5</v>
      </c>
      <c r="F790" s="23">
        <v>45.25</v>
      </c>
      <c r="G790" s="23">
        <v>430.7</v>
      </c>
      <c r="H790" s="40">
        <v>3.1659999999999999</v>
      </c>
      <c r="I790" s="13">
        <f t="shared" si="12"/>
        <v>2.2209944751381214</v>
      </c>
      <c r="J790" s="48"/>
    </row>
    <row r="791" spans="3:10">
      <c r="C791" s="40">
        <v>2.2690000000000001</v>
      </c>
      <c r="D791" s="34">
        <v>113.6</v>
      </c>
      <c r="E791" s="23">
        <v>101.7</v>
      </c>
      <c r="F791" s="23">
        <v>45.38</v>
      </c>
      <c r="G791" s="23">
        <v>426</v>
      </c>
      <c r="H791" s="40">
        <v>2.988</v>
      </c>
      <c r="I791" s="13">
        <f t="shared" si="12"/>
        <v>2.2410753635962979</v>
      </c>
      <c r="J791" s="48"/>
    </row>
    <row r="792" spans="3:10">
      <c r="C792" s="40">
        <v>2.1469999999999998</v>
      </c>
      <c r="D792" s="34">
        <v>112.2</v>
      </c>
      <c r="E792" s="23">
        <v>100.7</v>
      </c>
      <c r="F792" s="23">
        <v>45.46</v>
      </c>
      <c r="G792" s="23">
        <v>425.7</v>
      </c>
      <c r="H792" s="40">
        <v>2.6269999999999998</v>
      </c>
      <c r="I792" s="13">
        <f t="shared" si="12"/>
        <v>2.2151341838979324</v>
      </c>
      <c r="J792" s="48"/>
    </row>
    <row r="793" spans="3:10">
      <c r="C793" s="40">
        <v>2.2879999999999998</v>
      </c>
      <c r="D793" s="34">
        <v>113.6</v>
      </c>
      <c r="E793" s="23">
        <v>101.1</v>
      </c>
      <c r="F793" s="23">
        <v>45.71</v>
      </c>
      <c r="G793" s="23">
        <v>429</v>
      </c>
      <c r="H793" s="40">
        <v>2.3420000000000001</v>
      </c>
      <c r="I793" s="13">
        <f t="shared" si="12"/>
        <v>2.2117698534237582</v>
      </c>
      <c r="J793" s="48"/>
    </row>
    <row r="794" spans="3:10">
      <c r="C794" s="40">
        <v>2.3559999999999999</v>
      </c>
      <c r="D794" s="34">
        <v>112.8</v>
      </c>
      <c r="E794" s="23">
        <v>101.9</v>
      </c>
      <c r="F794" s="23">
        <v>46.32</v>
      </c>
      <c r="G794" s="23">
        <v>426</v>
      </c>
      <c r="H794" s="40">
        <v>2.8130000000000002</v>
      </c>
      <c r="I794" s="13">
        <f t="shared" si="12"/>
        <v>2.1999136442141625</v>
      </c>
      <c r="J794" s="48"/>
    </row>
    <row r="795" spans="3:10">
      <c r="C795" s="40">
        <v>2.2330000000000001</v>
      </c>
      <c r="D795" s="34">
        <v>124.1</v>
      </c>
      <c r="E795" s="23">
        <v>101.4</v>
      </c>
      <c r="F795" s="23">
        <v>46.07</v>
      </c>
      <c r="G795" s="23">
        <v>428.1</v>
      </c>
      <c r="H795" s="40">
        <v>2.27</v>
      </c>
      <c r="I795" s="13">
        <f t="shared" si="12"/>
        <v>2.2009984805730411</v>
      </c>
      <c r="J795" s="48"/>
    </row>
    <row r="796" spans="3:10">
      <c r="C796" s="40">
        <v>2.36</v>
      </c>
      <c r="D796" s="34">
        <v>129.69999999999999</v>
      </c>
      <c r="E796" s="23">
        <v>102.9</v>
      </c>
      <c r="F796" s="23">
        <v>45.66</v>
      </c>
      <c r="G796" s="23">
        <v>426.1</v>
      </c>
      <c r="H796" s="40">
        <v>2.7749999999999999</v>
      </c>
      <c r="I796" s="13">
        <f t="shared" si="12"/>
        <v>2.253613666228647</v>
      </c>
      <c r="J796" s="48"/>
    </row>
    <row r="797" spans="3:10">
      <c r="C797" s="40">
        <v>2.4790000000000001</v>
      </c>
      <c r="D797" s="34">
        <v>124.1</v>
      </c>
      <c r="E797" s="23">
        <v>102.3</v>
      </c>
      <c r="F797" s="23">
        <v>45.44</v>
      </c>
      <c r="G797" s="23">
        <v>423</v>
      </c>
      <c r="H797" s="40">
        <v>2.92</v>
      </c>
      <c r="I797" s="13">
        <f t="shared" si="12"/>
        <v>2.2513204225352115</v>
      </c>
      <c r="J797" s="48"/>
    </row>
    <row r="798" spans="3:10">
      <c r="C798" s="40">
        <v>2.4660000000000002</v>
      </c>
      <c r="D798" s="34">
        <v>128.69999999999999</v>
      </c>
      <c r="E798" s="23">
        <v>102.1</v>
      </c>
      <c r="F798" s="23">
        <v>45.25</v>
      </c>
      <c r="G798" s="23">
        <v>429.5</v>
      </c>
      <c r="H798" s="40">
        <v>2.7749999999999999</v>
      </c>
      <c r="I798" s="13">
        <f t="shared" si="12"/>
        <v>2.2563535911602211</v>
      </c>
      <c r="J798" s="48"/>
    </row>
    <row r="799" spans="3:10">
      <c r="C799" s="40">
        <v>2.605</v>
      </c>
      <c r="D799" s="34">
        <v>131.6</v>
      </c>
      <c r="E799" s="23">
        <v>100.4</v>
      </c>
      <c r="F799" s="23">
        <v>45.98</v>
      </c>
      <c r="G799" s="23">
        <v>430.7</v>
      </c>
      <c r="H799" s="40">
        <v>2.0169999999999999</v>
      </c>
      <c r="I799" s="13">
        <f t="shared" si="12"/>
        <v>2.1835580687255329</v>
      </c>
      <c r="J799" s="48"/>
    </row>
    <row r="800" spans="3:10">
      <c r="C800" s="40">
        <v>2.6440000000000001</v>
      </c>
      <c r="D800" s="34">
        <v>115.8</v>
      </c>
      <c r="E800" s="23">
        <v>100.8</v>
      </c>
      <c r="F800" s="23">
        <v>45.14</v>
      </c>
      <c r="G800" s="23">
        <v>433.4</v>
      </c>
      <c r="H800" s="40">
        <v>1.9630000000000001</v>
      </c>
      <c r="I800" s="13">
        <f t="shared" si="12"/>
        <v>2.2330527248560035</v>
      </c>
      <c r="J800" s="48"/>
    </row>
    <row r="801" spans="2:10">
      <c r="C801" s="40">
        <v>2.5830000000000002</v>
      </c>
      <c r="D801" s="34">
        <v>122.2</v>
      </c>
      <c r="E801" s="23">
        <v>101.3</v>
      </c>
      <c r="F801" s="23">
        <v>45.53</v>
      </c>
      <c r="G801" s="23">
        <v>431.8</v>
      </c>
      <c r="H801" s="40">
        <v>1.829</v>
      </c>
      <c r="I801" s="13">
        <f t="shared" si="12"/>
        <v>2.2249066549527781</v>
      </c>
      <c r="J801" s="48"/>
    </row>
    <row r="802" spans="2:10">
      <c r="B802" s="47">
        <v>41</v>
      </c>
      <c r="C802" s="39">
        <v>2.4940000000000002</v>
      </c>
      <c r="D802" s="37">
        <v>115.6</v>
      </c>
      <c r="E802" s="38">
        <v>89.02</v>
      </c>
      <c r="F802" s="38">
        <v>31.84</v>
      </c>
      <c r="G802" s="38">
        <v>482.7</v>
      </c>
      <c r="H802" s="39">
        <v>1.61</v>
      </c>
      <c r="I802" s="13">
        <f t="shared" si="12"/>
        <v>2.795854271356784</v>
      </c>
      <c r="J802" s="48"/>
    </row>
    <row r="803" spans="2:10">
      <c r="C803" s="40">
        <v>2.3839999999999999</v>
      </c>
      <c r="D803" s="34">
        <v>109.9</v>
      </c>
      <c r="E803" s="23">
        <v>89.18</v>
      </c>
      <c r="F803" s="23">
        <v>32.07</v>
      </c>
      <c r="G803" s="23">
        <v>480.4</v>
      </c>
      <c r="H803" s="40">
        <v>1.631</v>
      </c>
      <c r="I803" s="13">
        <f t="shared" si="12"/>
        <v>2.7807920174618026</v>
      </c>
      <c r="J803" s="48"/>
    </row>
    <row r="804" spans="2:10">
      <c r="C804" s="40">
        <v>2.0790000000000002</v>
      </c>
      <c r="D804" s="34">
        <v>106.2</v>
      </c>
      <c r="E804" s="23">
        <v>88.92</v>
      </c>
      <c r="F804" s="23">
        <v>31.35</v>
      </c>
      <c r="G804" s="23">
        <v>483.3</v>
      </c>
      <c r="H804" s="40">
        <v>1.738</v>
      </c>
      <c r="I804" s="13">
        <f t="shared" si="12"/>
        <v>2.8363636363636364</v>
      </c>
      <c r="J804" s="48"/>
    </row>
    <row r="805" spans="2:10">
      <c r="C805" s="40">
        <v>2.2269999999999999</v>
      </c>
      <c r="D805" s="34">
        <v>102.4</v>
      </c>
      <c r="E805" s="23">
        <v>89.54</v>
      </c>
      <c r="F805" s="23">
        <v>30.41</v>
      </c>
      <c r="G805" s="23">
        <v>483.7</v>
      </c>
      <c r="H805" s="40">
        <v>1.869</v>
      </c>
      <c r="I805" s="13">
        <f t="shared" si="12"/>
        <v>2.9444261756001318</v>
      </c>
      <c r="J805" s="48"/>
    </row>
    <row r="806" spans="2:10">
      <c r="C806" s="40">
        <v>2.4119999999999999</v>
      </c>
      <c r="D806" s="34">
        <v>121.2</v>
      </c>
      <c r="E806" s="23">
        <v>90.01</v>
      </c>
      <c r="F806" s="23">
        <v>30.17</v>
      </c>
      <c r="G806" s="23">
        <v>481</v>
      </c>
      <c r="H806" s="40">
        <v>1.645</v>
      </c>
      <c r="I806" s="13">
        <f t="shared" si="12"/>
        <v>2.9834272456082203</v>
      </c>
      <c r="J806" s="48"/>
    </row>
    <row r="807" spans="2:10">
      <c r="C807" s="40">
        <v>2.2770000000000001</v>
      </c>
      <c r="D807" s="34">
        <v>100.7</v>
      </c>
      <c r="E807" s="23">
        <v>89.57</v>
      </c>
      <c r="F807" s="23">
        <v>30.48</v>
      </c>
      <c r="G807" s="23">
        <v>481.3</v>
      </c>
      <c r="H807" s="40">
        <v>2.008</v>
      </c>
      <c r="I807" s="13">
        <f t="shared" si="12"/>
        <v>2.9386482939632543</v>
      </c>
      <c r="J807" s="48"/>
    </row>
    <row r="808" spans="2:10">
      <c r="C808" s="40">
        <v>2.4</v>
      </c>
      <c r="D808" s="34">
        <v>105.8</v>
      </c>
      <c r="E808" s="23">
        <v>89.78</v>
      </c>
      <c r="F808" s="23">
        <v>31.46</v>
      </c>
      <c r="G808" s="23">
        <v>481</v>
      </c>
      <c r="H808" s="40">
        <v>2.1059999999999999</v>
      </c>
      <c r="I808" s="13">
        <f t="shared" si="12"/>
        <v>2.8537825810553081</v>
      </c>
      <c r="J808" s="48"/>
    </row>
    <row r="809" spans="2:10">
      <c r="C809" s="40">
        <v>2.2559999999999998</v>
      </c>
      <c r="D809" s="34">
        <v>101.4</v>
      </c>
      <c r="E809" s="23">
        <v>89.65</v>
      </c>
      <c r="F809" s="23">
        <v>31.67</v>
      </c>
      <c r="G809" s="23">
        <v>482.4</v>
      </c>
      <c r="H809" s="40">
        <v>2.0950000000000002</v>
      </c>
      <c r="I809" s="13">
        <f t="shared" si="12"/>
        <v>2.830754657404484</v>
      </c>
      <c r="J809" s="48"/>
    </row>
    <row r="810" spans="2:10">
      <c r="C810" s="40">
        <v>2.4529999999999998</v>
      </c>
      <c r="D810" s="34">
        <v>113</v>
      </c>
      <c r="E810" s="23">
        <v>89.63</v>
      </c>
      <c r="F810" s="23">
        <v>32.17</v>
      </c>
      <c r="G810" s="23">
        <v>481.9</v>
      </c>
      <c r="H810" s="40">
        <v>2.1930000000000001</v>
      </c>
      <c r="I810" s="13">
        <f t="shared" si="12"/>
        <v>2.7861361516941248</v>
      </c>
      <c r="J810" s="48"/>
    </row>
    <row r="811" spans="2:10">
      <c r="C811" s="40">
        <v>2.4769999999999999</v>
      </c>
      <c r="D811" s="34">
        <v>107.5</v>
      </c>
      <c r="E811" s="23">
        <v>89.37</v>
      </c>
      <c r="F811" s="23">
        <v>30.47</v>
      </c>
      <c r="G811" s="23">
        <v>480.2</v>
      </c>
      <c r="H811" s="40">
        <v>1.96</v>
      </c>
      <c r="I811" s="13">
        <f t="shared" si="12"/>
        <v>2.9330489005579259</v>
      </c>
      <c r="J811" s="48"/>
    </row>
    <row r="812" spans="2:10">
      <c r="C812" s="40">
        <v>2.4809999999999999</v>
      </c>
      <c r="D812" s="34">
        <v>105.4</v>
      </c>
      <c r="E812" s="23">
        <v>89.1</v>
      </c>
      <c r="F812" s="23">
        <v>30.93</v>
      </c>
      <c r="G812" s="23">
        <v>481.6</v>
      </c>
      <c r="H812" s="40">
        <v>1.9339999999999999</v>
      </c>
      <c r="I812" s="13">
        <f t="shared" si="12"/>
        <v>2.8806983511154218</v>
      </c>
      <c r="J812" s="48"/>
    </row>
    <row r="813" spans="2:10">
      <c r="C813" s="40">
        <v>2.5259999999999998</v>
      </c>
      <c r="D813" s="34">
        <v>128.6</v>
      </c>
      <c r="E813" s="23">
        <v>90.86</v>
      </c>
      <c r="F813" s="23">
        <v>30.67</v>
      </c>
      <c r="G813" s="23">
        <v>479.3</v>
      </c>
      <c r="H813" s="40">
        <v>1.9019999999999999</v>
      </c>
      <c r="I813" s="13">
        <f t="shared" si="12"/>
        <v>2.9625040756439516</v>
      </c>
      <c r="J813" s="48"/>
    </row>
    <row r="814" spans="2:10">
      <c r="C814" s="40">
        <v>2.61</v>
      </c>
      <c r="D814" s="34">
        <v>100.7</v>
      </c>
      <c r="E814" s="23">
        <v>91.02</v>
      </c>
      <c r="F814" s="23">
        <v>31.13</v>
      </c>
      <c r="G814" s="23">
        <v>478.3</v>
      </c>
      <c r="H814" s="40">
        <v>1.8160000000000001</v>
      </c>
      <c r="I814" s="13">
        <f t="shared" si="12"/>
        <v>2.9238676517828459</v>
      </c>
      <c r="J814" s="48"/>
    </row>
    <row r="815" spans="2:10">
      <c r="C815" s="40">
        <v>2.2770000000000001</v>
      </c>
      <c r="D815" s="34">
        <v>121.2</v>
      </c>
      <c r="E815" s="23">
        <v>91.14</v>
      </c>
      <c r="F815" s="23">
        <v>30.89</v>
      </c>
      <c r="G815" s="23">
        <v>481.1</v>
      </c>
      <c r="H815" s="40">
        <v>2.1349999999999998</v>
      </c>
      <c r="I815" s="13">
        <f t="shared" si="12"/>
        <v>2.9504694075752669</v>
      </c>
      <c r="J815" s="48"/>
    </row>
    <row r="816" spans="2:10">
      <c r="C816" s="40">
        <v>2.3839999999999999</v>
      </c>
      <c r="D816" s="34">
        <v>113.7</v>
      </c>
      <c r="E816" s="23">
        <v>91</v>
      </c>
      <c r="F816" s="23">
        <v>29.23</v>
      </c>
      <c r="G816" s="23">
        <v>481.8</v>
      </c>
      <c r="H816" s="40">
        <v>2.222</v>
      </c>
      <c r="I816" s="13">
        <f t="shared" si="12"/>
        <v>3.1132398221005815</v>
      </c>
      <c r="J816" s="48"/>
    </row>
    <row r="817" spans="2:10">
      <c r="C817" s="40">
        <v>2.637</v>
      </c>
      <c r="D817" s="34">
        <v>132.1</v>
      </c>
      <c r="E817" s="23">
        <v>91.62</v>
      </c>
      <c r="F817" s="23">
        <v>29.7</v>
      </c>
      <c r="G817" s="23">
        <v>480.2</v>
      </c>
      <c r="H817" s="40">
        <v>2.2480000000000002</v>
      </c>
      <c r="I817" s="13">
        <f t="shared" si="12"/>
        <v>3.084848484848485</v>
      </c>
      <c r="J817" s="48"/>
    </row>
    <row r="818" spans="2:10">
      <c r="C818" s="40">
        <v>2.4940000000000002</v>
      </c>
      <c r="D818" s="34">
        <v>121.2</v>
      </c>
      <c r="E818" s="23">
        <v>92.08</v>
      </c>
      <c r="F818" s="23">
        <v>30.88</v>
      </c>
      <c r="G818" s="23">
        <v>479.6</v>
      </c>
      <c r="H818" s="40">
        <v>2.0699999999999998</v>
      </c>
      <c r="I818" s="13">
        <f t="shared" si="12"/>
        <v>2.9818652849740932</v>
      </c>
      <c r="J818" s="48"/>
    </row>
    <row r="819" spans="2:10">
      <c r="C819" s="40">
        <v>2.46</v>
      </c>
      <c r="D819" s="34">
        <v>107.6</v>
      </c>
      <c r="E819" s="23">
        <v>92.55</v>
      </c>
      <c r="F819" s="23">
        <v>30.2</v>
      </c>
      <c r="G819" s="23">
        <v>477.5</v>
      </c>
      <c r="H819" s="40">
        <v>1.9650000000000001</v>
      </c>
      <c r="I819" s="13">
        <f t="shared" si="12"/>
        <v>3.064569536423841</v>
      </c>
      <c r="J819" s="48"/>
    </row>
    <row r="820" spans="2:10">
      <c r="C820" s="40">
        <v>2.5259999999999998</v>
      </c>
      <c r="D820" s="34">
        <v>107.4</v>
      </c>
      <c r="E820" s="23">
        <v>92.38</v>
      </c>
      <c r="F820" s="23">
        <v>29.73</v>
      </c>
      <c r="G820" s="23">
        <v>481</v>
      </c>
      <c r="H820" s="40">
        <v>1.7669999999999999</v>
      </c>
      <c r="I820" s="13">
        <f t="shared" si="12"/>
        <v>3.1072990245543219</v>
      </c>
      <c r="J820" s="48"/>
    </row>
    <row r="821" spans="2:10">
      <c r="C821" s="40">
        <v>2.4529999999999998</v>
      </c>
      <c r="D821" s="34">
        <v>100.3</v>
      </c>
      <c r="E821" s="23">
        <v>92.3</v>
      </c>
      <c r="F821" s="23">
        <v>29.49</v>
      </c>
      <c r="G821" s="23">
        <v>480.8</v>
      </c>
      <c r="H821" s="40">
        <v>1.8779999999999999</v>
      </c>
      <c r="I821" s="13">
        <f t="shared" si="12"/>
        <v>3.1298745337402512</v>
      </c>
      <c r="J821" s="48"/>
    </row>
    <row r="822" spans="2:10">
      <c r="B822" s="47">
        <v>42</v>
      </c>
      <c r="C822" s="39">
        <v>2.1800000000000002</v>
      </c>
      <c r="D822" s="37">
        <v>166</v>
      </c>
      <c r="E822" s="38">
        <v>111.7</v>
      </c>
      <c r="F822" s="38">
        <v>35.83</v>
      </c>
      <c r="G822" s="38">
        <v>477.2</v>
      </c>
      <c r="H822" s="39">
        <v>3.93</v>
      </c>
      <c r="I822" s="13">
        <f t="shared" si="12"/>
        <v>3.1174993022606756</v>
      </c>
      <c r="J822" s="48"/>
    </row>
    <row r="823" spans="2:10">
      <c r="C823" s="40">
        <v>2.105</v>
      </c>
      <c r="D823" s="34">
        <v>168.8</v>
      </c>
      <c r="E823" s="23">
        <v>112.3</v>
      </c>
      <c r="F823" s="23">
        <v>36.130000000000003</v>
      </c>
      <c r="G823" s="23">
        <v>478.9</v>
      </c>
      <c r="H823" s="40">
        <v>3.71</v>
      </c>
      <c r="I823" s="13">
        <f t="shared" si="12"/>
        <v>3.1082203155272623</v>
      </c>
      <c r="J823" s="48"/>
    </row>
    <row r="824" spans="2:10">
      <c r="C824" s="40">
        <v>2.13</v>
      </c>
      <c r="D824" s="34">
        <v>185.4</v>
      </c>
      <c r="E824" s="23">
        <v>111.7</v>
      </c>
      <c r="F824" s="23">
        <v>35.049999999999997</v>
      </c>
      <c r="G824" s="23">
        <v>480.8</v>
      </c>
      <c r="H824" s="40">
        <v>3.28</v>
      </c>
      <c r="I824" s="13">
        <f t="shared" si="12"/>
        <v>3.1868758915834525</v>
      </c>
      <c r="J824" s="48"/>
    </row>
    <row r="825" spans="2:10">
      <c r="C825" s="40">
        <v>2.1280000000000001</v>
      </c>
      <c r="D825" s="34">
        <v>192</v>
      </c>
      <c r="E825" s="23">
        <v>111.1</v>
      </c>
      <c r="F825" s="23">
        <v>35.51</v>
      </c>
      <c r="G825" s="23">
        <v>480.5</v>
      </c>
      <c r="H825" s="40">
        <v>4.1500000000000004</v>
      </c>
      <c r="I825" s="13">
        <f t="shared" si="12"/>
        <v>3.1286961419318504</v>
      </c>
      <c r="J825" s="48"/>
    </row>
    <row r="826" spans="2:10">
      <c r="C826" s="40">
        <v>2.0299999999999998</v>
      </c>
      <c r="D826" s="34">
        <v>198.7</v>
      </c>
      <c r="E826" s="23">
        <v>110.9</v>
      </c>
      <c r="F826" s="23">
        <v>35.53</v>
      </c>
      <c r="G826" s="23">
        <v>477.5</v>
      </c>
      <c r="H826" s="40">
        <v>5.54</v>
      </c>
      <c r="I826" s="13">
        <f t="shared" si="12"/>
        <v>3.1213059386433999</v>
      </c>
      <c r="J826" s="48"/>
    </row>
    <row r="827" spans="2:10">
      <c r="C827" s="40">
        <v>1.9370000000000001</v>
      </c>
      <c r="D827" s="34">
        <v>184.9</v>
      </c>
      <c r="E827" s="23">
        <v>111.4</v>
      </c>
      <c r="F827" s="23">
        <v>35.43</v>
      </c>
      <c r="G827" s="23">
        <v>475.2</v>
      </c>
      <c r="H827" s="40">
        <v>5.81</v>
      </c>
      <c r="I827" s="13">
        <f t="shared" si="12"/>
        <v>3.1442280553203501</v>
      </c>
      <c r="J827" s="48"/>
    </row>
    <row r="828" spans="2:10">
      <c r="C828" s="40">
        <v>1.929</v>
      </c>
      <c r="D828" s="34">
        <v>183.2</v>
      </c>
      <c r="E828" s="23">
        <v>111.2</v>
      </c>
      <c r="F828" s="23">
        <v>35.75</v>
      </c>
      <c r="G828" s="23">
        <v>475.9</v>
      </c>
      <c r="H828" s="40">
        <v>5.71</v>
      </c>
      <c r="I828" s="13">
        <f t="shared" si="12"/>
        <v>3.1104895104895105</v>
      </c>
      <c r="J828" s="48"/>
    </row>
    <row r="829" spans="2:10">
      <c r="C829" s="40">
        <v>2.016</v>
      </c>
      <c r="D829" s="34">
        <v>177.8</v>
      </c>
      <c r="E829" s="23">
        <v>110.6</v>
      </c>
      <c r="F829" s="23">
        <v>36.24</v>
      </c>
      <c r="G829" s="23">
        <v>477.5</v>
      </c>
      <c r="H829" s="40">
        <v>5.09</v>
      </c>
      <c r="I829" s="13">
        <f t="shared" si="12"/>
        <v>3.0518763796909489</v>
      </c>
      <c r="J829" s="48"/>
    </row>
    <row r="830" spans="2:10">
      <c r="C830" s="40">
        <v>2.06</v>
      </c>
      <c r="D830" s="34">
        <v>212.3</v>
      </c>
      <c r="E830" s="23">
        <v>110.8</v>
      </c>
      <c r="F830" s="23">
        <v>35.21</v>
      </c>
      <c r="G830" s="23">
        <v>478.3</v>
      </c>
      <c r="H830" s="40">
        <v>4.66</v>
      </c>
      <c r="I830" s="13">
        <f t="shared" si="12"/>
        <v>3.1468332859982957</v>
      </c>
      <c r="J830" s="48"/>
    </row>
    <row r="831" spans="2:10">
      <c r="C831" s="40">
        <v>2.0720000000000001</v>
      </c>
      <c r="D831" s="34">
        <v>184.9</v>
      </c>
      <c r="E831" s="23">
        <v>110.3</v>
      </c>
      <c r="F831" s="23">
        <v>35.36</v>
      </c>
      <c r="G831" s="23">
        <v>473.1</v>
      </c>
      <c r="H831" s="40">
        <v>3.09</v>
      </c>
      <c r="I831" s="13">
        <f t="shared" si="12"/>
        <v>3.119343891402715</v>
      </c>
      <c r="J831" s="48"/>
    </row>
    <row r="832" spans="2:10">
      <c r="C832" s="40">
        <v>2.0680000000000001</v>
      </c>
      <c r="D832" s="34">
        <v>198.7</v>
      </c>
      <c r="E832" s="23">
        <v>112.1</v>
      </c>
      <c r="F832" s="23">
        <v>35.99</v>
      </c>
      <c r="G832" s="23">
        <v>484</v>
      </c>
      <c r="H832" s="40">
        <v>3.28</v>
      </c>
      <c r="I832" s="13">
        <f t="shared" si="12"/>
        <v>3.1147540983606552</v>
      </c>
      <c r="J832" s="48"/>
    </row>
    <row r="833" spans="2:10">
      <c r="C833" s="40">
        <v>2.0609999999999999</v>
      </c>
      <c r="D833" s="34">
        <v>201.6</v>
      </c>
      <c r="E833" s="23">
        <v>111.5</v>
      </c>
      <c r="F833" s="23">
        <v>35.68</v>
      </c>
      <c r="G833" s="23">
        <v>481.1</v>
      </c>
      <c r="H833" s="40">
        <v>5.01</v>
      </c>
      <c r="I833" s="13">
        <f t="shared" si="12"/>
        <v>3.125</v>
      </c>
      <c r="J833" s="48"/>
    </row>
    <row r="834" spans="2:10">
      <c r="C834" s="40">
        <v>2.0129999999999999</v>
      </c>
      <c r="D834" s="34">
        <v>180</v>
      </c>
      <c r="E834" s="23">
        <v>111.8</v>
      </c>
      <c r="F834" s="23">
        <v>36.67</v>
      </c>
      <c r="G834" s="23">
        <v>472.6</v>
      </c>
      <c r="H834" s="40">
        <v>3.86</v>
      </c>
      <c r="I834" s="13">
        <f t="shared" si="12"/>
        <v>3.0488137442050722</v>
      </c>
      <c r="J834" s="48"/>
    </row>
    <row r="835" spans="2:10">
      <c r="C835" s="40">
        <v>1.948</v>
      </c>
      <c r="D835" s="34">
        <v>168</v>
      </c>
      <c r="E835" s="23">
        <v>112.1</v>
      </c>
      <c r="F835" s="23">
        <v>35.22</v>
      </c>
      <c r="G835" s="23">
        <v>473.1</v>
      </c>
      <c r="H835" s="40">
        <v>3.26</v>
      </c>
      <c r="I835" s="13">
        <f t="shared" ref="I835:I898" si="13">E835/F835</f>
        <v>3.1828506530380465</v>
      </c>
      <c r="J835" s="48"/>
    </row>
    <row r="836" spans="2:10">
      <c r="C836" s="40">
        <v>1.944</v>
      </c>
      <c r="D836" s="34">
        <v>155.5</v>
      </c>
      <c r="E836" s="23">
        <v>111.8</v>
      </c>
      <c r="F836" s="23">
        <v>34.92</v>
      </c>
      <c r="G836" s="23">
        <v>477.1</v>
      </c>
      <c r="H836" s="40">
        <v>4.42</v>
      </c>
      <c r="I836" s="13">
        <f t="shared" si="13"/>
        <v>3.201603665521191</v>
      </c>
      <c r="J836" s="48"/>
    </row>
    <row r="837" spans="2:10">
      <c r="C837" s="40">
        <v>2</v>
      </c>
      <c r="D837" s="34">
        <v>170.6</v>
      </c>
      <c r="E837" s="23">
        <v>110.9</v>
      </c>
      <c r="F837" s="23">
        <v>35.08</v>
      </c>
      <c r="G837" s="23">
        <v>471.9</v>
      </c>
      <c r="H837" s="40">
        <v>5.47</v>
      </c>
      <c r="I837" s="13">
        <f t="shared" si="13"/>
        <v>3.1613454960091225</v>
      </c>
      <c r="J837" s="48"/>
    </row>
    <row r="838" spans="2:10">
      <c r="C838" s="40">
        <v>2.0129999999999999</v>
      </c>
      <c r="D838" s="34">
        <v>162.69999999999999</v>
      </c>
      <c r="E838" s="23">
        <v>111.8</v>
      </c>
      <c r="F838" s="23">
        <v>35.94</v>
      </c>
      <c r="G838" s="23">
        <v>480.2</v>
      </c>
      <c r="H838" s="40">
        <v>5.92</v>
      </c>
      <c r="I838" s="13">
        <f t="shared" si="13"/>
        <v>3.1107401224262663</v>
      </c>
      <c r="J838" s="48"/>
    </row>
    <row r="839" spans="2:10">
      <c r="C839" s="40">
        <v>2.0430000000000001</v>
      </c>
      <c r="D839" s="34">
        <v>159.80000000000001</v>
      </c>
      <c r="E839" s="23">
        <v>111.3</v>
      </c>
      <c r="F839" s="23">
        <v>36.200000000000003</v>
      </c>
      <c r="G839" s="23">
        <v>486.6</v>
      </c>
      <c r="H839" s="40">
        <v>4.3</v>
      </c>
      <c r="I839" s="13">
        <f t="shared" si="13"/>
        <v>3.0745856353591159</v>
      </c>
      <c r="J839" s="48"/>
    </row>
    <row r="840" spans="2:10">
      <c r="C840" s="40">
        <v>2.0739999999999998</v>
      </c>
      <c r="D840" s="34">
        <v>149.6</v>
      </c>
      <c r="E840" s="23">
        <v>111.5</v>
      </c>
      <c r="F840" s="23">
        <v>35.450000000000003</v>
      </c>
      <c r="G840" s="23">
        <v>479.6</v>
      </c>
      <c r="H840" s="40">
        <v>4.62</v>
      </c>
      <c r="I840" s="13">
        <f t="shared" si="13"/>
        <v>3.1452750352609304</v>
      </c>
      <c r="J840" s="48"/>
    </row>
    <row r="841" spans="2:10">
      <c r="C841" s="40">
        <v>2.0790000000000002</v>
      </c>
      <c r="D841" s="34">
        <v>147.30000000000001</v>
      </c>
      <c r="E841" s="23">
        <v>111.4</v>
      </c>
      <c r="F841" s="23">
        <v>35.39</v>
      </c>
      <c r="G841" s="23">
        <v>470.7</v>
      </c>
      <c r="H841" s="40">
        <v>4.28</v>
      </c>
      <c r="I841" s="13">
        <f t="shared" si="13"/>
        <v>3.1477818592822833</v>
      </c>
      <c r="J841" s="48"/>
    </row>
    <row r="842" spans="2:10">
      <c r="B842" s="47">
        <v>43</v>
      </c>
      <c r="C842" s="39">
        <v>2.1179999999999999</v>
      </c>
      <c r="D842" s="37">
        <v>113.3</v>
      </c>
      <c r="E842" s="38">
        <v>92.25</v>
      </c>
      <c r="F842" s="38">
        <v>25.18</v>
      </c>
      <c r="G842" s="38">
        <v>523.70000000000005</v>
      </c>
      <c r="H842" s="39">
        <v>3.5430000000000001</v>
      </c>
      <c r="I842" s="13">
        <f t="shared" si="13"/>
        <v>3.6636219221604449</v>
      </c>
      <c r="J842" s="20"/>
    </row>
    <row r="843" spans="2:10">
      <c r="C843" s="40">
        <v>2.3860000000000001</v>
      </c>
      <c r="D843" s="34">
        <v>116.3</v>
      </c>
      <c r="E843" s="23">
        <v>91.98</v>
      </c>
      <c r="F843" s="23">
        <v>25.87</v>
      </c>
      <c r="G843" s="23">
        <v>524.29999999999995</v>
      </c>
      <c r="H843" s="40">
        <v>5.0030000000000001</v>
      </c>
      <c r="I843" s="13">
        <f t="shared" si="13"/>
        <v>3.5554696559721686</v>
      </c>
      <c r="J843" s="20"/>
    </row>
    <row r="844" spans="2:10">
      <c r="C844" s="40">
        <v>2.4649999999999999</v>
      </c>
      <c r="D844" s="34">
        <v>124.2</v>
      </c>
      <c r="E844" s="23">
        <v>90.2</v>
      </c>
      <c r="F844" s="23">
        <v>25.44</v>
      </c>
      <c r="G844" s="23">
        <v>523.29999999999995</v>
      </c>
      <c r="H844" s="40">
        <v>5.16</v>
      </c>
      <c r="I844" s="13">
        <f t="shared" si="13"/>
        <v>3.5455974842767293</v>
      </c>
      <c r="J844" s="20"/>
    </row>
    <row r="845" spans="2:10">
      <c r="C845" s="40">
        <v>2.0990000000000002</v>
      </c>
      <c r="D845" s="34">
        <v>132.4</v>
      </c>
      <c r="E845" s="23">
        <v>90.35</v>
      </c>
      <c r="F845" s="23">
        <v>23.1</v>
      </c>
      <c r="G845" s="34">
        <v>529.6</v>
      </c>
      <c r="H845" s="40">
        <v>3.32</v>
      </c>
      <c r="I845" s="13">
        <f t="shared" si="13"/>
        <v>3.9112554112554108</v>
      </c>
      <c r="J845" s="20"/>
    </row>
    <row r="846" spans="2:10">
      <c r="C846" s="40">
        <v>2.161</v>
      </c>
      <c r="D846" s="34">
        <v>128.30000000000001</v>
      </c>
      <c r="E846" s="23">
        <v>92.57</v>
      </c>
      <c r="F846" s="23">
        <v>23.53</v>
      </c>
      <c r="G846" s="34">
        <v>522.79999999999995</v>
      </c>
      <c r="H846" s="40">
        <v>3.4929999999999999</v>
      </c>
      <c r="I846" s="13">
        <f t="shared" si="13"/>
        <v>3.9341266468338287</v>
      </c>
      <c r="J846" s="20"/>
    </row>
    <row r="847" spans="2:10">
      <c r="C847" s="40">
        <v>2.5779999999999998</v>
      </c>
      <c r="D847" s="34">
        <v>141.19999999999999</v>
      </c>
      <c r="E847" s="23">
        <v>91.26</v>
      </c>
      <c r="F847" s="23">
        <v>24.34</v>
      </c>
      <c r="G847" s="34">
        <v>522.70000000000005</v>
      </c>
      <c r="H847" s="40">
        <v>3.2589999999999999</v>
      </c>
      <c r="I847" s="13">
        <f t="shared" si="13"/>
        <v>3.7493837304847988</v>
      </c>
      <c r="J847" s="20"/>
    </row>
    <row r="848" spans="2:10">
      <c r="C848" s="40">
        <v>2.3079999999999998</v>
      </c>
      <c r="D848" s="34">
        <v>172.9</v>
      </c>
      <c r="E848" s="23">
        <v>92.25</v>
      </c>
      <c r="F848" s="23">
        <v>24.67</v>
      </c>
      <c r="G848" s="23">
        <v>520.79999999999995</v>
      </c>
      <c r="H848" s="40">
        <v>3.093</v>
      </c>
      <c r="I848" s="13">
        <f t="shared" si="13"/>
        <v>3.7393595460072961</v>
      </c>
      <c r="J848" s="20"/>
    </row>
    <row r="849" spans="2:10">
      <c r="C849" s="40">
        <v>2.3530000000000002</v>
      </c>
      <c r="D849" s="34">
        <v>151.4</v>
      </c>
      <c r="E849" s="23">
        <v>90.57</v>
      </c>
      <c r="F849" s="23">
        <v>24.17</v>
      </c>
      <c r="G849" s="23">
        <v>524.6</v>
      </c>
      <c r="H849" s="40">
        <v>2.8519999999999999</v>
      </c>
      <c r="I849" s="13">
        <f t="shared" si="13"/>
        <v>3.7472072817542403</v>
      </c>
      <c r="J849" s="20"/>
    </row>
    <row r="850" spans="2:10">
      <c r="C850" s="40">
        <v>2.1779999999999999</v>
      </c>
      <c r="D850" s="34">
        <v>142</v>
      </c>
      <c r="E850" s="23">
        <v>90.35</v>
      </c>
      <c r="F850" s="23">
        <v>24.15</v>
      </c>
      <c r="G850" s="23">
        <v>532.70000000000005</v>
      </c>
      <c r="H850" s="40">
        <v>4.234</v>
      </c>
      <c r="I850" s="13">
        <f t="shared" si="13"/>
        <v>3.7412008281573499</v>
      </c>
      <c r="J850" s="20"/>
    </row>
    <row r="851" spans="2:10">
      <c r="C851" s="40">
        <v>2.1859999999999999</v>
      </c>
      <c r="D851" s="34">
        <v>181</v>
      </c>
      <c r="E851" s="23">
        <v>91.01</v>
      </c>
      <c r="F851" s="23">
        <v>24.39</v>
      </c>
      <c r="G851" s="23">
        <v>535.1</v>
      </c>
      <c r="H851" s="40">
        <v>5.0220000000000002</v>
      </c>
      <c r="I851" s="13">
        <f t="shared" si="13"/>
        <v>3.731447314473145</v>
      </c>
      <c r="J851" s="20"/>
    </row>
    <row r="852" spans="2:10">
      <c r="C852" s="40">
        <v>2.42</v>
      </c>
      <c r="D852" s="34">
        <v>133.9</v>
      </c>
      <c r="E852" s="23">
        <v>91.85</v>
      </c>
      <c r="F852" s="23">
        <v>24.64</v>
      </c>
      <c r="G852" s="23">
        <v>527.1</v>
      </c>
      <c r="H852" s="40">
        <v>4.3769999999999998</v>
      </c>
      <c r="I852" s="13">
        <f t="shared" si="13"/>
        <v>3.7276785714285712</v>
      </c>
      <c r="J852" s="20"/>
    </row>
    <row r="853" spans="2:10">
      <c r="C853" s="40">
        <v>2.4089999999999998</v>
      </c>
      <c r="D853" s="34">
        <v>140.9</v>
      </c>
      <c r="E853" s="23">
        <v>92.34</v>
      </c>
      <c r="F853" s="23">
        <v>24.17</v>
      </c>
      <c r="G853" s="23">
        <v>525.1</v>
      </c>
      <c r="H853" s="40">
        <v>5.4530000000000003</v>
      </c>
      <c r="I853" s="13">
        <f t="shared" si="13"/>
        <v>3.8204385601985931</v>
      </c>
      <c r="J853" s="20"/>
    </row>
    <row r="854" spans="2:10">
      <c r="C854" s="40">
        <v>2.3530000000000002</v>
      </c>
      <c r="D854" s="34">
        <v>149.6</v>
      </c>
      <c r="E854" s="23">
        <v>92.27</v>
      </c>
      <c r="F854" s="23">
        <v>24.15</v>
      </c>
      <c r="G854" s="23">
        <v>533</v>
      </c>
      <c r="H854" s="40">
        <v>5.16</v>
      </c>
      <c r="I854" s="13">
        <f t="shared" si="13"/>
        <v>3.8207039337474122</v>
      </c>
      <c r="J854" s="20"/>
    </row>
    <row r="855" spans="2:10">
      <c r="C855" s="40">
        <v>2.3860000000000001</v>
      </c>
      <c r="D855" s="34">
        <v>119</v>
      </c>
      <c r="E855" s="23">
        <v>92.16</v>
      </c>
      <c r="F855" s="23">
        <v>24.34</v>
      </c>
      <c r="G855" s="23">
        <v>543.4</v>
      </c>
      <c r="H855" s="40">
        <v>3.7749999999999999</v>
      </c>
      <c r="I855" s="13">
        <f t="shared" si="13"/>
        <v>3.7863599013968776</v>
      </c>
      <c r="J855" s="20"/>
    </row>
    <row r="856" spans="2:10">
      <c r="C856" s="40">
        <v>2.2109999999999999</v>
      </c>
      <c r="D856" s="34">
        <v>118.5</v>
      </c>
      <c r="E856" s="23">
        <v>92.25</v>
      </c>
      <c r="F856" s="23">
        <v>25.07</v>
      </c>
      <c r="G856" s="23">
        <v>542.79999999999995</v>
      </c>
      <c r="H856" s="40">
        <v>2.74</v>
      </c>
      <c r="I856" s="13">
        <f t="shared" si="13"/>
        <v>3.6796968488232946</v>
      </c>
      <c r="J856" s="20"/>
    </row>
    <row r="857" spans="2:10">
      <c r="C857" s="40">
        <v>2.1440000000000001</v>
      </c>
      <c r="D857" s="34">
        <v>110.5</v>
      </c>
      <c r="E857" s="23">
        <v>92.24</v>
      </c>
      <c r="F857" s="23">
        <v>23.73</v>
      </c>
      <c r="G857" s="23">
        <v>543.1</v>
      </c>
      <c r="H857" s="40">
        <v>2.9670000000000001</v>
      </c>
      <c r="I857" s="13">
        <f t="shared" si="13"/>
        <v>3.8870627897176568</v>
      </c>
      <c r="J857" s="20"/>
    </row>
    <row r="858" spans="2:10">
      <c r="C858" s="40">
        <v>2.2669999999999999</v>
      </c>
      <c r="D858" s="34">
        <v>125.2</v>
      </c>
      <c r="E858" s="23">
        <v>90.03</v>
      </c>
      <c r="F858" s="23">
        <v>25.56</v>
      </c>
      <c r="G858" s="23">
        <v>544.70000000000005</v>
      </c>
      <c r="H858" s="40">
        <v>3.3570000000000002</v>
      </c>
      <c r="I858" s="13">
        <f t="shared" si="13"/>
        <v>3.5223004694835685</v>
      </c>
      <c r="J858" s="20"/>
    </row>
    <row r="859" spans="2:10">
      <c r="C859" s="40">
        <v>2.5270000000000001</v>
      </c>
      <c r="D859" s="34">
        <v>124.2</v>
      </c>
      <c r="E859" s="23">
        <v>90.86</v>
      </c>
      <c r="F859" s="23">
        <v>24.95</v>
      </c>
      <c r="G859" s="23">
        <v>530.20000000000005</v>
      </c>
      <c r="H859" s="40">
        <v>3.093</v>
      </c>
      <c r="I859" s="13">
        <f t="shared" si="13"/>
        <v>3.6416833667334672</v>
      </c>
      <c r="J859" s="20"/>
    </row>
    <row r="860" spans="2:10">
      <c r="C860" s="40">
        <v>2.2170000000000001</v>
      </c>
      <c r="D860" s="34">
        <v>155.1</v>
      </c>
      <c r="E860" s="23">
        <v>90.95</v>
      </c>
      <c r="F860" s="23">
        <v>25.87</v>
      </c>
      <c r="G860" s="23">
        <v>525.5</v>
      </c>
      <c r="H860" s="40">
        <v>3.1480000000000001</v>
      </c>
      <c r="I860" s="13">
        <f t="shared" si="13"/>
        <v>3.5156551990722846</v>
      </c>
      <c r="J860" s="20"/>
    </row>
    <row r="861" spans="2:10">
      <c r="C861" s="40">
        <v>2.0150000000000001</v>
      </c>
      <c r="D861" s="34">
        <v>141.19999999999999</v>
      </c>
      <c r="E861" s="23">
        <v>92.21</v>
      </c>
      <c r="F861" s="23">
        <v>26.31</v>
      </c>
      <c r="G861" s="23">
        <v>530.5</v>
      </c>
      <c r="H861" s="40">
        <v>2.944</v>
      </c>
      <c r="I861" s="13">
        <f t="shared" si="13"/>
        <v>3.5047510452299506</v>
      </c>
      <c r="J861" s="20"/>
    </row>
    <row r="862" spans="2:10">
      <c r="B862" s="47">
        <v>44</v>
      </c>
      <c r="C862" s="39">
        <v>2.2069999999999999</v>
      </c>
      <c r="D862" s="37">
        <v>76.67</v>
      </c>
      <c r="E862" s="38">
        <v>97.37</v>
      </c>
      <c r="F862" s="38">
        <v>22.72</v>
      </c>
      <c r="G862" s="38">
        <v>499.1</v>
      </c>
      <c r="H862" s="39">
        <v>3.0840000000000001</v>
      </c>
      <c r="I862" s="13">
        <f t="shared" si="13"/>
        <v>4.2856514084507049</v>
      </c>
      <c r="J862" s="20"/>
    </row>
    <row r="863" spans="2:10">
      <c r="C863" s="40">
        <v>2.0249999999999999</v>
      </c>
      <c r="D863" s="34">
        <v>86.81</v>
      </c>
      <c r="E863" s="23">
        <v>96.9</v>
      </c>
      <c r="F863" s="23">
        <v>23.27</v>
      </c>
      <c r="G863" s="23">
        <v>497.8</v>
      </c>
      <c r="H863" s="40">
        <v>3.129</v>
      </c>
      <c r="I863" s="13">
        <f t="shared" si="13"/>
        <v>4.1641598624838849</v>
      </c>
      <c r="J863" s="20"/>
    </row>
    <row r="864" spans="2:10">
      <c r="C864" s="40">
        <v>1.79</v>
      </c>
      <c r="D864" s="34">
        <v>93.02</v>
      </c>
      <c r="E864" s="23">
        <v>96.91</v>
      </c>
      <c r="F864" s="23">
        <v>22.49</v>
      </c>
      <c r="G864" s="23">
        <v>497.1</v>
      </c>
      <c r="H864" s="40">
        <v>3.3679999999999999</v>
      </c>
      <c r="I864" s="13">
        <f t="shared" si="13"/>
        <v>4.3090262338817258</v>
      </c>
      <c r="J864" s="20"/>
    </row>
    <row r="865" spans="3:10">
      <c r="C865" s="40">
        <v>1.7829999999999999</v>
      </c>
      <c r="D865" s="34">
        <v>99.65</v>
      </c>
      <c r="E865" s="23">
        <v>95</v>
      </c>
      <c r="F865" s="23">
        <v>23.23</v>
      </c>
      <c r="G865" s="23">
        <v>497.6</v>
      </c>
      <c r="H865" s="40">
        <v>3.3130000000000002</v>
      </c>
      <c r="I865" s="13">
        <f t="shared" si="13"/>
        <v>4.089539388721481</v>
      </c>
      <c r="J865" s="20"/>
    </row>
    <row r="866" spans="3:10">
      <c r="C866" s="40">
        <v>1.95</v>
      </c>
      <c r="D866" s="34">
        <v>93.02</v>
      </c>
      <c r="E866" s="23">
        <v>95.95</v>
      </c>
      <c r="F866" s="23">
        <v>24.5</v>
      </c>
      <c r="G866" s="23">
        <v>495.6</v>
      </c>
      <c r="H866" s="40">
        <v>3.423</v>
      </c>
      <c r="I866" s="13">
        <f t="shared" si="13"/>
        <v>3.916326530612245</v>
      </c>
      <c r="J866" s="20"/>
    </row>
    <row r="867" spans="3:10">
      <c r="C867" s="40">
        <v>2.0270000000000001</v>
      </c>
      <c r="D867" s="34">
        <v>86.81</v>
      </c>
      <c r="E867" s="23">
        <v>96.8</v>
      </c>
      <c r="F867" s="23">
        <v>23.46</v>
      </c>
      <c r="G867" s="23">
        <v>498.3</v>
      </c>
      <c r="H867" s="40">
        <v>3.2170000000000001</v>
      </c>
      <c r="I867" s="13">
        <f t="shared" si="13"/>
        <v>4.1261722080136396</v>
      </c>
      <c r="J867" s="20"/>
    </row>
    <row r="868" spans="3:10">
      <c r="C868" s="40">
        <v>2.0089999999999999</v>
      </c>
      <c r="D868" s="34">
        <v>81.97</v>
      </c>
      <c r="E868" s="23">
        <v>96.66</v>
      </c>
      <c r="F868" s="23">
        <v>22.52</v>
      </c>
      <c r="G868" s="23">
        <v>499.6</v>
      </c>
      <c r="H868" s="40">
        <v>3.2269999999999999</v>
      </c>
      <c r="I868" s="13">
        <f t="shared" si="13"/>
        <v>4.2921847246891653</v>
      </c>
      <c r="J868" s="20"/>
    </row>
    <row r="869" spans="3:10">
      <c r="C869" s="40">
        <v>2.105</v>
      </c>
      <c r="D869" s="34">
        <v>76.239999999999995</v>
      </c>
      <c r="E869" s="23">
        <v>96.22</v>
      </c>
      <c r="F869" s="23">
        <v>22.56</v>
      </c>
      <c r="G869" s="23">
        <v>497.9</v>
      </c>
      <c r="H869" s="40">
        <v>3.1379999999999999</v>
      </c>
      <c r="I869" s="13">
        <f t="shared" si="13"/>
        <v>4.2650709219858154</v>
      </c>
      <c r="J869" s="20"/>
    </row>
    <row r="870" spans="3:10">
      <c r="C870" s="40">
        <v>2.1019999999999999</v>
      </c>
      <c r="D870" s="34">
        <v>82.73</v>
      </c>
      <c r="E870" s="23">
        <v>96.35</v>
      </c>
      <c r="F870" s="23">
        <v>23.59</v>
      </c>
      <c r="G870" s="23">
        <v>499</v>
      </c>
      <c r="H870" s="40">
        <v>3.0489999999999999</v>
      </c>
      <c r="I870" s="13">
        <f t="shared" si="13"/>
        <v>4.084357778719796</v>
      </c>
      <c r="J870" s="20"/>
    </row>
    <row r="871" spans="3:10">
      <c r="C871" s="40">
        <v>2.032</v>
      </c>
      <c r="D871" s="34">
        <v>77.040000000000006</v>
      </c>
      <c r="E871" s="23">
        <v>96.48</v>
      </c>
      <c r="F871" s="23">
        <v>22.46</v>
      </c>
      <c r="G871" s="23">
        <v>499.2</v>
      </c>
      <c r="H871" s="40">
        <v>3.0649999999999999</v>
      </c>
      <c r="I871" s="13">
        <f t="shared" si="13"/>
        <v>4.2956366874443459</v>
      </c>
      <c r="J871" s="20"/>
    </row>
    <row r="872" spans="3:10">
      <c r="C872" s="40">
        <v>1.9330000000000001</v>
      </c>
      <c r="D872" s="34">
        <v>76.680000000000007</v>
      </c>
      <c r="E872" s="23">
        <v>97.87</v>
      </c>
      <c r="F872" s="23">
        <v>23.81</v>
      </c>
      <c r="G872" s="23">
        <v>498.6</v>
      </c>
      <c r="H872" s="40">
        <v>3.0590000000000002</v>
      </c>
      <c r="I872" s="13">
        <f t="shared" si="13"/>
        <v>4.1104577908441833</v>
      </c>
      <c r="J872" s="20"/>
    </row>
    <row r="873" spans="3:10">
      <c r="C873" s="40">
        <v>1.857</v>
      </c>
      <c r="D873" s="34">
        <v>79.31</v>
      </c>
      <c r="E873" s="23">
        <v>96.48</v>
      </c>
      <c r="F873" s="23">
        <v>23.41</v>
      </c>
      <c r="G873" s="23">
        <v>498.7</v>
      </c>
      <c r="H873" s="40">
        <v>3.08</v>
      </c>
      <c r="I873" s="13">
        <f t="shared" si="13"/>
        <v>4.1213156770610855</v>
      </c>
      <c r="J873" s="20"/>
    </row>
    <row r="874" spans="3:10">
      <c r="C874" s="40">
        <v>1.87</v>
      </c>
      <c r="D874" s="34">
        <v>74.19</v>
      </c>
      <c r="E874" s="23">
        <v>96.91</v>
      </c>
      <c r="F874" s="23">
        <v>22.9</v>
      </c>
      <c r="G874" s="23">
        <v>497.1</v>
      </c>
      <c r="H874" s="40">
        <v>3.3919999999999999</v>
      </c>
      <c r="I874" s="13">
        <f t="shared" si="13"/>
        <v>4.2318777292576417</v>
      </c>
      <c r="J874" s="20"/>
    </row>
    <row r="875" spans="3:10">
      <c r="C875" s="40">
        <v>1.8440000000000001</v>
      </c>
      <c r="D875" s="34">
        <v>89.37</v>
      </c>
      <c r="E875" s="23">
        <v>97.04</v>
      </c>
      <c r="F875" s="23">
        <v>23.28</v>
      </c>
      <c r="G875" s="23">
        <v>497.5</v>
      </c>
      <c r="H875" s="40">
        <v>3.548</v>
      </c>
      <c r="I875" s="13">
        <f t="shared" si="13"/>
        <v>4.1683848797250862</v>
      </c>
      <c r="J875" s="20"/>
    </row>
    <row r="876" spans="3:10">
      <c r="C876" s="40">
        <v>2.1309999999999998</v>
      </c>
      <c r="D876" s="34">
        <v>111</v>
      </c>
      <c r="E876" s="23">
        <v>96.89</v>
      </c>
      <c r="F876" s="23">
        <v>23.82</v>
      </c>
      <c r="G876" s="23">
        <v>497.6</v>
      </c>
      <c r="H876" s="40">
        <v>3.121</v>
      </c>
      <c r="I876" s="13">
        <f t="shared" si="13"/>
        <v>4.0675902602854741</v>
      </c>
      <c r="J876" s="20"/>
    </row>
    <row r="877" spans="3:10">
      <c r="C877" s="40">
        <v>2.17</v>
      </c>
      <c r="D877" s="34">
        <v>106.5</v>
      </c>
      <c r="E877" s="23">
        <v>96.46</v>
      </c>
      <c r="F877" s="23">
        <v>23.67</v>
      </c>
      <c r="G877" s="23">
        <v>499.2</v>
      </c>
      <c r="H877" s="40">
        <v>3.48</v>
      </c>
      <c r="I877" s="13">
        <f t="shared" si="13"/>
        <v>4.0752006759611321</v>
      </c>
      <c r="J877" s="20"/>
    </row>
    <row r="878" spans="3:10">
      <c r="C878" s="40">
        <v>2.1419999999999999</v>
      </c>
      <c r="D878" s="34">
        <v>103.6</v>
      </c>
      <c r="E878" s="23">
        <v>96.6</v>
      </c>
      <c r="F878" s="23">
        <v>23.55</v>
      </c>
      <c r="G878" s="23">
        <v>494.9</v>
      </c>
      <c r="H878" s="40">
        <v>3.3490000000000002</v>
      </c>
      <c r="I878" s="13">
        <f t="shared" si="13"/>
        <v>4.1019108280254777</v>
      </c>
      <c r="J878" s="20"/>
    </row>
    <row r="879" spans="3:10">
      <c r="C879" s="40">
        <v>2.036</v>
      </c>
      <c r="D879" s="34">
        <v>103.2</v>
      </c>
      <c r="E879" s="23">
        <v>97.15</v>
      </c>
      <c r="F879" s="23">
        <v>23.43</v>
      </c>
      <c r="G879" s="23">
        <v>496.3</v>
      </c>
      <c r="H879" s="40">
        <v>3.3540000000000001</v>
      </c>
      <c r="I879" s="13">
        <f t="shared" si="13"/>
        <v>4.1463935125906959</v>
      </c>
      <c r="J879" s="20"/>
    </row>
    <row r="880" spans="3:10">
      <c r="C880" s="40">
        <v>2.1240000000000001</v>
      </c>
      <c r="D880" s="34">
        <v>101.8</v>
      </c>
      <c r="E880" s="23">
        <v>96.85</v>
      </c>
      <c r="F880" s="23">
        <v>23.32</v>
      </c>
      <c r="G880" s="23">
        <v>494.9</v>
      </c>
      <c r="H880" s="40">
        <v>3.3010000000000002</v>
      </c>
      <c r="I880" s="13">
        <f t="shared" si="13"/>
        <v>4.1530874785591765</v>
      </c>
      <c r="J880" s="20"/>
    </row>
    <row r="881" spans="2:10">
      <c r="C881" s="40">
        <v>2.2639999999999998</v>
      </c>
      <c r="D881" s="34">
        <v>99.45</v>
      </c>
      <c r="E881" s="23">
        <v>96.99</v>
      </c>
      <c r="F881" s="23">
        <v>24.01</v>
      </c>
      <c r="G881" s="23">
        <v>497.2</v>
      </c>
      <c r="H881" s="40">
        <v>3.173</v>
      </c>
      <c r="I881" s="13">
        <f t="shared" si="13"/>
        <v>4.0395668471470216</v>
      </c>
      <c r="J881" s="20"/>
    </row>
    <row r="882" spans="2:10">
      <c r="B882" s="47">
        <v>45</v>
      </c>
      <c r="C882" s="39">
        <v>1.8080000000000001</v>
      </c>
      <c r="D882" s="37">
        <v>123.7</v>
      </c>
      <c r="E882" s="38">
        <v>88.99</v>
      </c>
      <c r="F882" s="38">
        <v>38.96</v>
      </c>
      <c r="G882" s="38">
        <v>522.6</v>
      </c>
      <c r="H882" s="39">
        <v>4.6120000000000001</v>
      </c>
      <c r="I882" s="13">
        <f t="shared" si="13"/>
        <v>2.2841375770020531</v>
      </c>
      <c r="J882" s="20"/>
    </row>
    <row r="883" spans="2:10">
      <c r="C883" s="40">
        <v>1.669</v>
      </c>
      <c r="D883" s="34">
        <v>112.1</v>
      </c>
      <c r="E883" s="23">
        <v>88.61</v>
      </c>
      <c r="F883" s="23">
        <v>39.03</v>
      </c>
      <c r="G883" s="23">
        <v>519.1</v>
      </c>
      <c r="H883" s="40">
        <v>4.2240000000000002</v>
      </c>
      <c r="I883" s="13">
        <f t="shared" si="13"/>
        <v>2.2703048936715344</v>
      </c>
      <c r="J883" s="20"/>
    </row>
    <row r="884" spans="2:10">
      <c r="C884" s="40">
        <v>1.5840000000000001</v>
      </c>
      <c r="D884" s="34">
        <v>130.80000000000001</v>
      </c>
      <c r="E884" s="23">
        <v>89.85</v>
      </c>
      <c r="F884" s="23">
        <v>39.1</v>
      </c>
      <c r="G884" s="23">
        <v>516.1</v>
      </c>
      <c r="H884" s="40">
        <v>4.5069999999999997</v>
      </c>
      <c r="I884" s="13">
        <f t="shared" si="13"/>
        <v>2.2979539641943734</v>
      </c>
      <c r="J884" s="20"/>
    </row>
    <row r="885" spans="2:10">
      <c r="C885" s="40">
        <v>1.7290000000000001</v>
      </c>
      <c r="D885" s="34">
        <v>109.2</v>
      </c>
      <c r="E885" s="23">
        <v>89.54</v>
      </c>
      <c r="F885" s="23">
        <v>39.31</v>
      </c>
      <c r="G885" s="23">
        <v>518</v>
      </c>
      <c r="H885" s="40">
        <v>4.2699999999999996</v>
      </c>
      <c r="I885" s="13">
        <f t="shared" si="13"/>
        <v>2.2777919104553548</v>
      </c>
      <c r="J885" s="20"/>
    </row>
    <row r="886" spans="2:10">
      <c r="C886" s="40">
        <v>1.64</v>
      </c>
      <c r="D886" s="34">
        <v>110.8</v>
      </c>
      <c r="E886" s="23">
        <v>90.6</v>
      </c>
      <c r="F886" s="23">
        <v>39.659999999999997</v>
      </c>
      <c r="G886" s="23">
        <v>520.6</v>
      </c>
      <c r="H886" s="40">
        <v>3.883</v>
      </c>
      <c r="I886" s="13">
        <f t="shared" si="13"/>
        <v>2.2844175491679275</v>
      </c>
      <c r="J886" s="20"/>
    </row>
    <row r="887" spans="2:10">
      <c r="C887" s="40">
        <v>1.639</v>
      </c>
      <c r="D887" s="34">
        <v>109.2</v>
      </c>
      <c r="E887" s="23">
        <v>88.75</v>
      </c>
      <c r="F887" s="23">
        <v>40.119999999999997</v>
      </c>
      <c r="G887" s="23">
        <v>519.1</v>
      </c>
      <c r="H887" s="40">
        <v>3.77</v>
      </c>
      <c r="I887" s="13">
        <f t="shared" si="13"/>
        <v>2.2121136590229313</v>
      </c>
      <c r="J887" s="20"/>
    </row>
    <row r="888" spans="2:10">
      <c r="C888" s="40">
        <v>1.788</v>
      </c>
      <c r="D888" s="34">
        <v>105.2</v>
      </c>
      <c r="E888" s="23">
        <v>90.58</v>
      </c>
      <c r="F888" s="23">
        <v>40.07</v>
      </c>
      <c r="G888" s="23">
        <v>521.29999999999995</v>
      </c>
      <c r="H888" s="40">
        <v>4.0880000000000001</v>
      </c>
      <c r="I888" s="13">
        <f t="shared" si="13"/>
        <v>2.2605440479161465</v>
      </c>
      <c r="J888" s="20"/>
    </row>
    <row r="889" spans="2:10">
      <c r="C889" s="40">
        <v>1.7290000000000001</v>
      </c>
      <c r="D889" s="34">
        <v>107.6</v>
      </c>
      <c r="E889" s="23">
        <v>90.35</v>
      </c>
      <c r="F889" s="23">
        <v>39.72</v>
      </c>
      <c r="G889" s="23">
        <v>518.79999999999995</v>
      </c>
      <c r="H889" s="40">
        <v>4.117</v>
      </c>
      <c r="I889" s="13">
        <f t="shared" si="13"/>
        <v>2.274672708962739</v>
      </c>
      <c r="J889" s="20"/>
    </row>
    <row r="890" spans="2:10">
      <c r="C890" s="40">
        <v>1.6080000000000001</v>
      </c>
      <c r="D890" s="34">
        <v>112.6</v>
      </c>
      <c r="E890" s="23">
        <v>91.13</v>
      </c>
      <c r="F890" s="23">
        <v>39.619999999999997</v>
      </c>
      <c r="G890" s="23">
        <v>520.6</v>
      </c>
      <c r="H890" s="40">
        <v>4.6890000000000001</v>
      </c>
      <c r="I890" s="13">
        <f t="shared" si="13"/>
        <v>2.30010095911156</v>
      </c>
      <c r="J890" s="20"/>
    </row>
    <row r="891" spans="2:10">
      <c r="C891" s="40">
        <v>1.704</v>
      </c>
      <c r="D891" s="34">
        <v>108.3</v>
      </c>
      <c r="E891" s="23">
        <v>89.74</v>
      </c>
      <c r="F891" s="23">
        <v>39.270000000000003</v>
      </c>
      <c r="G891" s="23">
        <v>518.79999999999995</v>
      </c>
      <c r="H891" s="40">
        <v>3.7970000000000002</v>
      </c>
      <c r="I891" s="13">
        <f t="shared" si="13"/>
        <v>2.2852049910873435</v>
      </c>
      <c r="J891" s="20"/>
    </row>
    <row r="892" spans="2:10">
      <c r="C892" s="40">
        <v>1.8080000000000001</v>
      </c>
      <c r="D892" s="34">
        <v>119.2</v>
      </c>
      <c r="E892" s="23">
        <v>89.92</v>
      </c>
      <c r="F892" s="23">
        <v>39.65</v>
      </c>
      <c r="G892" s="23">
        <v>518.6</v>
      </c>
      <c r="H892" s="40">
        <v>3.5379999999999998</v>
      </c>
      <c r="I892" s="13">
        <f t="shared" si="13"/>
        <v>2.2678436317780579</v>
      </c>
      <c r="J892" s="20"/>
    </row>
    <row r="893" spans="2:10">
      <c r="C893" s="40">
        <v>1.78</v>
      </c>
      <c r="D893" s="34">
        <v>112.1</v>
      </c>
      <c r="E893" s="23">
        <v>90.57</v>
      </c>
      <c r="F893" s="23">
        <v>39.67</v>
      </c>
      <c r="G893" s="23">
        <v>519.1</v>
      </c>
      <c r="H893" s="40">
        <v>3.8330000000000002</v>
      </c>
      <c r="I893" s="13">
        <f t="shared" si="13"/>
        <v>2.2830854550037811</v>
      </c>
      <c r="J893" s="20"/>
    </row>
    <row r="894" spans="2:10">
      <c r="C894" s="40">
        <v>1.6040000000000001</v>
      </c>
      <c r="D894" s="34">
        <v>123.7</v>
      </c>
      <c r="E894" s="23">
        <v>90.53</v>
      </c>
      <c r="F894" s="23">
        <v>38.369999999999997</v>
      </c>
      <c r="G894" s="23">
        <v>523</v>
      </c>
      <c r="H894" s="40">
        <v>4.218</v>
      </c>
      <c r="I894" s="13">
        <f t="shared" si="13"/>
        <v>2.3593953609590828</v>
      </c>
      <c r="J894" s="20"/>
    </row>
    <row r="895" spans="2:10">
      <c r="C895" s="40">
        <v>1.8089999999999999</v>
      </c>
      <c r="D895" s="34">
        <v>112.9</v>
      </c>
      <c r="E895" s="23">
        <v>90.06</v>
      </c>
      <c r="F895" s="23">
        <v>39.369999999999997</v>
      </c>
      <c r="G895" s="23">
        <v>524.5</v>
      </c>
      <c r="H895" s="40">
        <v>4.2699999999999996</v>
      </c>
      <c r="I895" s="13">
        <f t="shared" si="13"/>
        <v>2.2875285750571503</v>
      </c>
      <c r="J895" s="20"/>
    </row>
    <row r="896" spans="2:10">
      <c r="C896" s="40">
        <v>1.903</v>
      </c>
      <c r="D896" s="34">
        <v>132.9</v>
      </c>
      <c r="E896" s="23">
        <v>89.17</v>
      </c>
      <c r="F896" s="23">
        <v>39.57</v>
      </c>
      <c r="G896" s="23">
        <v>524.29999999999995</v>
      </c>
      <c r="H896" s="40">
        <v>4.1100000000000003</v>
      </c>
      <c r="I896" s="13">
        <f t="shared" si="13"/>
        <v>2.2534748546878949</v>
      </c>
      <c r="J896" s="20"/>
    </row>
    <row r="897" spans="2:10">
      <c r="C897" s="40">
        <v>2.0760000000000001</v>
      </c>
      <c r="D897" s="34">
        <v>109.9</v>
      </c>
      <c r="E897" s="23">
        <v>88.71</v>
      </c>
      <c r="F897" s="23">
        <v>40.01</v>
      </c>
      <c r="G897" s="23">
        <v>516.29999999999995</v>
      </c>
      <c r="H897" s="40">
        <v>3.9180000000000001</v>
      </c>
      <c r="I897" s="13">
        <f t="shared" si="13"/>
        <v>2.2171957010747314</v>
      </c>
      <c r="J897" s="20"/>
    </row>
    <row r="898" spans="2:10">
      <c r="C898" s="40">
        <v>1.996</v>
      </c>
      <c r="D898" s="34">
        <v>109.2</v>
      </c>
      <c r="E898" s="23">
        <v>88.81</v>
      </c>
      <c r="F898" s="23">
        <v>40.909999999999997</v>
      </c>
      <c r="G898" s="23">
        <v>515.5</v>
      </c>
      <c r="H898" s="40">
        <v>3.6829999999999998</v>
      </c>
      <c r="I898" s="13">
        <f t="shared" si="13"/>
        <v>2.1708628697140067</v>
      </c>
      <c r="J898" s="20"/>
    </row>
    <row r="899" spans="2:10">
      <c r="C899" s="40">
        <v>1.905</v>
      </c>
      <c r="D899" s="34">
        <v>110.8</v>
      </c>
      <c r="E899" s="23">
        <v>89.09</v>
      </c>
      <c r="F899" s="23">
        <v>40.98</v>
      </c>
      <c r="G899" s="23">
        <v>517</v>
      </c>
      <c r="H899" s="40">
        <v>3.7679999999999998</v>
      </c>
      <c r="I899" s="13">
        <f t="shared" ref="I899:I962" si="14">E899/F899</f>
        <v>2.1739873108833581</v>
      </c>
      <c r="J899" s="20"/>
    </row>
    <row r="900" spans="2:10">
      <c r="C900" s="40">
        <v>1.796</v>
      </c>
      <c r="D900" s="34">
        <v>104.4</v>
      </c>
      <c r="E900" s="23">
        <v>89.68</v>
      </c>
      <c r="F900" s="23">
        <v>39.78</v>
      </c>
      <c r="G900" s="23">
        <v>516.1</v>
      </c>
      <c r="H900" s="40">
        <v>3.863</v>
      </c>
      <c r="I900" s="13">
        <f t="shared" si="14"/>
        <v>2.2543991955756661</v>
      </c>
      <c r="J900" s="20"/>
    </row>
    <row r="901" spans="2:10">
      <c r="C901" s="40">
        <v>1.8089999999999999</v>
      </c>
      <c r="D901" s="34">
        <v>105.2</v>
      </c>
      <c r="E901" s="23">
        <v>89.97</v>
      </c>
      <c r="F901" s="23">
        <v>39.950000000000003</v>
      </c>
      <c r="G901" s="23">
        <v>518.6</v>
      </c>
      <c r="H901" s="40">
        <v>3.7829999999999999</v>
      </c>
      <c r="I901" s="13">
        <f t="shared" si="14"/>
        <v>2.2520650813516894</v>
      </c>
      <c r="J901" s="20"/>
    </row>
    <row r="902" spans="2:10">
      <c r="B902" s="47">
        <v>46</v>
      </c>
      <c r="C902" s="39">
        <v>2.5</v>
      </c>
      <c r="D902" s="37">
        <v>96.61</v>
      </c>
      <c r="E902" s="38">
        <v>97.73</v>
      </c>
      <c r="F902" s="38">
        <v>35.86</v>
      </c>
      <c r="G902" s="38">
        <v>466.6</v>
      </c>
      <c r="H902" s="39">
        <v>4.18</v>
      </c>
      <c r="I902" s="13">
        <f t="shared" si="14"/>
        <v>2.7253206915783603</v>
      </c>
      <c r="J902" s="20"/>
    </row>
    <row r="903" spans="2:10">
      <c r="C903" s="40">
        <v>2.4209999999999998</v>
      </c>
      <c r="D903" s="34">
        <v>81.99</v>
      </c>
      <c r="E903" s="23">
        <v>97.62</v>
      </c>
      <c r="F903" s="23">
        <v>35.69</v>
      </c>
      <c r="G903" s="23">
        <v>465.4</v>
      </c>
      <c r="H903" s="40">
        <v>4.3739999999999997</v>
      </c>
      <c r="I903" s="13">
        <f t="shared" si="14"/>
        <v>2.735219949565705</v>
      </c>
      <c r="J903" s="20"/>
    </row>
    <row r="904" spans="2:10">
      <c r="C904" s="40">
        <v>2.4350000000000001</v>
      </c>
      <c r="D904" s="34">
        <v>77.319999999999993</v>
      </c>
      <c r="E904" s="23">
        <v>97.92</v>
      </c>
      <c r="F904" s="23">
        <v>35.770000000000003</v>
      </c>
      <c r="G904" s="23">
        <v>464.2</v>
      </c>
      <c r="H904" s="40">
        <v>4.5999999999999996</v>
      </c>
      <c r="I904" s="13">
        <f t="shared" si="14"/>
        <v>2.7374895163544868</v>
      </c>
      <c r="J904" s="20"/>
    </row>
    <row r="905" spans="2:10">
      <c r="C905" s="40">
        <v>2.3929999999999998</v>
      </c>
      <c r="D905" s="34">
        <v>72.66</v>
      </c>
      <c r="E905" s="23">
        <v>97.52</v>
      </c>
      <c r="F905" s="23">
        <v>36.799999999999997</v>
      </c>
      <c r="G905" s="23">
        <v>467.7</v>
      </c>
      <c r="H905" s="40">
        <v>4.5599999999999996</v>
      </c>
      <c r="I905" s="13">
        <f t="shared" si="14"/>
        <v>2.65</v>
      </c>
      <c r="J905" s="20"/>
    </row>
    <row r="906" spans="2:10">
      <c r="C906" s="40">
        <v>2.403</v>
      </c>
      <c r="D906" s="34">
        <v>77.459999999999994</v>
      </c>
      <c r="E906" s="23">
        <v>97.55</v>
      </c>
      <c r="F906" s="23">
        <v>36.86</v>
      </c>
      <c r="G906" s="23">
        <v>469.5</v>
      </c>
      <c r="H906" s="40">
        <v>4.6280000000000001</v>
      </c>
      <c r="I906" s="13">
        <f t="shared" si="14"/>
        <v>2.6465002712967989</v>
      </c>
      <c r="J906" s="20"/>
    </row>
    <row r="907" spans="2:10">
      <c r="C907" s="40">
        <v>2.3740000000000001</v>
      </c>
      <c r="D907" s="34">
        <v>92.74</v>
      </c>
      <c r="E907" s="23">
        <v>97.21</v>
      </c>
      <c r="F907" s="23">
        <v>36.619999999999997</v>
      </c>
      <c r="G907" s="23">
        <v>478.4</v>
      </c>
      <c r="H907" s="40">
        <v>3.5590000000000002</v>
      </c>
      <c r="I907" s="13">
        <f t="shared" si="14"/>
        <v>2.6545603495357728</v>
      </c>
      <c r="J907" s="20"/>
    </row>
    <row r="908" spans="2:10">
      <c r="C908" s="40">
        <v>2.3479999999999999</v>
      </c>
      <c r="D908" s="34">
        <v>103.9</v>
      </c>
      <c r="E908" s="23">
        <v>97.44</v>
      </c>
      <c r="F908" s="23">
        <v>36.159999999999997</v>
      </c>
      <c r="G908" s="23">
        <v>470.8</v>
      </c>
      <c r="H908" s="40">
        <v>3.8319999999999999</v>
      </c>
      <c r="I908" s="13">
        <f t="shared" si="14"/>
        <v>2.694690265486726</v>
      </c>
      <c r="J908" s="20"/>
    </row>
    <row r="909" spans="2:10">
      <c r="C909" s="40">
        <v>2.5830000000000002</v>
      </c>
      <c r="D909" s="34">
        <v>107</v>
      </c>
      <c r="E909" s="23">
        <v>97.14</v>
      </c>
      <c r="F909" s="23">
        <v>36.04</v>
      </c>
      <c r="G909" s="23">
        <v>473</v>
      </c>
      <c r="H909" s="40">
        <v>4.3369999999999997</v>
      </c>
      <c r="I909" s="13">
        <f t="shared" si="14"/>
        <v>2.695338512763596</v>
      </c>
      <c r="J909" s="20"/>
    </row>
    <row r="910" spans="2:10">
      <c r="C910" s="40">
        <v>2.5</v>
      </c>
      <c r="D910" s="34">
        <v>96.61</v>
      </c>
      <c r="E910" s="23">
        <v>97.21</v>
      </c>
      <c r="F910" s="23">
        <v>36.83</v>
      </c>
      <c r="G910" s="23">
        <v>476.1</v>
      </c>
      <c r="H910" s="40">
        <v>3.9460000000000002</v>
      </c>
      <c r="I910" s="13">
        <f t="shared" si="14"/>
        <v>2.6394243822970402</v>
      </c>
      <c r="J910" s="20"/>
    </row>
    <row r="911" spans="2:10">
      <c r="C911" s="40">
        <v>2.6480000000000001</v>
      </c>
      <c r="D911" s="34">
        <v>87.85</v>
      </c>
      <c r="E911" s="23">
        <v>97.28</v>
      </c>
      <c r="F911" s="23">
        <v>36.020000000000003</v>
      </c>
      <c r="G911" s="23">
        <v>473.5</v>
      </c>
      <c r="H911" s="40">
        <v>3.8319999999999999</v>
      </c>
      <c r="I911" s="13">
        <f t="shared" si="14"/>
        <v>2.7007218212104385</v>
      </c>
      <c r="J911" s="20"/>
    </row>
    <row r="912" spans="2:10">
      <c r="C912" s="40">
        <v>2.5430000000000001</v>
      </c>
      <c r="D912" s="34">
        <v>92.89</v>
      </c>
      <c r="E912" s="23">
        <v>97.18</v>
      </c>
      <c r="F912" s="23">
        <v>35.9</v>
      </c>
      <c r="G912" s="23">
        <v>468.6</v>
      </c>
      <c r="H912" s="40">
        <v>3.9009999999999998</v>
      </c>
      <c r="I912" s="13">
        <f t="shared" si="14"/>
        <v>2.7069637883008362</v>
      </c>
      <c r="J912" s="20"/>
    </row>
    <row r="913" spans="2:10">
      <c r="C913" s="40">
        <v>2.706</v>
      </c>
      <c r="D913" s="34">
        <v>89.52</v>
      </c>
      <c r="E913" s="23">
        <v>97.4</v>
      </c>
      <c r="F913" s="23">
        <v>36.14</v>
      </c>
      <c r="G913" s="23">
        <v>467.1</v>
      </c>
      <c r="H913" s="40">
        <v>4.3369999999999997</v>
      </c>
      <c r="I913" s="13">
        <f t="shared" si="14"/>
        <v>2.6950747094631988</v>
      </c>
      <c r="J913" s="20"/>
    </row>
    <row r="914" spans="2:10">
      <c r="C914" s="40">
        <v>2.742</v>
      </c>
      <c r="D914" s="34">
        <v>85.76</v>
      </c>
      <c r="E914" s="23">
        <v>97.37</v>
      </c>
      <c r="F914" s="23">
        <v>35.15</v>
      </c>
      <c r="G914" s="23">
        <v>468.8</v>
      </c>
      <c r="H914" s="40">
        <v>4.1029999999999998</v>
      </c>
      <c r="I914" s="13">
        <f t="shared" si="14"/>
        <v>2.7701280227596019</v>
      </c>
      <c r="J914" s="20"/>
    </row>
    <row r="915" spans="2:10">
      <c r="C915" s="40">
        <v>2.76</v>
      </c>
      <c r="D915" s="34">
        <v>86.22</v>
      </c>
      <c r="E915" s="23">
        <v>97.51</v>
      </c>
      <c r="F915" s="23">
        <v>35.369999999999997</v>
      </c>
      <c r="G915" s="23">
        <v>467.5</v>
      </c>
      <c r="H915" s="40">
        <v>3.278</v>
      </c>
      <c r="I915" s="13">
        <f t="shared" si="14"/>
        <v>2.7568560927339556</v>
      </c>
      <c r="J915" s="20"/>
    </row>
    <row r="916" spans="2:10">
      <c r="C916" s="40">
        <v>2.7749999999999999</v>
      </c>
      <c r="D916" s="34">
        <v>82.66</v>
      </c>
      <c r="E916" s="23">
        <v>98.02</v>
      </c>
      <c r="F916" s="23">
        <v>35.520000000000003</v>
      </c>
      <c r="G916" s="23">
        <v>469.33</v>
      </c>
      <c r="H916" s="40">
        <v>3.8410000000000002</v>
      </c>
      <c r="I916" s="13">
        <f t="shared" si="14"/>
        <v>2.7595720720720718</v>
      </c>
      <c r="J916" s="20"/>
    </row>
    <row r="917" spans="2:10">
      <c r="C917" s="40">
        <v>2.7690000000000001</v>
      </c>
      <c r="D917" s="34">
        <v>76.709999999999994</v>
      </c>
      <c r="E917" s="23">
        <v>97.78</v>
      </c>
      <c r="F917" s="23">
        <v>35.67</v>
      </c>
      <c r="G917" s="23">
        <v>471.6</v>
      </c>
      <c r="H917" s="40">
        <v>4.1029999999999998</v>
      </c>
      <c r="I917" s="13">
        <f t="shared" si="14"/>
        <v>2.7412391365292961</v>
      </c>
      <c r="J917" s="20"/>
    </row>
    <row r="918" spans="2:10">
      <c r="C918" s="40">
        <v>2.7410000000000001</v>
      </c>
      <c r="D918" s="34">
        <v>77.319999999999993</v>
      </c>
      <c r="E918" s="23">
        <v>97.28</v>
      </c>
      <c r="F918" s="23">
        <v>35.229999999999997</v>
      </c>
      <c r="G918" s="23">
        <v>465.9</v>
      </c>
      <c r="H918" s="40">
        <v>4.1449999999999996</v>
      </c>
      <c r="I918" s="13">
        <f t="shared" si="14"/>
        <v>2.7612829974453592</v>
      </c>
      <c r="J918" s="20"/>
    </row>
    <row r="919" spans="2:10">
      <c r="C919" s="40">
        <v>2.702</v>
      </c>
      <c r="D919" s="34">
        <v>86.82</v>
      </c>
      <c r="E919" s="23">
        <v>97.14</v>
      </c>
      <c r="F919" s="23">
        <v>35.299999999999997</v>
      </c>
      <c r="G919" s="23">
        <v>462.6</v>
      </c>
      <c r="H919" s="40">
        <v>4.0650000000000004</v>
      </c>
      <c r="I919" s="13">
        <f t="shared" si="14"/>
        <v>2.7518413597733713</v>
      </c>
      <c r="J919" s="20"/>
    </row>
    <row r="920" spans="2:10">
      <c r="C920" s="40">
        <v>2.6840000000000002</v>
      </c>
      <c r="D920" s="34">
        <v>103</v>
      </c>
      <c r="E920" s="23">
        <v>96.93</v>
      </c>
      <c r="F920" s="23">
        <v>35.450000000000003</v>
      </c>
      <c r="G920" s="23">
        <v>466.6</v>
      </c>
      <c r="H920" s="40">
        <v>4.5030000000000001</v>
      </c>
      <c r="I920" s="13">
        <f t="shared" si="14"/>
        <v>2.7342736248236954</v>
      </c>
      <c r="J920" s="20"/>
    </row>
    <row r="921" spans="2:10">
      <c r="C921" s="40">
        <v>2.738</v>
      </c>
      <c r="D921" s="34">
        <v>98.52</v>
      </c>
      <c r="E921" s="23">
        <v>96.86</v>
      </c>
      <c r="F921" s="23">
        <v>36.21</v>
      </c>
      <c r="G921" s="23">
        <v>464.8</v>
      </c>
      <c r="H921" s="40">
        <v>4.3869999999999996</v>
      </c>
      <c r="I921" s="13">
        <f t="shared" si="14"/>
        <v>2.6749516708091687</v>
      </c>
      <c r="J921" s="20"/>
    </row>
    <row r="922" spans="2:10">
      <c r="B922" s="47">
        <v>47</v>
      </c>
      <c r="C922" s="39">
        <v>2.3460000000000001</v>
      </c>
      <c r="D922" s="37">
        <v>105.9</v>
      </c>
      <c r="E922" s="38">
        <v>99.96</v>
      </c>
      <c r="F922" s="38">
        <v>28.41</v>
      </c>
      <c r="G922" s="38">
        <v>515</v>
      </c>
      <c r="H922" s="39">
        <v>3.169</v>
      </c>
      <c r="I922" s="13">
        <f t="shared" si="14"/>
        <v>3.5184794086589228</v>
      </c>
      <c r="J922" s="48"/>
    </row>
    <row r="923" spans="2:10">
      <c r="C923" s="40">
        <v>2.512</v>
      </c>
      <c r="D923" s="34">
        <v>93.7</v>
      </c>
      <c r="E923" s="23">
        <v>99.48</v>
      </c>
      <c r="F923" s="23">
        <v>28.61</v>
      </c>
      <c r="G923" s="23">
        <v>512.29999999999995</v>
      </c>
      <c r="H923" s="40">
        <v>3.468</v>
      </c>
      <c r="I923" s="13">
        <f t="shared" si="14"/>
        <v>3.4771059070255159</v>
      </c>
      <c r="J923" s="20"/>
    </row>
    <row r="924" spans="2:10">
      <c r="C924" s="40">
        <v>2.31</v>
      </c>
      <c r="D924" s="34">
        <v>92.9</v>
      </c>
      <c r="E924" s="23">
        <v>99.35</v>
      </c>
      <c r="F924" s="23">
        <v>29.36</v>
      </c>
      <c r="G924" s="23">
        <v>529.1</v>
      </c>
      <c r="H924" s="40">
        <v>3.62</v>
      </c>
      <c r="I924" s="13">
        <f t="shared" si="14"/>
        <v>3.3838555858310624</v>
      </c>
      <c r="J924" s="20"/>
    </row>
    <row r="925" spans="2:10">
      <c r="C925" s="40">
        <v>2.1970000000000001</v>
      </c>
      <c r="D925" s="34">
        <v>105.2</v>
      </c>
      <c r="E925" s="23">
        <v>99.25</v>
      </c>
      <c r="F925" s="23">
        <v>28.82</v>
      </c>
      <c r="G925" s="23">
        <v>545</v>
      </c>
      <c r="H925" s="40">
        <v>3.48</v>
      </c>
      <c r="I925" s="13">
        <f t="shared" si="14"/>
        <v>3.4437890353920886</v>
      </c>
      <c r="J925" s="20"/>
    </row>
    <row r="926" spans="2:10">
      <c r="C926" s="40">
        <v>2.169</v>
      </c>
      <c r="D926" s="34">
        <v>107.1</v>
      </c>
      <c r="E926" s="23">
        <v>99.67</v>
      </c>
      <c r="F926" s="23">
        <v>28.31</v>
      </c>
      <c r="G926" s="23">
        <v>561.5</v>
      </c>
      <c r="H926" s="40">
        <v>3.274</v>
      </c>
      <c r="I926" s="13">
        <f t="shared" si="14"/>
        <v>3.5206640762981283</v>
      </c>
      <c r="J926" s="48"/>
    </row>
    <row r="927" spans="2:10">
      <c r="C927" s="40">
        <v>2.2240000000000002</v>
      </c>
      <c r="D927" s="34">
        <v>134.4</v>
      </c>
      <c r="E927" s="23">
        <v>99.85</v>
      </c>
      <c r="F927" s="23">
        <v>28.05</v>
      </c>
      <c r="G927" s="23">
        <v>553.70000000000005</v>
      </c>
      <c r="H927" s="40">
        <v>3.2149999999999999</v>
      </c>
      <c r="I927" s="13">
        <f t="shared" si="14"/>
        <v>3.5597147950089125</v>
      </c>
      <c r="J927" s="48"/>
    </row>
    <row r="928" spans="2:10">
      <c r="C928" s="40">
        <v>2.1040000000000001</v>
      </c>
      <c r="D928" s="34">
        <v>104.8</v>
      </c>
      <c r="E928" s="23">
        <v>99.95</v>
      </c>
      <c r="F928" s="23">
        <v>28.55</v>
      </c>
      <c r="G928" s="23">
        <v>546.9</v>
      </c>
      <c r="H928" s="40">
        <v>3.363</v>
      </c>
      <c r="I928" s="13">
        <f t="shared" si="14"/>
        <v>3.500875656742557</v>
      </c>
      <c r="J928" s="48"/>
    </row>
    <row r="929" spans="2:10">
      <c r="C929" s="40">
        <v>2.1339999999999999</v>
      </c>
      <c r="D929" s="34">
        <v>105.9</v>
      </c>
      <c r="E929" s="23">
        <v>100.2</v>
      </c>
      <c r="F929" s="23">
        <v>29.18</v>
      </c>
      <c r="G929" s="23">
        <v>539.1</v>
      </c>
      <c r="H929" s="40">
        <v>3.375</v>
      </c>
      <c r="I929" s="13">
        <f t="shared" si="14"/>
        <v>3.4338588074023306</v>
      </c>
      <c r="J929" s="20"/>
    </row>
    <row r="930" spans="2:10">
      <c r="C930" s="40">
        <v>2.2770000000000001</v>
      </c>
      <c r="D930" s="34">
        <v>102.9</v>
      </c>
      <c r="E930" s="23">
        <v>100.6</v>
      </c>
      <c r="F930" s="23">
        <v>29.22</v>
      </c>
      <c r="G930" s="23">
        <v>534.6</v>
      </c>
      <c r="H930" s="40">
        <v>3.2890000000000001</v>
      </c>
      <c r="I930" s="13">
        <f t="shared" si="14"/>
        <v>3.4428473648186175</v>
      </c>
      <c r="J930" s="48"/>
    </row>
    <row r="931" spans="2:10">
      <c r="C931" s="40">
        <v>2.012</v>
      </c>
      <c r="D931" s="34">
        <v>112.1</v>
      </c>
      <c r="E931" s="23">
        <v>100.5</v>
      </c>
      <c r="F931" s="23">
        <v>29.67</v>
      </c>
      <c r="G931" s="23">
        <v>514.20000000000005</v>
      </c>
      <c r="H931" s="40">
        <v>3.2149999999999999</v>
      </c>
      <c r="I931" s="13">
        <f t="shared" si="14"/>
        <v>3.3872598584428713</v>
      </c>
      <c r="J931" s="48"/>
    </row>
    <row r="932" spans="2:10">
      <c r="C932" s="40">
        <v>2.1040000000000001</v>
      </c>
      <c r="D932" s="34">
        <v>123.7</v>
      </c>
      <c r="E932" s="23">
        <v>100.2</v>
      </c>
      <c r="F932" s="23">
        <v>29.59</v>
      </c>
      <c r="G932" s="23">
        <v>531.9</v>
      </c>
      <c r="H932" s="40">
        <v>3.1280000000000001</v>
      </c>
      <c r="I932" s="13">
        <f t="shared" si="14"/>
        <v>3.3862791483609329</v>
      </c>
      <c r="J932" s="48"/>
    </row>
    <row r="933" spans="2:10">
      <c r="C933" s="40">
        <v>2.3460000000000001</v>
      </c>
      <c r="D933" s="34">
        <v>94.6</v>
      </c>
      <c r="E933" s="23">
        <v>100.1</v>
      </c>
      <c r="F933" s="23">
        <v>29.29</v>
      </c>
      <c r="G933" s="23">
        <v>539.1</v>
      </c>
      <c r="H933" s="40">
        <v>3.2839999999999998</v>
      </c>
      <c r="I933" s="13">
        <f t="shared" si="14"/>
        <v>3.4175486514168658</v>
      </c>
      <c r="J933" s="48"/>
    </row>
    <row r="934" spans="2:10">
      <c r="C934" s="40">
        <v>1.9139999999999999</v>
      </c>
      <c r="D934" s="34">
        <v>75.8</v>
      </c>
      <c r="E934" s="23">
        <v>99.83</v>
      </c>
      <c r="F934" s="23">
        <v>28.36</v>
      </c>
      <c r="G934" s="23">
        <v>570.20000000000005</v>
      </c>
      <c r="H934" s="40">
        <v>3.161</v>
      </c>
      <c r="I934" s="13">
        <f t="shared" si="14"/>
        <v>3.5200987306064881</v>
      </c>
      <c r="J934" s="20"/>
    </row>
    <row r="935" spans="2:10">
      <c r="C935" s="40">
        <v>2.0649999999999999</v>
      </c>
      <c r="D935" s="34">
        <v>97.2</v>
      </c>
      <c r="E935" s="23">
        <v>99.7</v>
      </c>
      <c r="F935" s="23">
        <v>28.16</v>
      </c>
      <c r="G935" s="23">
        <v>559.5</v>
      </c>
      <c r="H935" s="40">
        <v>3.1040000000000001</v>
      </c>
      <c r="I935" s="13">
        <f t="shared" si="14"/>
        <v>3.5404829545454546</v>
      </c>
      <c r="J935" s="48"/>
    </row>
    <row r="936" spans="2:10">
      <c r="C936" s="40">
        <v>1.9950000000000001</v>
      </c>
      <c r="D936" s="34">
        <v>93</v>
      </c>
      <c r="E936" s="23">
        <v>99.7</v>
      </c>
      <c r="F936" s="23">
        <v>27.96</v>
      </c>
      <c r="G936" s="23">
        <v>552.1</v>
      </c>
      <c r="H936" s="40">
        <v>3.2149999999999999</v>
      </c>
      <c r="I936" s="13">
        <f t="shared" si="14"/>
        <v>3.5658082975679544</v>
      </c>
      <c r="J936" s="48"/>
    </row>
    <row r="937" spans="2:10">
      <c r="C937" s="40">
        <v>2.2240000000000002</v>
      </c>
      <c r="D937" s="34">
        <v>98.8</v>
      </c>
      <c r="E937" s="23">
        <v>99.49</v>
      </c>
      <c r="F937" s="23">
        <v>28.19</v>
      </c>
      <c r="G937" s="23">
        <v>529.1</v>
      </c>
      <c r="H937" s="40">
        <v>3.6709999999999998</v>
      </c>
      <c r="I937" s="13">
        <f t="shared" si="14"/>
        <v>3.5292656970556933</v>
      </c>
      <c r="J937" s="20"/>
    </row>
    <row r="938" spans="2:10">
      <c r="C938" s="40">
        <v>2.169</v>
      </c>
      <c r="D938" s="34">
        <v>105.9</v>
      </c>
      <c r="E938" s="23">
        <v>100.1</v>
      </c>
      <c r="F938" s="23">
        <v>28.39</v>
      </c>
      <c r="G938" s="23">
        <v>545</v>
      </c>
      <c r="H938" s="40">
        <v>3.5750000000000002</v>
      </c>
      <c r="I938" s="13">
        <f t="shared" si="14"/>
        <v>3.5258893976752375</v>
      </c>
      <c r="J938" s="20"/>
    </row>
    <row r="939" spans="2:10">
      <c r="C939" s="40">
        <v>2.0979999999999999</v>
      </c>
      <c r="D939" s="34">
        <v>151.69999999999999</v>
      </c>
      <c r="E939" s="23">
        <v>100.8</v>
      </c>
      <c r="F939" s="23">
        <v>28.14</v>
      </c>
      <c r="G939" s="23">
        <v>547.9</v>
      </c>
      <c r="H939" s="40">
        <v>3.4940000000000002</v>
      </c>
      <c r="I939" s="13">
        <f t="shared" si="14"/>
        <v>3.5820895522388057</v>
      </c>
      <c r="J939" s="20"/>
    </row>
    <row r="940" spans="2:10">
      <c r="C940" s="40">
        <v>2.1339999999999999</v>
      </c>
      <c r="D940" s="34">
        <v>136</v>
      </c>
      <c r="E940" s="23">
        <v>100.6</v>
      </c>
      <c r="F940" s="23">
        <v>28.43</v>
      </c>
      <c r="G940" s="23">
        <v>522.5</v>
      </c>
      <c r="H940" s="40">
        <v>3.7410000000000001</v>
      </c>
      <c r="I940" s="13">
        <f t="shared" si="14"/>
        <v>3.5385156524797745</v>
      </c>
      <c r="J940" s="48"/>
    </row>
    <row r="941" spans="2:10">
      <c r="C941" s="40">
        <v>2.1720000000000002</v>
      </c>
      <c r="D941" s="34">
        <v>97.2</v>
      </c>
      <c r="E941" s="23">
        <v>100.7</v>
      </c>
      <c r="F941" s="23">
        <v>28.52</v>
      </c>
      <c r="G941" s="23">
        <v>516.4</v>
      </c>
      <c r="H941" s="40">
        <v>3.5009999999999999</v>
      </c>
      <c r="I941" s="13">
        <f t="shared" si="14"/>
        <v>3.5308555399719497</v>
      </c>
      <c r="J941" s="20"/>
    </row>
    <row r="942" spans="2:10">
      <c r="B942" s="47">
        <v>48</v>
      </c>
      <c r="C942" s="39">
        <v>2.7450000000000001</v>
      </c>
      <c r="D942" s="37">
        <v>106.6</v>
      </c>
      <c r="E942" s="38">
        <v>91.17</v>
      </c>
      <c r="F942" s="38">
        <v>28.27</v>
      </c>
      <c r="G942" s="38">
        <v>515.79999999999995</v>
      </c>
      <c r="H942" s="39">
        <v>8.5020000000000007</v>
      </c>
      <c r="I942" s="13">
        <f t="shared" si="14"/>
        <v>3.2249734701096568</v>
      </c>
      <c r="J942" s="48"/>
    </row>
    <row r="943" spans="2:10">
      <c r="C943" s="40">
        <v>2.7719999999999998</v>
      </c>
      <c r="D943" s="34">
        <v>126.9</v>
      </c>
      <c r="E943" s="23">
        <v>91.1</v>
      </c>
      <c r="F943" s="23">
        <v>28.24</v>
      </c>
      <c r="G943" s="23">
        <v>514.79999999999995</v>
      </c>
      <c r="H943" s="40">
        <v>7.54</v>
      </c>
      <c r="I943" s="13">
        <f t="shared" si="14"/>
        <v>3.2259206798866855</v>
      </c>
      <c r="J943" s="48"/>
    </row>
    <row r="944" spans="2:10">
      <c r="C944" s="40">
        <v>2.7570000000000001</v>
      </c>
      <c r="D944" s="34">
        <v>106.2</v>
      </c>
      <c r="E944" s="23">
        <v>91.08</v>
      </c>
      <c r="F944" s="23">
        <v>28.21</v>
      </c>
      <c r="G944" s="23">
        <v>516.6</v>
      </c>
      <c r="H944" s="40">
        <v>7.9249999999999998</v>
      </c>
      <c r="I944" s="13">
        <f t="shared" si="14"/>
        <v>3.2286423254165189</v>
      </c>
      <c r="J944" s="48"/>
    </row>
    <row r="945" spans="3:10">
      <c r="C945" s="40">
        <v>2.7770000000000001</v>
      </c>
      <c r="D945" s="34">
        <v>145.9</v>
      </c>
      <c r="E945" s="23">
        <v>91.35</v>
      </c>
      <c r="F945" s="23">
        <v>28.07</v>
      </c>
      <c r="G945" s="23">
        <v>512.20000000000005</v>
      </c>
      <c r="H945" s="40">
        <v>7.8449999999999998</v>
      </c>
      <c r="I945" s="13">
        <f t="shared" si="14"/>
        <v>3.254364089775561</v>
      </c>
      <c r="J945" s="48"/>
    </row>
    <row r="946" spans="3:10">
      <c r="C946" s="40">
        <v>2.7450000000000001</v>
      </c>
      <c r="D946" s="34">
        <v>126.9</v>
      </c>
      <c r="E946" s="23">
        <v>91.56</v>
      </c>
      <c r="F946" s="23">
        <v>28.63</v>
      </c>
      <c r="G946" s="23">
        <v>513.5</v>
      </c>
      <c r="H946" s="40">
        <v>7.5359999999999996</v>
      </c>
      <c r="I946" s="13">
        <f t="shared" si="14"/>
        <v>3.1980440097799514</v>
      </c>
      <c r="J946" s="48"/>
    </row>
    <row r="947" spans="3:10">
      <c r="C947" s="40">
        <v>2.7160000000000002</v>
      </c>
      <c r="D947" s="34">
        <v>146.80000000000001</v>
      </c>
      <c r="E947" s="23">
        <v>91.74</v>
      </c>
      <c r="F947" s="23">
        <v>28.15</v>
      </c>
      <c r="G947" s="23">
        <v>517.79999999999995</v>
      </c>
      <c r="H947" s="40">
        <v>7.7190000000000003</v>
      </c>
      <c r="I947" s="13">
        <f t="shared" si="14"/>
        <v>3.258969804618117</v>
      </c>
      <c r="J947" s="48"/>
    </row>
    <row r="948" spans="3:10">
      <c r="C948" s="40">
        <v>2.6840000000000002</v>
      </c>
      <c r="D948" s="34">
        <v>112.4</v>
      </c>
      <c r="E948" s="23">
        <v>91.88</v>
      </c>
      <c r="F948" s="23">
        <v>27.59</v>
      </c>
      <c r="G948" s="23">
        <v>515.29999999999995</v>
      </c>
      <c r="H948" s="40">
        <v>7.72</v>
      </c>
      <c r="I948" s="13">
        <f t="shared" si="14"/>
        <v>3.3301920985864442</v>
      </c>
      <c r="J948" s="48"/>
    </row>
    <row r="949" spans="3:10">
      <c r="C949" s="40">
        <v>2.665</v>
      </c>
      <c r="D949" s="34">
        <v>121</v>
      </c>
      <c r="E949" s="23">
        <v>91.97</v>
      </c>
      <c r="F949" s="23">
        <v>27.84</v>
      </c>
      <c r="G949" s="23">
        <v>514.4</v>
      </c>
      <c r="H949" s="40">
        <v>8.093</v>
      </c>
      <c r="I949" s="13">
        <f t="shared" si="14"/>
        <v>3.3035201149425286</v>
      </c>
      <c r="J949" s="48"/>
    </row>
    <row r="950" spans="3:10">
      <c r="C950" s="40">
        <v>2.64</v>
      </c>
      <c r="D950" s="34">
        <v>106.7</v>
      </c>
      <c r="E950" s="23">
        <v>91.35</v>
      </c>
      <c r="F950" s="23">
        <v>27.95</v>
      </c>
      <c r="G950" s="23">
        <v>518.4</v>
      </c>
      <c r="H950" s="40">
        <v>8.7270000000000003</v>
      </c>
      <c r="I950" s="13">
        <f t="shared" si="14"/>
        <v>3.2683363148479425</v>
      </c>
      <c r="J950" s="48"/>
    </row>
    <row r="951" spans="3:10">
      <c r="C951" s="40">
        <v>2.5619999999999998</v>
      </c>
      <c r="D951" s="34">
        <v>99.2</v>
      </c>
      <c r="E951" s="23">
        <v>91.69</v>
      </c>
      <c r="F951" s="23">
        <v>28.46</v>
      </c>
      <c r="G951" s="23">
        <v>518.70000000000005</v>
      </c>
      <c r="H951" s="40">
        <v>8.093</v>
      </c>
      <c r="I951" s="13">
        <f t="shared" si="14"/>
        <v>3.2217146872803935</v>
      </c>
      <c r="J951" s="48"/>
    </row>
    <row r="952" spans="3:10">
      <c r="C952" s="40">
        <v>2.6840000000000002</v>
      </c>
      <c r="D952" s="34">
        <v>110.2</v>
      </c>
      <c r="E952" s="23">
        <v>91.76</v>
      </c>
      <c r="F952" s="23">
        <v>28.32</v>
      </c>
      <c r="G952" s="23">
        <v>516.6</v>
      </c>
      <c r="H952" s="40">
        <v>9.0619999999999994</v>
      </c>
      <c r="I952" s="13">
        <f t="shared" si="14"/>
        <v>3.2401129943502824</v>
      </c>
      <c r="J952" s="48"/>
    </row>
    <row r="953" spans="3:10">
      <c r="C953" s="40">
        <v>2.6829999999999998</v>
      </c>
      <c r="D953" s="34">
        <v>105.2</v>
      </c>
      <c r="E953" s="23">
        <v>91.6</v>
      </c>
      <c r="F953" s="23">
        <v>28.56</v>
      </c>
      <c r="G953" s="23">
        <v>514</v>
      </c>
      <c r="H953" s="40">
        <v>9.58</v>
      </c>
      <c r="I953" s="13">
        <f t="shared" si="14"/>
        <v>3.2072829131652663</v>
      </c>
      <c r="J953" s="48"/>
    </row>
    <row r="954" spans="3:10">
      <c r="C954" s="40">
        <v>2.6669999999999998</v>
      </c>
      <c r="D954" s="34">
        <v>106.6</v>
      </c>
      <c r="E954" s="23">
        <v>91.94</v>
      </c>
      <c r="F954" s="23">
        <v>27.89</v>
      </c>
      <c r="G954" s="23">
        <v>514.70000000000005</v>
      </c>
      <c r="H954" s="40">
        <v>7.54</v>
      </c>
      <c r="I954" s="13">
        <f t="shared" si="14"/>
        <v>3.2965220509143061</v>
      </c>
      <c r="J954" s="48"/>
    </row>
    <row r="955" spans="3:10">
      <c r="C955" s="40">
        <v>2.7149999999999999</v>
      </c>
      <c r="D955" s="34">
        <v>112.4</v>
      </c>
      <c r="E955" s="23">
        <v>92.23</v>
      </c>
      <c r="F955" s="23">
        <v>27.85</v>
      </c>
      <c r="G955" s="23">
        <v>515.70000000000005</v>
      </c>
      <c r="H955" s="40">
        <v>8.2070000000000007</v>
      </c>
      <c r="I955" s="13">
        <f t="shared" si="14"/>
        <v>3.3116696588868941</v>
      </c>
      <c r="J955" s="48"/>
    </row>
    <row r="956" spans="3:10">
      <c r="C956" s="40">
        <v>2.734</v>
      </c>
      <c r="D956" s="34">
        <v>106.9</v>
      </c>
      <c r="E956" s="23">
        <v>92.16</v>
      </c>
      <c r="F956" s="23">
        <v>27.82</v>
      </c>
      <c r="G956" s="23">
        <v>517.1</v>
      </c>
      <c r="H956" s="40">
        <v>8.2539999999999996</v>
      </c>
      <c r="I956" s="13">
        <f t="shared" si="14"/>
        <v>3.3127246585190511</v>
      </c>
      <c r="J956" s="48"/>
    </row>
    <row r="957" spans="3:10">
      <c r="C957" s="40">
        <v>2.7210000000000001</v>
      </c>
      <c r="D957" s="34">
        <v>106.3</v>
      </c>
      <c r="E957" s="23">
        <v>91.98</v>
      </c>
      <c r="F957" s="23">
        <v>28.38</v>
      </c>
      <c r="G957" s="23">
        <v>517.4</v>
      </c>
      <c r="H957" s="40">
        <v>8.5449999999999999</v>
      </c>
      <c r="I957" s="13">
        <f t="shared" si="14"/>
        <v>3.2410147991543341</v>
      </c>
      <c r="J957" s="48"/>
    </row>
    <row r="958" spans="3:10">
      <c r="C958" s="40">
        <v>2.7679999999999998</v>
      </c>
      <c r="D958" s="34">
        <v>135.5</v>
      </c>
      <c r="E958" s="23">
        <v>91.85</v>
      </c>
      <c r="F958" s="23">
        <v>28.31</v>
      </c>
      <c r="G958" s="23">
        <v>519.29999999999995</v>
      </c>
      <c r="H958" s="40">
        <v>8.8569999999999993</v>
      </c>
      <c r="I958" s="13">
        <f t="shared" si="14"/>
        <v>3.2444365948428118</v>
      </c>
      <c r="J958" s="48"/>
    </row>
    <row r="959" spans="3:10">
      <c r="C959" s="40">
        <v>2.778</v>
      </c>
      <c r="D959" s="34">
        <v>114.5</v>
      </c>
      <c r="E959" s="23">
        <v>91.64</v>
      </c>
      <c r="F959" s="23">
        <v>28.43</v>
      </c>
      <c r="G959" s="23">
        <v>518.29999999999995</v>
      </c>
      <c r="H959" s="40">
        <v>8.7379999999999995</v>
      </c>
      <c r="I959" s="13">
        <f t="shared" si="14"/>
        <v>3.2233556102708407</v>
      </c>
      <c r="J959" s="48"/>
    </row>
    <row r="960" spans="3:10">
      <c r="C960" s="40">
        <v>2.7959999999999998</v>
      </c>
      <c r="D960" s="34">
        <v>101.7</v>
      </c>
      <c r="E960" s="23">
        <v>92.24</v>
      </c>
      <c r="F960" s="23">
        <v>27.85</v>
      </c>
      <c r="G960" s="23">
        <v>518.9</v>
      </c>
      <c r="H960" s="40">
        <v>8.5020000000000007</v>
      </c>
      <c r="I960" s="13">
        <f t="shared" si="14"/>
        <v>3.3120287253141827</v>
      </c>
      <c r="J960" s="48"/>
    </row>
    <row r="961" spans="2:10">
      <c r="C961" s="40">
        <v>2.7749999999999999</v>
      </c>
      <c r="D961" s="34">
        <v>98.3</v>
      </c>
      <c r="E961" s="23">
        <v>91.97</v>
      </c>
      <c r="F961" s="23">
        <v>27.82</v>
      </c>
      <c r="G961" s="23">
        <v>514.1</v>
      </c>
      <c r="H961" s="40">
        <v>8.0619999999999994</v>
      </c>
      <c r="I961" s="13">
        <f t="shared" si="14"/>
        <v>3.3058950395398994</v>
      </c>
      <c r="J961" s="48"/>
    </row>
    <row r="962" spans="2:10">
      <c r="B962" s="47">
        <v>49</v>
      </c>
      <c r="C962" s="39">
        <v>2.2810000000000001</v>
      </c>
      <c r="D962" s="37">
        <v>94.8</v>
      </c>
      <c r="E962" s="38">
        <v>95.68</v>
      </c>
      <c r="F962" s="38">
        <v>30.75</v>
      </c>
      <c r="G962" s="52">
        <v>480.5</v>
      </c>
      <c r="H962" s="39">
        <v>4.43</v>
      </c>
      <c r="I962" s="13">
        <f t="shared" si="14"/>
        <v>3.1115447154471547</v>
      </c>
      <c r="J962" s="20"/>
    </row>
    <row r="963" spans="2:10">
      <c r="C963" s="40">
        <v>2.3690000000000002</v>
      </c>
      <c r="D963" s="34">
        <v>90.8</v>
      </c>
      <c r="E963" s="23">
        <v>96.17</v>
      </c>
      <c r="F963" s="23">
        <v>30.88</v>
      </c>
      <c r="G963" s="23">
        <v>483.2</v>
      </c>
      <c r="H963" s="40">
        <v>4.6070000000000002</v>
      </c>
      <c r="I963" s="13">
        <f t="shared" ref="I963:I1026" si="15">E963/F963</f>
        <v>3.1143134715025909</v>
      </c>
      <c r="J963" s="20"/>
    </row>
    <row r="964" spans="2:10">
      <c r="C964" s="40">
        <v>2.3130000000000002</v>
      </c>
      <c r="D964" s="34">
        <v>91.9</v>
      </c>
      <c r="E964" s="23">
        <v>96.22</v>
      </c>
      <c r="F964" s="23">
        <v>30.89</v>
      </c>
      <c r="G964" s="23">
        <v>478.4</v>
      </c>
      <c r="H964" s="40">
        <v>4.7249999999999996</v>
      </c>
      <c r="I964" s="13">
        <f t="shared" si="15"/>
        <v>3.1149239235998705</v>
      </c>
      <c r="J964" s="20"/>
    </row>
    <row r="965" spans="2:10">
      <c r="C965" s="40">
        <v>2.431</v>
      </c>
      <c r="D965" s="34">
        <v>112.7</v>
      </c>
      <c r="E965" s="23">
        <v>96.09</v>
      </c>
      <c r="F965" s="23">
        <v>31.14</v>
      </c>
      <c r="G965" s="23">
        <v>469.5</v>
      </c>
      <c r="H965" s="40">
        <v>4.806</v>
      </c>
      <c r="I965" s="13">
        <f t="shared" si="15"/>
        <v>3.0857418111753372</v>
      </c>
      <c r="J965" s="20"/>
    </row>
    <row r="966" spans="2:10">
      <c r="C966" s="40">
        <v>2.2519999999999998</v>
      </c>
      <c r="D966" s="34">
        <v>102.5</v>
      </c>
      <c r="E966" s="23">
        <v>96.44</v>
      </c>
      <c r="F966" s="23">
        <v>31</v>
      </c>
      <c r="G966" s="23">
        <v>466.7</v>
      </c>
      <c r="H966" s="40">
        <v>4.8949999999999996</v>
      </c>
      <c r="I966" s="13">
        <f t="shared" si="15"/>
        <v>3.1109677419354838</v>
      </c>
      <c r="J966" s="20"/>
    </row>
    <row r="967" spans="2:10">
      <c r="C967" s="40">
        <v>2.133</v>
      </c>
      <c r="D967" s="34">
        <v>79.8</v>
      </c>
      <c r="E967" s="23">
        <v>96.29</v>
      </c>
      <c r="F967" s="23">
        <v>30.46</v>
      </c>
      <c r="G967" s="23">
        <v>466</v>
      </c>
      <c r="H967" s="40">
        <v>4.7430000000000003</v>
      </c>
      <c r="I967" s="13">
        <f t="shared" si="15"/>
        <v>3.1611950098489823</v>
      </c>
      <c r="J967" s="20"/>
    </row>
    <row r="968" spans="2:10">
      <c r="C968" s="40">
        <v>2.0409999999999999</v>
      </c>
      <c r="D968" s="34">
        <v>76.400000000000006</v>
      </c>
      <c r="E968" s="23">
        <v>96.37</v>
      </c>
      <c r="F968" s="23">
        <v>31.55</v>
      </c>
      <c r="G968" s="23">
        <v>464.2</v>
      </c>
      <c r="H968" s="40">
        <v>4.5519999999999996</v>
      </c>
      <c r="I968" s="13">
        <f t="shared" si="15"/>
        <v>3.0545166402535657</v>
      </c>
      <c r="J968" s="20"/>
    </row>
    <row r="969" spans="2:10">
      <c r="C969" s="40">
        <v>2.1619999999999999</v>
      </c>
      <c r="D969" s="34">
        <v>79.8</v>
      </c>
      <c r="E969" s="23">
        <v>96.42</v>
      </c>
      <c r="F969" s="23">
        <v>31.28</v>
      </c>
      <c r="G969" s="23">
        <v>466.6</v>
      </c>
      <c r="H969" s="40">
        <v>3.7650000000000001</v>
      </c>
      <c r="I969" s="13">
        <f t="shared" si="15"/>
        <v>3.082480818414322</v>
      </c>
      <c r="J969" s="20"/>
    </row>
    <row r="970" spans="2:10">
      <c r="C970" s="40">
        <v>2.0179999999999998</v>
      </c>
      <c r="D970" s="34">
        <v>96.4</v>
      </c>
      <c r="E970" s="23">
        <v>96.48</v>
      </c>
      <c r="F970" s="23">
        <v>31</v>
      </c>
      <c r="G970" s="23">
        <v>463.6</v>
      </c>
      <c r="H970" s="40">
        <v>4.3970000000000002</v>
      </c>
      <c r="I970" s="13">
        <f t="shared" si="15"/>
        <v>3.1122580645161291</v>
      </c>
      <c r="J970" s="20"/>
    </row>
    <row r="971" spans="2:10">
      <c r="C971" s="40">
        <v>2.0409999999999999</v>
      </c>
      <c r="D971" s="34">
        <v>89.8</v>
      </c>
      <c r="E971" s="23">
        <v>96.35</v>
      </c>
      <c r="F971" s="23">
        <v>30.73</v>
      </c>
      <c r="G971" s="23">
        <v>464.8</v>
      </c>
      <c r="H971" s="40">
        <v>4.3609999999999998</v>
      </c>
      <c r="I971" s="13">
        <f t="shared" si="15"/>
        <v>3.1353726000650828</v>
      </c>
      <c r="J971" s="20"/>
    </row>
    <row r="972" spans="2:10">
      <c r="C972" s="40">
        <v>2.1640000000000001</v>
      </c>
      <c r="D972" s="34">
        <v>131.80000000000001</v>
      </c>
      <c r="E972" s="23">
        <v>96.36</v>
      </c>
      <c r="F972" s="23">
        <v>30.87</v>
      </c>
      <c r="G972" s="23">
        <v>473.5</v>
      </c>
      <c r="H972" s="40">
        <v>4.1470000000000002</v>
      </c>
      <c r="I972" s="13">
        <f t="shared" si="15"/>
        <v>3.1214771622934885</v>
      </c>
      <c r="J972" s="20"/>
    </row>
    <row r="973" spans="2:10">
      <c r="C973" s="40">
        <v>2.3690000000000002</v>
      </c>
      <c r="D973" s="34">
        <v>89.1</v>
      </c>
      <c r="E973" s="23">
        <v>96.39</v>
      </c>
      <c r="F973" s="23">
        <v>30.55</v>
      </c>
      <c r="G973" s="23">
        <v>490.1</v>
      </c>
      <c r="H973" s="40">
        <v>3.5710000000000002</v>
      </c>
      <c r="I973" s="13">
        <f t="shared" si="15"/>
        <v>3.1551554828150574</v>
      </c>
      <c r="J973" s="20"/>
    </row>
    <row r="974" spans="2:10">
      <c r="C974" s="40">
        <v>2.1190000000000002</v>
      </c>
      <c r="D974" s="34">
        <v>85.3</v>
      </c>
      <c r="E974" s="23">
        <v>96.23</v>
      </c>
      <c r="F974" s="23">
        <v>30.59</v>
      </c>
      <c r="G974" s="23">
        <v>486.1</v>
      </c>
      <c r="H974" s="40">
        <v>4.3310000000000004</v>
      </c>
      <c r="I974" s="13">
        <f t="shared" si="15"/>
        <v>3.1457992808107225</v>
      </c>
      <c r="J974" s="20"/>
    </row>
    <row r="975" spans="2:10">
      <c r="C975" s="40">
        <v>1.8620000000000001</v>
      </c>
      <c r="D975" s="34">
        <v>94.8</v>
      </c>
      <c r="E975" s="23">
        <v>97.12</v>
      </c>
      <c r="F975" s="23">
        <v>30.04</v>
      </c>
      <c r="G975" s="23">
        <v>483.2</v>
      </c>
      <c r="H975" s="40">
        <v>4.8049999999999997</v>
      </c>
      <c r="I975" s="13">
        <f t="shared" si="15"/>
        <v>3.2330226364846872</v>
      </c>
      <c r="J975" s="20"/>
    </row>
    <row r="976" spans="2:10">
      <c r="C976" s="40">
        <v>1.897</v>
      </c>
      <c r="D976" s="34">
        <v>102.3</v>
      </c>
      <c r="E976" s="23">
        <v>96.89</v>
      </c>
      <c r="F976" s="23">
        <v>30.32</v>
      </c>
      <c r="G976" s="23">
        <v>469.5</v>
      </c>
      <c r="H976" s="40">
        <v>5.0270000000000001</v>
      </c>
      <c r="I976" s="13">
        <f t="shared" si="15"/>
        <v>3.1955804749340371</v>
      </c>
      <c r="J976" s="20"/>
    </row>
    <row r="977" spans="2:10">
      <c r="C977" s="40">
        <v>2.1190000000000002</v>
      </c>
      <c r="D977" s="34">
        <v>100.6</v>
      </c>
      <c r="E977" s="23">
        <v>96.11</v>
      </c>
      <c r="F977" s="23">
        <v>30.18</v>
      </c>
      <c r="G977" s="23">
        <v>467.7</v>
      </c>
      <c r="H977" s="40">
        <v>4.87</v>
      </c>
      <c r="I977" s="13">
        <f t="shared" si="15"/>
        <v>3.1845593108018555</v>
      </c>
      <c r="J977" s="20"/>
    </row>
    <row r="978" spans="2:10">
      <c r="C978" s="40">
        <v>2.3130000000000002</v>
      </c>
      <c r="D978" s="34">
        <v>92.3</v>
      </c>
      <c r="E978" s="23">
        <v>96.14</v>
      </c>
      <c r="F978" s="23">
        <v>30.19</v>
      </c>
      <c r="G978" s="23">
        <v>470.8</v>
      </c>
      <c r="H978" s="40">
        <v>4.6630000000000003</v>
      </c>
      <c r="I978" s="13">
        <f t="shared" si="15"/>
        <v>3.1844981782047035</v>
      </c>
      <c r="J978" s="20"/>
    </row>
    <row r="979" spans="2:10">
      <c r="C979" s="40">
        <v>2.1800000000000002</v>
      </c>
      <c r="D979" s="34">
        <v>102.4</v>
      </c>
      <c r="E979" s="23">
        <v>96.16</v>
      </c>
      <c r="F979" s="23">
        <v>30.75</v>
      </c>
      <c r="G979" s="23">
        <v>476.1</v>
      </c>
      <c r="H979" s="40">
        <v>4.5010000000000003</v>
      </c>
      <c r="I979" s="13">
        <f t="shared" si="15"/>
        <v>3.1271544715447153</v>
      </c>
      <c r="J979" s="20"/>
    </row>
    <row r="980" spans="2:10">
      <c r="C980" s="40">
        <v>1.83</v>
      </c>
      <c r="D980" s="34">
        <v>87.3</v>
      </c>
      <c r="E980" s="23">
        <v>96.75</v>
      </c>
      <c r="F980" s="23">
        <v>31.57</v>
      </c>
      <c r="G980" s="23">
        <v>473.5</v>
      </c>
      <c r="H980" s="40">
        <v>3.9660000000000002</v>
      </c>
      <c r="I980" s="13">
        <f t="shared" si="15"/>
        <v>3.0646183085207475</v>
      </c>
      <c r="J980" s="20"/>
    </row>
    <row r="981" spans="2:10">
      <c r="C981" s="40">
        <v>1.913</v>
      </c>
      <c r="D981" s="34">
        <v>114.6</v>
      </c>
      <c r="E981" s="23">
        <v>96.89</v>
      </c>
      <c r="F981" s="23">
        <v>30.87</v>
      </c>
      <c r="G981" s="23">
        <v>471.4</v>
      </c>
      <c r="H981" s="40">
        <v>3.3919999999999999</v>
      </c>
      <c r="I981" s="13">
        <f t="shared" si="15"/>
        <v>3.1386459345643019</v>
      </c>
      <c r="J981" s="20"/>
    </row>
    <row r="982" spans="2:10">
      <c r="B982" s="47">
        <v>50</v>
      </c>
      <c r="C982" s="39">
        <v>1.6950000000000001</v>
      </c>
      <c r="D982" s="37">
        <v>113</v>
      </c>
      <c r="E982" s="38">
        <v>87.03</v>
      </c>
      <c r="F982" s="38">
        <v>36.049999999999997</v>
      </c>
      <c r="G982" s="38">
        <v>512.9</v>
      </c>
      <c r="H982" s="39">
        <v>3.2989999999999999</v>
      </c>
      <c r="I982" s="13">
        <f t="shared" si="15"/>
        <v>2.4141470180305133</v>
      </c>
      <c r="J982" s="20"/>
    </row>
    <row r="983" spans="2:10">
      <c r="C983" s="40">
        <v>2.1819999999999999</v>
      </c>
      <c r="D983" s="34">
        <v>134.80000000000001</v>
      </c>
      <c r="E983" s="23">
        <v>86.93</v>
      </c>
      <c r="F983" s="23">
        <v>36.75</v>
      </c>
      <c r="G983" s="23">
        <v>512.20000000000005</v>
      </c>
      <c r="H983" s="40">
        <v>3.3980000000000001</v>
      </c>
      <c r="I983" s="13">
        <f t="shared" si="15"/>
        <v>2.3654421768707485</v>
      </c>
      <c r="J983" s="20"/>
    </row>
    <row r="984" spans="2:10">
      <c r="C984" s="40">
        <v>2.1509999999999998</v>
      </c>
      <c r="D984" s="34">
        <v>117.5</v>
      </c>
      <c r="E984" s="23">
        <v>86.12</v>
      </c>
      <c r="F984" s="23">
        <v>36.85</v>
      </c>
      <c r="G984" s="23">
        <v>509.9</v>
      </c>
      <c r="H984" s="40">
        <v>3.419</v>
      </c>
      <c r="I984" s="13">
        <f t="shared" si="15"/>
        <v>2.3370420624151969</v>
      </c>
      <c r="J984" s="20"/>
    </row>
    <row r="985" spans="2:10">
      <c r="C985" s="40">
        <v>2.044</v>
      </c>
      <c r="D985" s="34">
        <v>132</v>
      </c>
      <c r="E985" s="23">
        <v>86.33</v>
      </c>
      <c r="F985" s="23">
        <v>36.81</v>
      </c>
      <c r="G985" s="23">
        <v>512</v>
      </c>
      <c r="H985" s="40">
        <v>3.367</v>
      </c>
      <c r="I985" s="13">
        <f t="shared" si="15"/>
        <v>2.3452866069002987</v>
      </c>
      <c r="J985" s="20"/>
    </row>
    <row r="986" spans="2:10">
      <c r="C986" s="40">
        <v>2.355</v>
      </c>
      <c r="D986" s="34">
        <v>118.3</v>
      </c>
      <c r="E986" s="23">
        <v>86.4</v>
      </c>
      <c r="F986" s="23">
        <v>37.43</v>
      </c>
      <c r="G986" s="23">
        <v>513.4</v>
      </c>
      <c r="H986" s="40">
        <v>3.427</v>
      </c>
      <c r="I986" s="13">
        <f t="shared" si="15"/>
        <v>2.3083088431739247</v>
      </c>
      <c r="J986" s="20"/>
    </row>
    <row r="987" spans="2:10">
      <c r="C987" s="40">
        <v>2.258</v>
      </c>
      <c r="D987" s="34">
        <v>113.3</v>
      </c>
      <c r="E987" s="23">
        <v>85.76</v>
      </c>
      <c r="F987" s="23">
        <v>37.840000000000003</v>
      </c>
      <c r="G987" s="23">
        <v>516.6</v>
      </c>
      <c r="H987" s="40">
        <v>3.3690000000000002</v>
      </c>
      <c r="I987" s="13">
        <f t="shared" si="15"/>
        <v>2.2663847780126849</v>
      </c>
      <c r="J987" s="20"/>
    </row>
    <row r="988" spans="2:10">
      <c r="C988" s="40">
        <v>2.173</v>
      </c>
      <c r="D988" s="34">
        <v>122.8</v>
      </c>
      <c r="E988" s="23">
        <v>85.97</v>
      </c>
      <c r="F988" s="23">
        <v>37.549999999999997</v>
      </c>
      <c r="G988" s="23">
        <v>511.5</v>
      </c>
      <c r="H988" s="40">
        <v>3.214</v>
      </c>
      <c r="I988" s="13">
        <f t="shared" si="15"/>
        <v>2.2894806924101201</v>
      </c>
      <c r="J988" s="20"/>
    </row>
    <row r="989" spans="2:10">
      <c r="C989" s="40">
        <v>2.0779999999999998</v>
      </c>
      <c r="D989" s="34">
        <v>113.3</v>
      </c>
      <c r="E989" s="23">
        <v>86.5</v>
      </c>
      <c r="F989" s="23">
        <v>37.24</v>
      </c>
      <c r="G989" s="23">
        <v>511.3</v>
      </c>
      <c r="H989" s="40">
        <v>3.141</v>
      </c>
      <c r="I989" s="13">
        <f t="shared" si="15"/>
        <v>2.3227712137486574</v>
      </c>
      <c r="J989" s="20"/>
    </row>
    <row r="990" spans="2:10">
      <c r="C990" s="40">
        <v>2.258</v>
      </c>
      <c r="D990" s="34">
        <v>115.7</v>
      </c>
      <c r="E990" s="23">
        <v>86.53</v>
      </c>
      <c r="F990" s="23">
        <v>37.17</v>
      </c>
      <c r="G990" s="23">
        <v>514.29999999999995</v>
      </c>
      <c r="H990" s="40">
        <v>3.4489999999999998</v>
      </c>
      <c r="I990" s="13">
        <f t="shared" si="15"/>
        <v>2.3279526499865484</v>
      </c>
      <c r="J990" s="20"/>
    </row>
    <row r="991" spans="2:10">
      <c r="C991" s="40">
        <v>2.044</v>
      </c>
      <c r="D991" s="34">
        <v>111.9</v>
      </c>
      <c r="E991" s="23">
        <v>86.96</v>
      </c>
      <c r="F991" s="23">
        <v>37.380000000000003</v>
      </c>
      <c r="G991" s="23">
        <v>516</v>
      </c>
      <c r="H991" s="40">
        <v>3.5659999999999998</v>
      </c>
      <c r="I991" s="13">
        <f t="shared" si="15"/>
        <v>2.3263777421080789</v>
      </c>
      <c r="J991" s="20"/>
    </row>
    <row r="992" spans="2:10">
      <c r="C992" s="40">
        <v>2.1509999999999998</v>
      </c>
      <c r="D992" s="34">
        <v>140.5</v>
      </c>
      <c r="E992" s="23">
        <v>86.89</v>
      </c>
      <c r="F992" s="23">
        <v>36.78</v>
      </c>
      <c r="G992" s="23">
        <v>515</v>
      </c>
      <c r="H992" s="40">
        <v>3.95</v>
      </c>
      <c r="I992" s="13">
        <f t="shared" si="15"/>
        <v>2.3624252311038609</v>
      </c>
      <c r="J992" s="20"/>
    </row>
    <row r="993" spans="2:10">
      <c r="C993" s="40">
        <v>2.1629999999999998</v>
      </c>
      <c r="D993" s="34">
        <v>117.5</v>
      </c>
      <c r="E993" s="23">
        <v>86.93</v>
      </c>
      <c r="F993" s="23">
        <v>36.53</v>
      </c>
      <c r="G993" s="23">
        <v>512.1</v>
      </c>
      <c r="H993" s="40">
        <v>4.1390000000000002</v>
      </c>
      <c r="I993" s="13">
        <f t="shared" si="15"/>
        <v>2.3796879277306324</v>
      </c>
      <c r="J993" s="20"/>
    </row>
    <row r="994" spans="2:10">
      <c r="C994" s="40">
        <v>2.544</v>
      </c>
      <c r="D994" s="34">
        <v>122.3</v>
      </c>
      <c r="E994" s="23">
        <v>86.05</v>
      </c>
      <c r="F994" s="23">
        <v>36.46</v>
      </c>
      <c r="G994" s="23">
        <v>507.8</v>
      </c>
      <c r="H994" s="40">
        <v>4.109</v>
      </c>
      <c r="I994" s="13">
        <f t="shared" si="15"/>
        <v>2.3601206801974763</v>
      </c>
      <c r="J994" s="20"/>
    </row>
    <row r="995" spans="2:10">
      <c r="C995" s="40">
        <v>2.206</v>
      </c>
      <c r="D995" s="34">
        <v>134.5</v>
      </c>
      <c r="E995" s="23">
        <v>86.12</v>
      </c>
      <c r="F995" s="23">
        <v>36.39</v>
      </c>
      <c r="G995" s="23">
        <v>507.5</v>
      </c>
      <c r="H995" s="40">
        <v>4.0229999999999997</v>
      </c>
      <c r="I995" s="13">
        <f t="shared" si="15"/>
        <v>2.3665842264358341</v>
      </c>
      <c r="J995" s="20"/>
    </row>
    <row r="996" spans="2:10">
      <c r="C996" s="40">
        <v>2.198</v>
      </c>
      <c r="D996" s="34">
        <v>129.30000000000001</v>
      </c>
      <c r="E996" s="23">
        <v>86.53</v>
      </c>
      <c r="F996" s="23">
        <v>37.28</v>
      </c>
      <c r="G996" s="23">
        <v>507.7</v>
      </c>
      <c r="H996" s="40">
        <v>3.4630000000000001</v>
      </c>
      <c r="I996" s="13">
        <f t="shared" si="15"/>
        <v>2.3210836909871246</v>
      </c>
      <c r="J996" s="20"/>
    </row>
    <row r="997" spans="2:10">
      <c r="C997" s="40">
        <v>2.1509999999999998</v>
      </c>
      <c r="D997" s="34">
        <v>134.80000000000001</v>
      </c>
      <c r="E997" s="23">
        <v>86.57</v>
      </c>
      <c r="F997" s="23">
        <v>37.58</v>
      </c>
      <c r="G997" s="23">
        <v>511.2</v>
      </c>
      <c r="H997" s="40">
        <v>3.375</v>
      </c>
      <c r="I997" s="13">
        <f t="shared" si="15"/>
        <v>2.3036189462480041</v>
      </c>
      <c r="J997" s="20"/>
    </row>
    <row r="998" spans="2:10">
      <c r="C998" s="40">
        <v>2.1070000000000002</v>
      </c>
      <c r="D998" s="34">
        <v>113</v>
      </c>
      <c r="E998" s="23">
        <v>87.15</v>
      </c>
      <c r="F998" s="23">
        <v>37.25</v>
      </c>
      <c r="G998" s="23">
        <v>514.6</v>
      </c>
      <c r="H998" s="40">
        <v>3.3</v>
      </c>
      <c r="I998" s="13">
        <f t="shared" si="15"/>
        <v>2.3395973154362419</v>
      </c>
      <c r="J998" s="20"/>
    </row>
    <row r="999" spans="2:10">
      <c r="C999" s="40">
        <v>2.044</v>
      </c>
      <c r="D999" s="34">
        <v>150.80000000000001</v>
      </c>
      <c r="E999" s="23">
        <v>86.61</v>
      </c>
      <c r="F999" s="23">
        <v>37.369999999999997</v>
      </c>
      <c r="G999" s="23">
        <v>511.8</v>
      </c>
      <c r="H999" s="40">
        <v>3.4049999999999998</v>
      </c>
      <c r="I999" s="13">
        <f t="shared" si="15"/>
        <v>2.3176344661493178</v>
      </c>
      <c r="J999" s="20"/>
    </row>
    <row r="1000" spans="2:10">
      <c r="C1000" s="40">
        <v>2.258</v>
      </c>
      <c r="D1000" s="34">
        <v>110.9</v>
      </c>
      <c r="E1000" s="23">
        <v>86.64</v>
      </c>
      <c r="F1000" s="23">
        <v>37.26</v>
      </c>
      <c r="G1000" s="23">
        <v>512.29999999999995</v>
      </c>
      <c r="H1000" s="40">
        <v>3.347</v>
      </c>
      <c r="I1000" s="13">
        <f t="shared" si="15"/>
        <v>2.3252818035426732</v>
      </c>
      <c r="J1000" s="20"/>
    </row>
    <row r="1001" spans="2:10">
      <c r="C1001" s="40">
        <v>2.173</v>
      </c>
      <c r="D1001" s="34">
        <v>113.3</v>
      </c>
      <c r="E1001" s="23">
        <v>86.43</v>
      </c>
      <c r="F1001" s="23">
        <v>37.619999999999997</v>
      </c>
      <c r="G1001" s="23">
        <v>510.7</v>
      </c>
      <c r="H1001" s="40">
        <v>3.419</v>
      </c>
      <c r="I1001" s="13">
        <f t="shared" si="15"/>
        <v>2.297448165869219</v>
      </c>
      <c r="J1001" s="20"/>
    </row>
    <row r="1002" spans="2:10">
      <c r="B1002" s="47">
        <v>51</v>
      </c>
      <c r="C1002" s="39">
        <v>2.67</v>
      </c>
      <c r="D1002" s="37">
        <v>170.7</v>
      </c>
      <c r="E1002" s="38">
        <v>71.87</v>
      </c>
      <c r="F1002" s="38">
        <v>16.899999999999999</v>
      </c>
      <c r="G1002" s="38">
        <v>531.70000000000005</v>
      </c>
      <c r="H1002" s="39">
        <v>3.3879999999999999</v>
      </c>
      <c r="I1002" s="13">
        <f t="shared" si="15"/>
        <v>4.2526627218934916</v>
      </c>
      <c r="J1002" s="20"/>
    </row>
    <row r="1003" spans="2:10">
      <c r="C1003" s="40">
        <v>2.5350000000000001</v>
      </c>
      <c r="D1003" s="34">
        <v>184.8</v>
      </c>
      <c r="E1003" s="23">
        <v>72.87</v>
      </c>
      <c r="F1003" s="23">
        <v>17.57</v>
      </c>
      <c r="G1003" s="23">
        <v>531</v>
      </c>
      <c r="H1003" s="40">
        <v>3.2130000000000001</v>
      </c>
      <c r="I1003" s="13">
        <f t="shared" si="15"/>
        <v>4.1474103585657369</v>
      </c>
      <c r="J1003" s="20"/>
    </row>
    <row r="1004" spans="2:10">
      <c r="C1004" s="40">
        <v>2.6429999999999998</v>
      </c>
      <c r="D1004" s="34">
        <v>141.9</v>
      </c>
      <c r="E1004" s="23">
        <v>73.209999999999994</v>
      </c>
      <c r="F1004" s="23">
        <v>18.97</v>
      </c>
      <c r="G1004" s="23">
        <v>533.20000000000005</v>
      </c>
      <c r="H1004" s="40">
        <v>3.3090000000000002</v>
      </c>
      <c r="I1004" s="13">
        <f t="shared" si="15"/>
        <v>3.8592514496573536</v>
      </c>
      <c r="J1004" s="20"/>
    </row>
    <row r="1005" spans="2:10">
      <c r="C1005" s="40">
        <v>2.488</v>
      </c>
      <c r="D1005" s="34">
        <v>159.1</v>
      </c>
      <c r="E1005" s="23">
        <v>75.209999999999994</v>
      </c>
      <c r="F1005" s="23">
        <v>19.48</v>
      </c>
      <c r="G1005" s="23">
        <v>537.5</v>
      </c>
      <c r="H1005" s="40">
        <v>3.3220000000000001</v>
      </c>
      <c r="I1005" s="13">
        <f t="shared" si="15"/>
        <v>3.8608829568788496</v>
      </c>
      <c r="J1005" s="20"/>
    </row>
    <row r="1006" spans="2:10">
      <c r="C1006" s="40">
        <v>2.2400000000000002</v>
      </c>
      <c r="D1006" s="34">
        <v>135.30000000000001</v>
      </c>
      <c r="E1006" s="23">
        <v>70.91</v>
      </c>
      <c r="F1006" s="23">
        <v>18.940000000000001</v>
      </c>
      <c r="G1006" s="23">
        <v>536.6</v>
      </c>
      <c r="H1006" s="40">
        <v>3.4369999999999998</v>
      </c>
      <c r="I1006" s="13">
        <f t="shared" si="15"/>
        <v>3.7439281942977822</v>
      </c>
      <c r="J1006" s="20"/>
    </row>
    <row r="1007" spans="2:10">
      <c r="C1007" s="40">
        <v>2.3570000000000002</v>
      </c>
      <c r="D1007" s="34">
        <v>170.7</v>
      </c>
      <c r="E1007" s="23">
        <v>71.44</v>
      </c>
      <c r="F1007" s="23">
        <v>18.96</v>
      </c>
      <c r="G1007" s="23">
        <v>533.79999999999995</v>
      </c>
      <c r="H1007" s="40">
        <v>3.26</v>
      </c>
      <c r="I1007" s="13">
        <f t="shared" si="15"/>
        <v>3.7679324894514763</v>
      </c>
      <c r="J1007" s="20"/>
    </row>
    <row r="1008" spans="2:10">
      <c r="C1008" s="40">
        <v>2.1709999999999998</v>
      </c>
      <c r="D1008" s="34">
        <v>179.3</v>
      </c>
      <c r="E1008" s="23">
        <v>71.72</v>
      </c>
      <c r="F1008" s="23">
        <v>18.18</v>
      </c>
      <c r="G1008" s="23">
        <v>538</v>
      </c>
      <c r="H1008" s="40">
        <v>3.464</v>
      </c>
      <c r="I1008" s="13">
        <f t="shared" si="15"/>
        <v>3.9449944994499448</v>
      </c>
      <c r="J1008" s="20"/>
    </row>
    <row r="1009" spans="2:10">
      <c r="C1009" s="40">
        <v>2.3039999999999998</v>
      </c>
      <c r="D1009" s="34">
        <v>153.19999999999999</v>
      </c>
      <c r="E1009" s="23">
        <v>72.010000000000005</v>
      </c>
      <c r="F1009" s="23">
        <v>18.68</v>
      </c>
      <c r="G1009" s="23">
        <v>531.70000000000005</v>
      </c>
      <c r="H1009" s="40">
        <v>3.371</v>
      </c>
      <c r="I1009" s="13">
        <f t="shared" si="15"/>
        <v>3.8549250535331909</v>
      </c>
      <c r="J1009" s="20"/>
    </row>
    <row r="1010" spans="2:10">
      <c r="C1010" s="40">
        <v>2.4900000000000002</v>
      </c>
      <c r="D1010" s="34">
        <v>153.1</v>
      </c>
      <c r="E1010" s="23">
        <v>71.45</v>
      </c>
      <c r="F1010" s="23">
        <v>19.79</v>
      </c>
      <c r="G1010" s="23">
        <v>531</v>
      </c>
      <c r="H1010" s="40">
        <v>3.242</v>
      </c>
      <c r="I1010" s="13">
        <f t="shared" si="15"/>
        <v>3.6104092976250635</v>
      </c>
      <c r="J1010" s="20"/>
    </row>
    <row r="1011" spans="2:10">
      <c r="C1011" s="40">
        <v>2.3740000000000001</v>
      </c>
      <c r="D1011" s="34">
        <v>144.69999999999999</v>
      </c>
      <c r="E1011" s="23">
        <v>72.66</v>
      </c>
      <c r="F1011" s="23">
        <v>19.329999999999998</v>
      </c>
      <c r="G1011" s="23">
        <v>533.20000000000005</v>
      </c>
      <c r="H1011" s="40">
        <v>3.323</v>
      </c>
      <c r="I1011" s="13">
        <f t="shared" si="15"/>
        <v>3.7589239524055875</v>
      </c>
      <c r="J1011" s="20"/>
    </row>
    <row r="1012" spans="2:10">
      <c r="C1012" s="40">
        <v>2.4860000000000002</v>
      </c>
      <c r="D1012" s="34">
        <v>196.5</v>
      </c>
      <c r="E1012" s="23">
        <v>71.77</v>
      </c>
      <c r="F1012" s="23">
        <v>19.93</v>
      </c>
      <c r="G1012" s="23">
        <v>531.70000000000005</v>
      </c>
      <c r="H1012" s="40">
        <v>3.3969999999999998</v>
      </c>
      <c r="I1012" s="13">
        <f t="shared" si="15"/>
        <v>3.601103863522328</v>
      </c>
      <c r="J1012" s="20"/>
    </row>
    <row r="1013" spans="2:10">
      <c r="C1013" s="40">
        <v>2.6829999999999998</v>
      </c>
      <c r="D1013" s="34">
        <v>184.8</v>
      </c>
      <c r="E1013" s="23">
        <v>72.22</v>
      </c>
      <c r="F1013" s="23">
        <v>18.59</v>
      </c>
      <c r="G1013" s="23">
        <v>532.6</v>
      </c>
      <c r="H1013" s="40">
        <v>3.2810000000000001</v>
      </c>
      <c r="I1013" s="13">
        <f t="shared" si="15"/>
        <v>3.8848843464228078</v>
      </c>
      <c r="J1013" s="20"/>
    </row>
    <row r="1014" spans="2:10">
      <c r="C1014" s="40">
        <v>2.1429999999999998</v>
      </c>
      <c r="D1014" s="34">
        <v>168.3</v>
      </c>
      <c r="E1014" s="23">
        <v>70.510000000000005</v>
      </c>
      <c r="F1014" s="23">
        <v>19.38</v>
      </c>
      <c r="G1014" s="23">
        <v>532</v>
      </c>
      <c r="H1014" s="40">
        <v>3.254</v>
      </c>
      <c r="I1014" s="13">
        <f t="shared" si="15"/>
        <v>3.6382868937048509</v>
      </c>
      <c r="J1014" s="20"/>
    </row>
    <row r="1015" spans="2:10">
      <c r="C1015" s="40">
        <v>2.6669999999999998</v>
      </c>
      <c r="D1015" s="34">
        <v>155.19999999999999</v>
      </c>
      <c r="E1015" s="23">
        <v>69.45</v>
      </c>
      <c r="F1015" s="23">
        <v>16.55</v>
      </c>
      <c r="G1015" s="23">
        <v>535.1</v>
      </c>
      <c r="H1015" s="40">
        <v>3.3450000000000002</v>
      </c>
      <c r="I1015" s="13">
        <f t="shared" si="15"/>
        <v>4.1963746223564957</v>
      </c>
      <c r="J1015" s="20"/>
    </row>
    <row r="1016" spans="2:10">
      <c r="C1016" s="40">
        <v>2.6059999999999999</v>
      </c>
      <c r="D1016" s="34">
        <v>139.1</v>
      </c>
      <c r="E1016" s="23">
        <v>67.5</v>
      </c>
      <c r="F1016" s="23">
        <v>19.48</v>
      </c>
      <c r="G1016" s="23">
        <v>532.5</v>
      </c>
      <c r="H1016" s="40">
        <v>3.0510000000000002</v>
      </c>
      <c r="I1016" s="13">
        <f t="shared" si="15"/>
        <v>3.4650924024640655</v>
      </c>
      <c r="J1016" s="20"/>
    </row>
    <row r="1017" spans="2:10">
      <c r="C1017" s="40">
        <v>2.5819999999999999</v>
      </c>
      <c r="D1017" s="34">
        <v>138.30000000000001</v>
      </c>
      <c r="E1017" s="23">
        <v>69.23</v>
      </c>
      <c r="F1017" s="23">
        <v>19.309999999999999</v>
      </c>
      <c r="G1017" s="23">
        <v>537</v>
      </c>
      <c r="H1017" s="40">
        <v>3.286</v>
      </c>
      <c r="I1017" s="13">
        <f t="shared" si="15"/>
        <v>3.5851890212325226</v>
      </c>
      <c r="J1017" s="20"/>
    </row>
    <row r="1018" spans="2:10">
      <c r="C1018" s="40">
        <v>2.609</v>
      </c>
      <c r="D1018" s="34">
        <v>127.5</v>
      </c>
      <c r="E1018" s="23">
        <v>70.88</v>
      </c>
      <c r="F1018" s="23">
        <v>19.260000000000002</v>
      </c>
      <c r="G1018" s="23">
        <v>540.79999999999995</v>
      </c>
      <c r="H1018" s="40">
        <v>3.2450000000000001</v>
      </c>
      <c r="I1018" s="13">
        <f t="shared" si="15"/>
        <v>3.6801661474558665</v>
      </c>
      <c r="J1018" s="20"/>
    </row>
    <row r="1019" spans="2:10">
      <c r="C1019" s="40">
        <v>2.331</v>
      </c>
      <c r="D1019" s="34">
        <v>149.5</v>
      </c>
      <c r="E1019" s="23">
        <v>71.150000000000006</v>
      </c>
      <c r="F1019" s="23">
        <v>20.260000000000002</v>
      </c>
      <c r="G1019" s="23">
        <v>538.4</v>
      </c>
      <c r="H1019" s="40">
        <v>3.278</v>
      </c>
      <c r="I1019" s="13">
        <f t="shared" si="15"/>
        <v>3.5118460019743338</v>
      </c>
      <c r="J1019" s="20"/>
    </row>
    <row r="1020" spans="2:10">
      <c r="C1020" s="40">
        <v>2.617</v>
      </c>
      <c r="D1020" s="34">
        <v>150.5</v>
      </c>
      <c r="E1020" s="23">
        <v>69.459999999999994</v>
      </c>
      <c r="F1020" s="23">
        <v>20.79</v>
      </c>
      <c r="G1020" s="23">
        <v>532.5</v>
      </c>
      <c r="H1020" s="40">
        <v>3.3450000000000002</v>
      </c>
      <c r="I1020" s="13">
        <f t="shared" si="15"/>
        <v>3.341029341029341</v>
      </c>
      <c r="J1020" s="20"/>
    </row>
    <row r="1021" spans="2:10">
      <c r="C1021" s="40">
        <v>1.946</v>
      </c>
      <c r="D1021" s="34">
        <v>147.30000000000001</v>
      </c>
      <c r="E1021" s="23">
        <v>71.34</v>
      </c>
      <c r="F1021" s="23">
        <v>18.84</v>
      </c>
      <c r="G1021" s="23">
        <v>530.4</v>
      </c>
      <c r="H1021" s="40">
        <v>3.4569999999999999</v>
      </c>
      <c r="I1021" s="13">
        <f t="shared" si="15"/>
        <v>3.7866242038216562</v>
      </c>
      <c r="J1021" s="20"/>
    </row>
    <row r="1022" spans="2:10">
      <c r="B1022" s="47">
        <v>52</v>
      </c>
      <c r="C1022" s="39">
        <v>2.2410000000000001</v>
      </c>
      <c r="D1022" s="37">
        <v>129.9</v>
      </c>
      <c r="E1022" s="38">
        <v>75.37</v>
      </c>
      <c r="F1022" s="38">
        <v>21.57</v>
      </c>
      <c r="G1022" s="38">
        <v>513</v>
      </c>
      <c r="H1022" s="39">
        <v>2.778</v>
      </c>
      <c r="I1022" s="13">
        <f t="shared" si="15"/>
        <v>3.4942049142327307</v>
      </c>
      <c r="J1022" s="20"/>
    </row>
    <row r="1023" spans="2:10">
      <c r="C1023" s="40">
        <v>2.21</v>
      </c>
      <c r="D1023" s="34">
        <v>102.8</v>
      </c>
      <c r="E1023" s="23">
        <v>73.84</v>
      </c>
      <c r="F1023" s="23">
        <v>23.09</v>
      </c>
      <c r="G1023" s="23">
        <v>514.6</v>
      </c>
      <c r="H1023" s="40">
        <v>2.7349999999999999</v>
      </c>
      <c r="I1023" s="13">
        <f t="shared" si="15"/>
        <v>3.1979211779991341</v>
      </c>
      <c r="J1023" s="20"/>
    </row>
    <row r="1024" spans="2:10">
      <c r="C1024" s="40">
        <v>2.2599999999999998</v>
      </c>
      <c r="D1024" s="34">
        <v>85.9</v>
      </c>
      <c r="E1024" s="23">
        <v>74.319999999999993</v>
      </c>
      <c r="F1024" s="23">
        <v>21.71</v>
      </c>
      <c r="G1024" s="23">
        <v>512.9</v>
      </c>
      <c r="H1024" s="40">
        <v>2.69</v>
      </c>
      <c r="I1024" s="13">
        <f t="shared" si="15"/>
        <v>3.4233072316904649</v>
      </c>
      <c r="J1024" s="20"/>
    </row>
    <row r="1025" spans="3:10">
      <c r="C1025" s="40">
        <v>2.2829999999999999</v>
      </c>
      <c r="D1025" s="34">
        <v>74.599999999999994</v>
      </c>
      <c r="E1025" s="23">
        <v>75.41</v>
      </c>
      <c r="F1025" s="23">
        <v>20.420000000000002</v>
      </c>
      <c r="G1025" s="23">
        <v>519.4</v>
      </c>
      <c r="H1025" s="40">
        <v>2.2069999999999999</v>
      </c>
      <c r="I1025" s="13">
        <f t="shared" si="15"/>
        <v>3.6929480901077372</v>
      </c>
      <c r="J1025" s="20"/>
    </row>
    <row r="1026" spans="3:10">
      <c r="C1026" s="40">
        <v>2.3010000000000002</v>
      </c>
      <c r="D1026" s="34">
        <v>104.7</v>
      </c>
      <c r="E1026" s="23">
        <v>72.239999999999995</v>
      </c>
      <c r="F1026" s="23">
        <v>20.72</v>
      </c>
      <c r="G1026" s="23">
        <v>523.20000000000005</v>
      </c>
      <c r="H1026" s="40">
        <v>2.2850000000000001</v>
      </c>
      <c r="I1026" s="13">
        <f t="shared" si="15"/>
        <v>3.4864864864864864</v>
      </c>
      <c r="J1026" s="20"/>
    </row>
    <row r="1027" spans="3:10">
      <c r="C1027" s="40">
        <v>2.319</v>
      </c>
      <c r="D1027" s="34">
        <v>154.30000000000001</v>
      </c>
      <c r="E1027" s="23">
        <v>74</v>
      </c>
      <c r="F1027" s="23">
        <v>21.69</v>
      </c>
      <c r="G1027" s="23">
        <v>521.9</v>
      </c>
      <c r="H1027" s="40">
        <v>2.5499999999999998</v>
      </c>
      <c r="I1027" s="13">
        <f t="shared" ref="I1027:I1090" si="16">E1027/F1027</f>
        <v>3.4117104656523742</v>
      </c>
      <c r="J1027" s="20"/>
    </row>
    <row r="1028" spans="3:10">
      <c r="C1028" s="40">
        <v>2.2599999999999998</v>
      </c>
      <c r="D1028" s="34">
        <v>114.6</v>
      </c>
      <c r="E1028" s="23">
        <v>73.33</v>
      </c>
      <c r="F1028" s="23">
        <v>20.49</v>
      </c>
      <c r="G1028" s="23">
        <v>519.4</v>
      </c>
      <c r="H1028" s="40">
        <v>3.1059999999999999</v>
      </c>
      <c r="I1028" s="13">
        <f t="shared" si="16"/>
        <v>3.5788189360663742</v>
      </c>
      <c r="J1028" s="20"/>
    </row>
    <row r="1029" spans="3:10">
      <c r="C1029" s="40">
        <v>2.2309999999999999</v>
      </c>
      <c r="D1029" s="34">
        <v>107.6</v>
      </c>
      <c r="E1029" s="23">
        <v>72.349999999999994</v>
      </c>
      <c r="F1029" s="23">
        <v>22.23</v>
      </c>
      <c r="G1029" s="23">
        <v>511.8</v>
      </c>
      <c r="H1029" s="40">
        <v>3.4350000000000001</v>
      </c>
      <c r="I1029" s="13">
        <f t="shared" si="16"/>
        <v>3.2546108861898331</v>
      </c>
      <c r="J1029" s="20"/>
    </row>
    <row r="1030" spans="3:10">
      <c r="C1030" s="40">
        <v>2.2749999999999999</v>
      </c>
      <c r="D1030" s="34">
        <v>112.6</v>
      </c>
      <c r="E1030" s="23">
        <v>70.7</v>
      </c>
      <c r="F1030" s="23">
        <v>25.04</v>
      </c>
      <c r="G1030" s="23">
        <v>528.79999999999995</v>
      </c>
      <c r="H1030" s="40">
        <v>2.4</v>
      </c>
      <c r="I1030" s="13">
        <f t="shared" si="16"/>
        <v>2.8234824281150162</v>
      </c>
      <c r="J1030" s="20"/>
    </row>
    <row r="1031" spans="3:10">
      <c r="C1031" s="40">
        <v>2.3180000000000001</v>
      </c>
      <c r="D1031" s="34">
        <v>87.6</v>
      </c>
      <c r="E1031" s="23">
        <v>74.77</v>
      </c>
      <c r="F1031" s="23">
        <v>24.17</v>
      </c>
      <c r="G1031" s="23">
        <v>523.4</v>
      </c>
      <c r="H1031" s="40">
        <v>2.2330000000000001</v>
      </c>
      <c r="I1031" s="13">
        <f t="shared" si="16"/>
        <v>3.0935043442283821</v>
      </c>
      <c r="J1031" s="20"/>
    </row>
    <row r="1032" spans="3:10">
      <c r="C1032" s="40">
        <v>2.2909999999999999</v>
      </c>
      <c r="D1032" s="34">
        <v>63.7</v>
      </c>
      <c r="E1032" s="23">
        <v>73.11</v>
      </c>
      <c r="F1032" s="23">
        <v>21.9</v>
      </c>
      <c r="G1032" s="23">
        <v>525.1</v>
      </c>
      <c r="H1032" s="40">
        <v>2.7719999999999998</v>
      </c>
      <c r="I1032" s="13">
        <f t="shared" si="16"/>
        <v>3.338356164383562</v>
      </c>
      <c r="J1032" s="20"/>
    </row>
    <row r="1033" spans="3:10">
      <c r="C1033" s="40">
        <v>1.778</v>
      </c>
      <c r="D1033" s="34">
        <v>103.3</v>
      </c>
      <c r="E1033" s="23">
        <v>72.97</v>
      </c>
      <c r="F1033" s="23">
        <v>24.03</v>
      </c>
      <c r="G1033" s="23">
        <v>516.79999999999995</v>
      </c>
      <c r="H1033" s="40">
        <v>2.3610000000000002</v>
      </c>
      <c r="I1033" s="13">
        <f t="shared" si="16"/>
        <v>3.0366208905534746</v>
      </c>
      <c r="J1033" s="20"/>
    </row>
    <row r="1034" spans="3:10">
      <c r="C1034" s="40">
        <v>2.1240000000000001</v>
      </c>
      <c r="D1034" s="34">
        <v>96.1</v>
      </c>
      <c r="E1034" s="23">
        <v>72.56</v>
      </c>
      <c r="F1034" s="23">
        <v>20.96</v>
      </c>
      <c r="G1034" s="23">
        <v>516.5</v>
      </c>
      <c r="H1034" s="40">
        <v>2.778</v>
      </c>
      <c r="I1034" s="13">
        <f t="shared" si="16"/>
        <v>3.4618320610687023</v>
      </c>
      <c r="J1034" s="20"/>
    </row>
    <row r="1035" spans="3:10">
      <c r="C1035" s="40">
        <v>1.9610000000000001</v>
      </c>
      <c r="D1035" s="34">
        <v>111.8</v>
      </c>
      <c r="E1035" s="23">
        <v>74.680000000000007</v>
      </c>
      <c r="F1035" s="23">
        <v>20.37</v>
      </c>
      <c r="G1035" s="23">
        <v>515.1</v>
      </c>
      <c r="H1035" s="40">
        <v>2.3159999999999998</v>
      </c>
      <c r="I1035" s="13">
        <f t="shared" si="16"/>
        <v>3.6661757486499758</v>
      </c>
      <c r="J1035" s="20"/>
    </row>
    <row r="1036" spans="3:10">
      <c r="C1036" s="40">
        <v>1.8779999999999999</v>
      </c>
      <c r="D1036" s="34">
        <v>81</v>
      </c>
      <c r="E1036" s="23">
        <v>74.2</v>
      </c>
      <c r="F1036" s="23">
        <v>21.05</v>
      </c>
      <c r="G1036" s="23">
        <v>512.9</v>
      </c>
      <c r="H1036" s="40">
        <v>2.3639999999999999</v>
      </c>
      <c r="I1036" s="13">
        <f t="shared" si="16"/>
        <v>3.5249406175771973</v>
      </c>
      <c r="J1036" s="20"/>
    </row>
    <row r="1037" spans="3:10">
      <c r="C1037" s="40">
        <v>2.0609999999999999</v>
      </c>
      <c r="D1037" s="34">
        <v>74.900000000000006</v>
      </c>
      <c r="E1037" s="23">
        <v>72.760000000000005</v>
      </c>
      <c r="F1037" s="23">
        <v>22.11</v>
      </c>
      <c r="G1037" s="23">
        <v>521.70000000000005</v>
      </c>
      <c r="H1037" s="40">
        <v>2.3759999999999999</v>
      </c>
      <c r="I1037" s="13">
        <f t="shared" si="16"/>
        <v>3.2908186341022163</v>
      </c>
      <c r="J1037" s="20"/>
    </row>
    <row r="1038" spans="3:10">
      <c r="C1038" s="40">
        <v>2.008</v>
      </c>
      <c r="D1038" s="34">
        <v>72</v>
      </c>
      <c r="E1038" s="23">
        <v>74.05</v>
      </c>
      <c r="F1038" s="23">
        <v>21.22</v>
      </c>
      <c r="G1038" s="23">
        <v>524.6</v>
      </c>
      <c r="H1038" s="40">
        <v>3.11</v>
      </c>
      <c r="I1038" s="13">
        <f t="shared" si="16"/>
        <v>3.4896324222431669</v>
      </c>
      <c r="J1038" s="20"/>
    </row>
    <row r="1039" spans="3:10">
      <c r="C1039" s="40">
        <v>2.1080000000000001</v>
      </c>
      <c r="D1039" s="34">
        <v>89.6</v>
      </c>
      <c r="E1039" s="23">
        <v>73.5</v>
      </c>
      <c r="F1039" s="23">
        <v>23.54</v>
      </c>
      <c r="G1039" s="23">
        <v>524</v>
      </c>
      <c r="H1039" s="40">
        <v>2.585</v>
      </c>
      <c r="I1039" s="13">
        <f t="shared" si="16"/>
        <v>3.1223449447748512</v>
      </c>
      <c r="J1039" s="20"/>
    </row>
    <row r="1040" spans="3:10">
      <c r="C1040" s="40">
        <v>2.1659999999999999</v>
      </c>
      <c r="D1040" s="34">
        <v>86.6</v>
      </c>
      <c r="E1040" s="23">
        <v>73.94</v>
      </c>
      <c r="F1040" s="23">
        <v>22.46</v>
      </c>
      <c r="G1040" s="23">
        <v>521.29999999999995</v>
      </c>
      <c r="H1040" s="40">
        <v>2.3639999999999999</v>
      </c>
      <c r="I1040" s="13">
        <f t="shared" si="16"/>
        <v>3.2920747996438111</v>
      </c>
      <c r="J1040" s="20"/>
    </row>
    <row r="1041" spans="2:10">
      <c r="C1041" s="40">
        <v>1.9450000000000001</v>
      </c>
      <c r="D1041" s="34">
        <v>114</v>
      </c>
      <c r="E1041" s="23">
        <v>72.239999999999995</v>
      </c>
      <c r="F1041" s="23">
        <v>21.4</v>
      </c>
      <c r="G1041" s="23">
        <v>522.29999999999995</v>
      </c>
      <c r="H1041" s="40">
        <v>2.758</v>
      </c>
      <c r="I1041" s="13">
        <f t="shared" si="16"/>
        <v>3.3757009345794393</v>
      </c>
      <c r="J1041" s="20"/>
    </row>
    <row r="1042" spans="2:10">
      <c r="B1042" s="47">
        <v>53</v>
      </c>
      <c r="C1042" s="39">
        <v>2.149</v>
      </c>
      <c r="D1042" s="37">
        <v>111.3</v>
      </c>
      <c r="E1042" s="38">
        <v>74.12</v>
      </c>
      <c r="F1042" s="38">
        <v>15.87</v>
      </c>
      <c r="G1042" s="38">
        <v>510</v>
      </c>
      <c r="H1042" s="39">
        <v>2.4540000000000002</v>
      </c>
      <c r="I1042" s="13">
        <f t="shared" si="16"/>
        <v>4.6704473850031514</v>
      </c>
      <c r="J1042" s="20"/>
    </row>
    <row r="1043" spans="2:10">
      <c r="C1043" s="40">
        <v>2.2639999999999998</v>
      </c>
      <c r="D1043" s="34">
        <v>98.9</v>
      </c>
      <c r="E1043" s="23">
        <v>74.42</v>
      </c>
      <c r="F1043" s="23">
        <v>15.19</v>
      </c>
      <c r="G1043" s="23">
        <v>511.5</v>
      </c>
      <c r="H1043" s="40">
        <v>2.331</v>
      </c>
      <c r="I1043" s="13">
        <f t="shared" si="16"/>
        <v>4.8992758393680056</v>
      </c>
      <c r="J1043" s="20"/>
    </row>
    <row r="1044" spans="2:10">
      <c r="C1044" s="40">
        <v>2.0169999999999999</v>
      </c>
      <c r="D1044" s="34">
        <v>86.4</v>
      </c>
      <c r="E1044" s="23">
        <v>73.400000000000006</v>
      </c>
      <c r="F1044" s="23">
        <v>15.71</v>
      </c>
      <c r="G1044" s="23">
        <v>511.1</v>
      </c>
      <c r="H1044" s="40">
        <v>2.1030000000000002</v>
      </c>
      <c r="I1044" s="13">
        <f t="shared" si="16"/>
        <v>4.6721833227243792</v>
      </c>
      <c r="J1044" s="20"/>
    </row>
    <row r="1045" spans="2:10">
      <c r="C1045" s="40">
        <v>2.2130000000000001</v>
      </c>
      <c r="D1045" s="34">
        <v>75.5</v>
      </c>
      <c r="E1045" s="23">
        <v>74.39</v>
      </c>
      <c r="F1045" s="23">
        <v>14.43</v>
      </c>
      <c r="G1045" s="23">
        <v>505.6</v>
      </c>
      <c r="H1045" s="40">
        <v>2.1760000000000002</v>
      </c>
      <c r="I1045" s="13">
        <f t="shared" si="16"/>
        <v>5.1552321552321549</v>
      </c>
      <c r="J1045" s="20"/>
    </row>
    <row r="1046" spans="2:10">
      <c r="C1046" s="40">
        <v>2.0979999999999999</v>
      </c>
      <c r="D1046" s="34">
        <v>134.4</v>
      </c>
      <c r="E1046" s="23">
        <v>74.98</v>
      </c>
      <c r="F1046" s="23">
        <v>15.79</v>
      </c>
      <c r="G1046" s="23">
        <v>509.8</v>
      </c>
      <c r="H1046" s="40">
        <v>2.3849999999999998</v>
      </c>
      <c r="I1046" s="13">
        <f t="shared" si="16"/>
        <v>4.7485750474984174</v>
      </c>
      <c r="J1046" s="20"/>
    </row>
    <row r="1047" spans="2:10">
      <c r="C1047" s="40">
        <v>2.1440000000000001</v>
      </c>
      <c r="D1047" s="34">
        <v>96.8</v>
      </c>
      <c r="E1047" s="23">
        <v>74.11</v>
      </c>
      <c r="F1047" s="23">
        <v>15.54</v>
      </c>
      <c r="G1047" s="23">
        <v>510.8</v>
      </c>
      <c r="H1047" s="40">
        <v>2.7690000000000001</v>
      </c>
      <c r="I1047" s="13">
        <f t="shared" si="16"/>
        <v>4.768983268983269</v>
      </c>
      <c r="J1047" s="20"/>
    </row>
    <row r="1048" spans="2:10">
      <c r="C1048" s="40">
        <v>2.2679999999999998</v>
      </c>
      <c r="D1048" s="34">
        <v>69</v>
      </c>
      <c r="E1048" s="23">
        <v>75</v>
      </c>
      <c r="F1048" s="23">
        <v>14.98</v>
      </c>
      <c r="G1048" s="23">
        <v>505.8</v>
      </c>
      <c r="H1048" s="40">
        <v>2.38</v>
      </c>
      <c r="I1048" s="13">
        <f t="shared" si="16"/>
        <v>5.0066755674232306</v>
      </c>
      <c r="J1048" s="20"/>
    </row>
    <row r="1049" spans="2:10">
      <c r="C1049" s="40">
        <v>2.1760000000000002</v>
      </c>
      <c r="D1049" s="34">
        <v>70.099999999999994</v>
      </c>
      <c r="E1049" s="23">
        <v>75.97</v>
      </c>
      <c r="F1049" s="23">
        <v>14.86</v>
      </c>
      <c r="G1049" s="23">
        <v>506.6</v>
      </c>
      <c r="H1049" s="40">
        <v>2.7250000000000001</v>
      </c>
      <c r="I1049" s="13">
        <f t="shared" si="16"/>
        <v>5.1123822341857332</v>
      </c>
      <c r="J1049" s="20"/>
    </row>
    <row r="1050" spans="2:10">
      <c r="C1050" s="40">
        <v>2.2170000000000001</v>
      </c>
      <c r="D1050" s="34">
        <v>76.5</v>
      </c>
      <c r="E1050" s="23">
        <v>75.22</v>
      </c>
      <c r="F1050" s="23">
        <v>15.71</v>
      </c>
      <c r="G1050" s="23">
        <v>506.7</v>
      </c>
      <c r="H1050" s="40">
        <v>2.2040000000000002</v>
      </c>
      <c r="I1050" s="13">
        <f t="shared" si="16"/>
        <v>4.7880330999363458</v>
      </c>
      <c r="J1050" s="20"/>
    </row>
    <row r="1051" spans="2:10">
      <c r="C1051" s="40">
        <v>2</v>
      </c>
      <c r="D1051" s="34">
        <v>98.9</v>
      </c>
      <c r="E1051" s="23">
        <v>74.19</v>
      </c>
      <c r="F1051" s="23">
        <v>15.8</v>
      </c>
      <c r="G1051" s="23">
        <v>510.9</v>
      </c>
      <c r="H1051" s="40">
        <v>2.4580000000000002</v>
      </c>
      <c r="I1051" s="13">
        <f t="shared" si="16"/>
        <v>4.6955696202531643</v>
      </c>
      <c r="J1051" s="20"/>
    </row>
    <row r="1052" spans="2:10">
      <c r="C1052" s="40">
        <v>2.2639999999999998</v>
      </c>
      <c r="D1052" s="34">
        <v>74.3</v>
      </c>
      <c r="E1052" s="23">
        <v>74.91</v>
      </c>
      <c r="F1052" s="23">
        <v>14.88</v>
      </c>
      <c r="G1052" s="23">
        <v>510.6</v>
      </c>
      <c r="H1052" s="40">
        <v>3.052</v>
      </c>
      <c r="I1052" s="13">
        <f t="shared" si="16"/>
        <v>5.034274193548387</v>
      </c>
      <c r="J1052" s="20"/>
    </row>
    <row r="1053" spans="2:10">
      <c r="C1053" s="40">
        <v>2.1440000000000001</v>
      </c>
      <c r="D1053" s="34">
        <v>87.1</v>
      </c>
      <c r="E1053" s="23">
        <v>78.319999999999993</v>
      </c>
      <c r="F1053" s="23">
        <v>15.69</v>
      </c>
      <c r="G1053" s="23">
        <v>511.5</v>
      </c>
      <c r="H1053" s="40">
        <v>2.2509999999999999</v>
      </c>
      <c r="I1053" s="13">
        <f t="shared" si="16"/>
        <v>4.9917144678138943</v>
      </c>
      <c r="J1053" s="20"/>
    </row>
    <row r="1054" spans="2:10">
      <c r="C1054" s="40">
        <v>1.966</v>
      </c>
      <c r="D1054" s="34">
        <v>97.4</v>
      </c>
      <c r="E1054" s="23">
        <v>77.13</v>
      </c>
      <c r="F1054" s="23">
        <v>14.33</v>
      </c>
      <c r="G1054" s="23">
        <v>516.29999999999995</v>
      </c>
      <c r="H1054" s="40">
        <v>2.7829999999999999</v>
      </c>
      <c r="I1054" s="13">
        <f t="shared" si="16"/>
        <v>5.3824145150034886</v>
      </c>
      <c r="J1054" s="20"/>
    </row>
    <row r="1055" spans="2:10">
      <c r="C1055" s="40">
        <v>1.8839999999999999</v>
      </c>
      <c r="D1055" s="34">
        <v>73.7</v>
      </c>
      <c r="E1055" s="23">
        <v>76.12</v>
      </c>
      <c r="F1055" s="23">
        <v>15</v>
      </c>
      <c r="G1055" s="23">
        <v>512.79999999999995</v>
      </c>
      <c r="H1055" s="40">
        <v>2.0699999999999998</v>
      </c>
      <c r="I1055" s="13">
        <f t="shared" si="16"/>
        <v>5.0746666666666673</v>
      </c>
      <c r="J1055" s="20"/>
    </row>
    <row r="1056" spans="2:10">
      <c r="C1056" s="40">
        <v>2.16</v>
      </c>
      <c r="D1056" s="34">
        <v>78</v>
      </c>
      <c r="E1056" s="23">
        <v>78.5</v>
      </c>
      <c r="F1056" s="23">
        <v>15.23</v>
      </c>
      <c r="G1056" s="23">
        <v>511.5</v>
      </c>
      <c r="H1056" s="40">
        <v>2.1840000000000002</v>
      </c>
      <c r="I1056" s="13">
        <f t="shared" si="16"/>
        <v>5.1543007222587001</v>
      </c>
      <c r="J1056" s="20"/>
    </row>
    <row r="1057" spans="2:10">
      <c r="C1057" s="40">
        <v>2.1850000000000001</v>
      </c>
      <c r="D1057" s="34">
        <v>85.7</v>
      </c>
      <c r="E1057" s="23">
        <v>77.38</v>
      </c>
      <c r="F1057" s="23">
        <v>15.02</v>
      </c>
      <c r="G1057" s="23">
        <v>514.5</v>
      </c>
      <c r="H1057" s="40">
        <v>2.165</v>
      </c>
      <c r="I1057" s="13">
        <f t="shared" si="16"/>
        <v>5.1517976031957389</v>
      </c>
      <c r="J1057" s="20"/>
    </row>
    <row r="1058" spans="2:10">
      <c r="C1058" s="40">
        <v>2.2469999999999999</v>
      </c>
      <c r="D1058" s="34">
        <v>81</v>
      </c>
      <c r="E1058" s="23">
        <v>78.33</v>
      </c>
      <c r="F1058" s="23">
        <v>14.99</v>
      </c>
      <c r="G1058" s="23">
        <v>515.5</v>
      </c>
      <c r="H1058" s="40">
        <v>2.7269999999999999</v>
      </c>
      <c r="I1058" s="13">
        <f t="shared" si="16"/>
        <v>5.2254836557705131</v>
      </c>
      <c r="J1058" s="20"/>
    </row>
    <row r="1059" spans="2:10">
      <c r="C1059" s="40">
        <v>1.9359999999999999</v>
      </c>
      <c r="D1059" s="34">
        <v>78</v>
      </c>
      <c r="E1059" s="23">
        <v>77.53</v>
      </c>
      <c r="F1059" s="23">
        <v>15.34</v>
      </c>
      <c r="G1059" s="23">
        <v>509.8</v>
      </c>
      <c r="H1059" s="40">
        <v>2.1150000000000002</v>
      </c>
      <c r="I1059" s="13">
        <f t="shared" si="16"/>
        <v>5.0541069100391134</v>
      </c>
      <c r="J1059" s="20"/>
    </row>
    <row r="1060" spans="2:10">
      <c r="C1060" s="40">
        <v>2.1240000000000001</v>
      </c>
      <c r="D1060" s="34">
        <v>87.1</v>
      </c>
      <c r="E1060" s="23">
        <v>76.900000000000006</v>
      </c>
      <c r="F1060" s="23">
        <v>15.8</v>
      </c>
      <c r="G1060" s="23">
        <v>510.3</v>
      </c>
      <c r="H1060" s="40">
        <v>2.6070000000000002</v>
      </c>
      <c r="I1060" s="13">
        <f t="shared" si="16"/>
        <v>4.8670886075949369</v>
      </c>
      <c r="J1060" s="20"/>
    </row>
    <row r="1061" spans="2:10">
      <c r="C1061" s="40">
        <v>2.2639999999999998</v>
      </c>
      <c r="D1061" s="34">
        <v>111</v>
      </c>
      <c r="E1061" s="23">
        <v>77.45</v>
      </c>
      <c r="F1061" s="23">
        <v>15.41</v>
      </c>
      <c r="G1061" s="23">
        <v>505.7</v>
      </c>
      <c r="H1061" s="40">
        <v>2.0659999999999998</v>
      </c>
      <c r="I1061" s="13">
        <f t="shared" si="16"/>
        <v>5.0259571706683976</v>
      </c>
      <c r="J1061" s="20"/>
    </row>
    <row r="1062" spans="2:10">
      <c r="B1062" s="47">
        <v>54</v>
      </c>
      <c r="C1062" s="39">
        <v>2.8879999999999999</v>
      </c>
      <c r="D1062" s="37">
        <v>142</v>
      </c>
      <c r="E1062" s="38">
        <v>87.61</v>
      </c>
      <c r="F1062" s="38">
        <v>14.4</v>
      </c>
      <c r="G1062" s="38">
        <v>492.7</v>
      </c>
      <c r="H1062" s="39">
        <v>3.6760000000000002</v>
      </c>
      <c r="I1062" s="13">
        <f t="shared" si="16"/>
        <v>6.0840277777777771</v>
      </c>
      <c r="J1062" s="20"/>
    </row>
    <row r="1063" spans="2:10">
      <c r="C1063" s="40">
        <v>2.827</v>
      </c>
      <c r="D1063" s="34">
        <v>144.5</v>
      </c>
      <c r="E1063" s="23">
        <v>87.39</v>
      </c>
      <c r="F1063" s="23">
        <v>14.12</v>
      </c>
      <c r="G1063" s="23">
        <v>496.1</v>
      </c>
      <c r="H1063" s="40">
        <v>3.5819999999999999</v>
      </c>
      <c r="I1063" s="13">
        <f t="shared" si="16"/>
        <v>6.1890934844192635</v>
      </c>
      <c r="J1063" s="20"/>
    </row>
    <row r="1064" spans="2:10">
      <c r="C1064" s="40">
        <v>2.69</v>
      </c>
      <c r="D1064" s="34">
        <v>133.4</v>
      </c>
      <c r="E1064" s="23">
        <v>87.21</v>
      </c>
      <c r="F1064" s="23">
        <v>15.21</v>
      </c>
      <c r="G1064" s="23">
        <v>513.20000000000005</v>
      </c>
      <c r="H1064" s="40">
        <v>3.4750000000000001</v>
      </c>
      <c r="I1064" s="13">
        <f t="shared" si="16"/>
        <v>5.7337278106508869</v>
      </c>
      <c r="J1064" s="20"/>
    </row>
    <row r="1065" spans="2:10">
      <c r="C1065" s="40">
        <v>2.3940000000000001</v>
      </c>
      <c r="D1065" s="34">
        <v>167.6</v>
      </c>
      <c r="E1065" s="23">
        <v>87.34</v>
      </c>
      <c r="F1065" s="23">
        <v>14.32</v>
      </c>
      <c r="G1065" s="23">
        <v>491.3</v>
      </c>
      <c r="H1065" s="40">
        <v>3.6160000000000001</v>
      </c>
      <c r="I1065" s="13">
        <f t="shared" si="16"/>
        <v>6.0991620111731848</v>
      </c>
      <c r="J1065" s="20"/>
    </row>
    <row r="1066" spans="2:10">
      <c r="C1066" s="40">
        <v>2.8740000000000001</v>
      </c>
      <c r="D1066" s="34">
        <v>157.19999999999999</v>
      </c>
      <c r="E1066" s="23">
        <v>87.02</v>
      </c>
      <c r="F1066" s="23">
        <v>14.33</v>
      </c>
      <c r="G1066" s="23">
        <v>492.8</v>
      </c>
      <c r="H1066" s="40">
        <v>3.5369999999999999</v>
      </c>
      <c r="I1066" s="13">
        <f t="shared" si="16"/>
        <v>6.0725750174459172</v>
      </c>
      <c r="J1066" s="20"/>
    </row>
    <row r="1067" spans="2:10">
      <c r="C1067" s="40">
        <v>2.681</v>
      </c>
      <c r="D1067" s="34">
        <v>168.5</v>
      </c>
      <c r="E1067" s="23">
        <v>87.44</v>
      </c>
      <c r="F1067" s="23">
        <v>14.1</v>
      </c>
      <c r="G1067" s="23">
        <v>490.4</v>
      </c>
      <c r="H1067" s="40">
        <v>3.4990000000000001</v>
      </c>
      <c r="I1067" s="13">
        <f t="shared" si="16"/>
        <v>6.2014184397163117</v>
      </c>
      <c r="J1067" s="20"/>
    </row>
    <row r="1068" spans="2:10">
      <c r="C1068" s="40">
        <v>2.6869999999999998</v>
      </c>
      <c r="D1068" s="34">
        <v>134.6</v>
      </c>
      <c r="E1068" s="23">
        <v>87.51</v>
      </c>
      <c r="F1068" s="23">
        <v>14.43</v>
      </c>
      <c r="G1068" s="23">
        <v>496</v>
      </c>
      <c r="H1068" s="40">
        <v>3.613</v>
      </c>
      <c r="I1068" s="13">
        <f t="shared" si="16"/>
        <v>6.0644490644490645</v>
      </c>
      <c r="J1068" s="20"/>
    </row>
    <row r="1069" spans="2:10">
      <c r="C1069" s="40">
        <v>2.4140000000000001</v>
      </c>
      <c r="D1069" s="34">
        <v>194.1</v>
      </c>
      <c r="E1069" s="23">
        <v>86.66</v>
      </c>
      <c r="F1069" s="23">
        <v>14.58</v>
      </c>
      <c r="G1069" s="23">
        <v>500.1</v>
      </c>
      <c r="H1069" s="40">
        <v>3.4750000000000001</v>
      </c>
      <c r="I1069" s="13">
        <f t="shared" si="16"/>
        <v>5.9437585733882026</v>
      </c>
      <c r="J1069" s="20"/>
    </row>
    <row r="1070" spans="2:10">
      <c r="C1070" s="40">
        <v>2.7189999999999999</v>
      </c>
      <c r="D1070" s="34">
        <v>144</v>
      </c>
      <c r="E1070" s="23">
        <v>87</v>
      </c>
      <c r="F1070" s="23">
        <v>14.67</v>
      </c>
      <c r="G1070" s="23">
        <v>515.9</v>
      </c>
      <c r="H1070" s="40">
        <v>3.5059999999999998</v>
      </c>
      <c r="I1070" s="13">
        <f t="shared" si="16"/>
        <v>5.9304703476482619</v>
      </c>
      <c r="J1070" s="20"/>
    </row>
    <row r="1071" spans="2:10">
      <c r="C1071" s="40">
        <v>2.827</v>
      </c>
      <c r="D1071" s="34">
        <v>142</v>
      </c>
      <c r="E1071" s="23">
        <v>86.78</v>
      </c>
      <c r="F1071" s="23">
        <v>14.23</v>
      </c>
      <c r="G1071" s="23">
        <v>520.5</v>
      </c>
      <c r="H1071" s="40">
        <v>3.5219999999999998</v>
      </c>
      <c r="I1071" s="13">
        <f t="shared" si="16"/>
        <v>6.0983836964160227</v>
      </c>
      <c r="J1071" s="20"/>
    </row>
    <row r="1072" spans="2:10">
      <c r="C1072" s="40">
        <v>2.8980000000000001</v>
      </c>
      <c r="D1072" s="34">
        <v>144.19999999999999</v>
      </c>
      <c r="E1072" s="23">
        <v>86.9</v>
      </c>
      <c r="F1072" s="23">
        <v>14.81</v>
      </c>
      <c r="G1072" s="23">
        <v>524.79999999999995</v>
      </c>
      <c r="H1072" s="40">
        <v>3.5259999999999998</v>
      </c>
      <c r="I1072" s="13">
        <f t="shared" si="16"/>
        <v>5.8676569885212695</v>
      </c>
      <c r="J1072" s="20"/>
    </row>
    <row r="1073" spans="2:10">
      <c r="C1073" s="40">
        <v>2.8050000000000002</v>
      </c>
      <c r="D1073" s="34">
        <v>176.4</v>
      </c>
      <c r="E1073" s="23">
        <v>87.21</v>
      </c>
      <c r="F1073" s="23">
        <v>15.03</v>
      </c>
      <c r="G1073" s="23">
        <v>519.9</v>
      </c>
      <c r="H1073" s="40">
        <v>3.5609999999999999</v>
      </c>
      <c r="I1073" s="13">
        <f t="shared" si="16"/>
        <v>5.8023952095808378</v>
      </c>
      <c r="J1073" s="20"/>
    </row>
    <row r="1074" spans="2:10">
      <c r="C1074" s="40">
        <v>2.8740000000000001</v>
      </c>
      <c r="D1074" s="34">
        <v>175</v>
      </c>
      <c r="E1074" s="23">
        <v>86.7</v>
      </c>
      <c r="F1074" s="23">
        <v>14.96</v>
      </c>
      <c r="G1074" s="23">
        <v>514.4</v>
      </c>
      <c r="H1074" s="40">
        <v>3.613</v>
      </c>
      <c r="I1074" s="13">
        <f t="shared" si="16"/>
        <v>5.795454545454545</v>
      </c>
      <c r="J1074" s="20"/>
    </row>
    <row r="1075" spans="2:10">
      <c r="C1075" s="40">
        <v>2.69</v>
      </c>
      <c r="D1075" s="34">
        <v>177.8</v>
      </c>
      <c r="E1075" s="23">
        <v>86.13</v>
      </c>
      <c r="F1075" s="23">
        <v>15.2</v>
      </c>
      <c r="G1075" s="23">
        <v>513</v>
      </c>
      <c r="H1075" s="40">
        <v>3.6459999999999999</v>
      </c>
      <c r="I1075" s="13">
        <f t="shared" si="16"/>
        <v>5.6664473684210526</v>
      </c>
      <c r="J1075" s="20"/>
    </row>
    <row r="1076" spans="2:10">
      <c r="C1076" s="40">
        <v>2.351</v>
      </c>
      <c r="D1076" s="34">
        <v>176.4</v>
      </c>
      <c r="E1076" s="23">
        <v>86.79</v>
      </c>
      <c r="F1076" s="23">
        <v>14.41</v>
      </c>
      <c r="G1076" s="23">
        <v>500.5</v>
      </c>
      <c r="H1076" s="40">
        <v>3.6230000000000002</v>
      </c>
      <c r="I1076" s="13">
        <f t="shared" si="16"/>
        <v>6.0229007633587788</v>
      </c>
      <c r="J1076" s="20"/>
    </row>
    <row r="1077" spans="2:10">
      <c r="C1077" s="40">
        <v>2.8719999999999999</v>
      </c>
      <c r="D1077" s="34">
        <v>186.7</v>
      </c>
      <c r="E1077" s="23">
        <v>86.9</v>
      </c>
      <c r="F1077" s="23">
        <v>14.03</v>
      </c>
      <c r="G1077" s="23">
        <v>507.1</v>
      </c>
      <c r="H1077" s="40">
        <v>3.4620000000000002</v>
      </c>
      <c r="I1077" s="13">
        <f t="shared" si="16"/>
        <v>6.1938702779757673</v>
      </c>
      <c r="J1077" s="20"/>
    </row>
    <row r="1078" spans="2:10">
      <c r="C1078" s="40">
        <v>2.8650000000000002</v>
      </c>
      <c r="D1078" s="34">
        <v>154.69999999999999</v>
      </c>
      <c r="E1078" s="23">
        <v>87.33</v>
      </c>
      <c r="F1078" s="23">
        <v>14.32</v>
      </c>
      <c r="G1078" s="23">
        <v>506</v>
      </c>
      <c r="H1078" s="40">
        <v>3.4750000000000001</v>
      </c>
      <c r="I1078" s="13">
        <f t="shared" si="16"/>
        <v>6.0984636871508373</v>
      </c>
      <c r="J1078" s="20"/>
    </row>
    <row r="1079" spans="2:10">
      <c r="C1079" s="40">
        <v>2.4140000000000001</v>
      </c>
      <c r="D1079" s="34">
        <v>134.6</v>
      </c>
      <c r="E1079" s="23">
        <v>87.12</v>
      </c>
      <c r="F1079" s="23">
        <v>14.34</v>
      </c>
      <c r="G1079" s="23">
        <v>494.9</v>
      </c>
      <c r="H1079" s="40">
        <v>3.5190000000000001</v>
      </c>
      <c r="I1079" s="13">
        <f t="shared" si="16"/>
        <v>6.0753138075313808</v>
      </c>
      <c r="J1079" s="20"/>
    </row>
    <row r="1080" spans="2:10">
      <c r="C1080" s="40">
        <v>2.5830000000000002</v>
      </c>
      <c r="D1080" s="34">
        <v>135.5</v>
      </c>
      <c r="E1080" s="23">
        <v>86.42</v>
      </c>
      <c r="F1080" s="23">
        <v>15.04</v>
      </c>
      <c r="G1080" s="23">
        <v>494.7</v>
      </c>
      <c r="H1080" s="40">
        <v>3.613</v>
      </c>
      <c r="I1080" s="13">
        <f t="shared" si="16"/>
        <v>5.7460106382978724</v>
      </c>
      <c r="J1080" s="20"/>
    </row>
    <row r="1081" spans="2:10">
      <c r="C1081" s="40">
        <v>2.681</v>
      </c>
      <c r="D1081" s="34">
        <v>168.5</v>
      </c>
      <c r="E1081" s="23">
        <v>87.44</v>
      </c>
      <c r="F1081" s="23">
        <v>14.87</v>
      </c>
      <c r="G1081" s="23">
        <v>495.7</v>
      </c>
      <c r="H1081" s="40">
        <v>3.5219999999999998</v>
      </c>
      <c r="I1081" s="13">
        <f t="shared" si="16"/>
        <v>5.8802958977807664</v>
      </c>
      <c r="J1081" s="20"/>
    </row>
    <row r="1082" spans="2:10">
      <c r="B1082" s="47">
        <v>55</v>
      </c>
      <c r="C1082" s="39">
        <v>1.421</v>
      </c>
      <c r="D1082" s="37">
        <v>192.1</v>
      </c>
      <c r="E1082" s="38">
        <v>57.54</v>
      </c>
      <c r="F1082" s="38">
        <v>18.27</v>
      </c>
      <c r="G1082" s="38">
        <v>498.5</v>
      </c>
      <c r="H1082" s="39">
        <v>3.738</v>
      </c>
      <c r="I1082" s="13">
        <f t="shared" si="16"/>
        <v>3.1494252873563218</v>
      </c>
      <c r="J1082" s="20"/>
    </row>
    <row r="1083" spans="2:10">
      <c r="C1083" s="40">
        <v>1.55</v>
      </c>
      <c r="D1083" s="34">
        <v>229.5</v>
      </c>
      <c r="E1083" s="23">
        <v>54.85</v>
      </c>
      <c r="F1083" s="23">
        <v>16.059999999999999</v>
      </c>
      <c r="G1083" s="23">
        <v>498.9</v>
      </c>
      <c r="H1083" s="40">
        <v>3.847</v>
      </c>
      <c r="I1083" s="13">
        <f t="shared" si="16"/>
        <v>3.4153175591531761</v>
      </c>
      <c r="J1083" s="20"/>
    </row>
    <row r="1084" spans="2:10">
      <c r="C1084" s="40">
        <v>1.389</v>
      </c>
      <c r="D1084" s="34">
        <v>186.3</v>
      </c>
      <c r="E1084" s="23">
        <v>55.37</v>
      </c>
      <c r="F1084" s="23">
        <v>17.07</v>
      </c>
      <c r="G1084" s="23">
        <v>490.4</v>
      </c>
      <c r="H1084" s="40">
        <v>3.7240000000000002</v>
      </c>
      <c r="I1084" s="13">
        <f t="shared" si="16"/>
        <v>3.2437024018746339</v>
      </c>
      <c r="J1084" s="20"/>
    </row>
    <row r="1085" spans="2:10">
      <c r="C1085" s="40">
        <v>1.5249999999999999</v>
      </c>
      <c r="D1085" s="34">
        <v>152.5</v>
      </c>
      <c r="E1085" s="23">
        <v>54.66</v>
      </c>
      <c r="F1085" s="23">
        <v>16.78</v>
      </c>
      <c r="G1085" s="23">
        <v>480.6</v>
      </c>
      <c r="H1085" s="40">
        <v>3.58</v>
      </c>
      <c r="I1085" s="13">
        <f t="shared" si="16"/>
        <v>3.2574493444576871</v>
      </c>
      <c r="J1085" s="20"/>
    </row>
    <row r="1086" spans="2:10">
      <c r="C1086" s="40">
        <v>1.1859999999999999</v>
      </c>
      <c r="D1086" s="34">
        <v>204.7</v>
      </c>
      <c r="E1086" s="23">
        <v>55.2</v>
      </c>
      <c r="F1086" s="23">
        <v>17.21</v>
      </c>
      <c r="G1086" s="23">
        <v>467.3</v>
      </c>
      <c r="H1086" s="40">
        <v>3.5329999999999999</v>
      </c>
      <c r="I1086" s="13">
        <f t="shared" si="16"/>
        <v>3.2074375363160952</v>
      </c>
      <c r="J1086" s="20"/>
    </row>
    <row r="1087" spans="2:10">
      <c r="C1087" s="40">
        <v>1.5369999999999999</v>
      </c>
      <c r="D1087" s="34">
        <v>166.1</v>
      </c>
      <c r="E1087" s="23">
        <v>56.73</v>
      </c>
      <c r="F1087" s="23">
        <v>17.43</v>
      </c>
      <c r="G1087" s="23">
        <v>456.4</v>
      </c>
      <c r="H1087" s="40">
        <v>3.9620000000000002</v>
      </c>
      <c r="I1087" s="13">
        <f t="shared" si="16"/>
        <v>3.25473321858864</v>
      </c>
      <c r="J1087" s="20"/>
    </row>
    <row r="1088" spans="2:10">
      <c r="C1088" s="40">
        <v>1.2689999999999999</v>
      </c>
      <c r="D1088" s="34">
        <v>152.5</v>
      </c>
      <c r="E1088" s="23">
        <v>55.38</v>
      </c>
      <c r="F1088" s="23">
        <v>16.350000000000001</v>
      </c>
      <c r="G1088" s="23">
        <v>448.9</v>
      </c>
      <c r="H1088" s="40">
        <v>4.3070000000000004</v>
      </c>
      <c r="I1088" s="13">
        <f t="shared" si="16"/>
        <v>3.3871559633027521</v>
      </c>
      <c r="J1088" s="20"/>
    </row>
    <row r="1089" spans="2:10">
      <c r="C1089" s="40">
        <v>1.2430000000000001</v>
      </c>
      <c r="D1089" s="34">
        <v>157.19999999999999</v>
      </c>
      <c r="E1089" s="23">
        <v>55.78</v>
      </c>
      <c r="F1089" s="23">
        <v>16.899999999999999</v>
      </c>
      <c r="G1089" s="23">
        <v>490.4</v>
      </c>
      <c r="H1089" s="40">
        <v>3.7559999999999998</v>
      </c>
      <c r="I1089" s="13">
        <f t="shared" si="16"/>
        <v>3.3005917159763318</v>
      </c>
      <c r="J1089" s="20"/>
    </row>
    <row r="1090" spans="2:10">
      <c r="C1090" s="40">
        <v>1.1870000000000001</v>
      </c>
      <c r="D1090" s="34">
        <v>237.6</v>
      </c>
      <c r="E1090" s="23">
        <v>55.31</v>
      </c>
      <c r="F1090" s="23">
        <v>16.559999999999999</v>
      </c>
      <c r="G1090" s="23">
        <v>503.5</v>
      </c>
      <c r="H1090" s="40">
        <v>3.6190000000000002</v>
      </c>
      <c r="I1090" s="13">
        <f t="shared" si="16"/>
        <v>3.3399758454106285</v>
      </c>
      <c r="J1090" s="20"/>
    </row>
    <row r="1091" spans="2:10">
      <c r="C1091" s="40">
        <v>1.5389999999999999</v>
      </c>
      <c r="D1091" s="34">
        <v>204.7</v>
      </c>
      <c r="E1091" s="23">
        <v>57.83</v>
      </c>
      <c r="F1091" s="23">
        <v>17.45</v>
      </c>
      <c r="G1091" s="23">
        <v>508.7</v>
      </c>
      <c r="H1091" s="40">
        <v>4.3070000000000004</v>
      </c>
      <c r="I1091" s="13">
        <f t="shared" ref="I1091:I1154" si="17">E1091/F1091</f>
        <v>3.3140401146131806</v>
      </c>
      <c r="J1091" s="20"/>
    </row>
    <row r="1092" spans="2:10">
      <c r="C1092" s="40">
        <v>1.544</v>
      </c>
      <c r="D1092" s="34">
        <v>169.1</v>
      </c>
      <c r="E1092" s="23">
        <v>57.83</v>
      </c>
      <c r="F1092" s="23">
        <v>16.98</v>
      </c>
      <c r="G1092" s="23">
        <v>518.70000000000005</v>
      </c>
      <c r="H1092" s="40">
        <v>3.8180000000000001</v>
      </c>
      <c r="I1092" s="13">
        <f t="shared" si="17"/>
        <v>3.4057714958775027</v>
      </c>
      <c r="J1092" s="20"/>
    </row>
    <row r="1093" spans="2:10">
      <c r="C1093" s="40">
        <v>1.45</v>
      </c>
      <c r="D1093" s="34">
        <v>224.5</v>
      </c>
      <c r="E1093" s="23">
        <v>56.98</v>
      </c>
      <c r="F1093" s="23">
        <v>17.579999999999998</v>
      </c>
      <c r="G1093" s="23">
        <v>508.4</v>
      </c>
      <c r="H1093" s="40">
        <v>3.6619999999999999</v>
      </c>
      <c r="I1093" s="13">
        <f t="shared" si="17"/>
        <v>3.2411831626848695</v>
      </c>
      <c r="J1093" s="20"/>
    </row>
    <row r="1094" spans="2:10">
      <c r="C1094" s="40">
        <v>1.2689999999999999</v>
      </c>
      <c r="D1094" s="34">
        <v>192.9</v>
      </c>
      <c r="E1094" s="23">
        <v>57.24</v>
      </c>
      <c r="F1094" s="23">
        <v>16.89</v>
      </c>
      <c r="G1094" s="23">
        <v>530.20000000000005</v>
      </c>
      <c r="H1094" s="40">
        <v>3.621</v>
      </c>
      <c r="I1094" s="13">
        <f t="shared" si="17"/>
        <v>3.3889875666074603</v>
      </c>
      <c r="J1094" s="20"/>
    </row>
    <row r="1095" spans="2:10">
      <c r="C1095" s="40">
        <v>1.409</v>
      </c>
      <c r="D1095" s="34">
        <v>186</v>
      </c>
      <c r="E1095" s="23">
        <v>56.95</v>
      </c>
      <c r="F1095" s="23">
        <v>17.34</v>
      </c>
      <c r="G1095" s="23">
        <v>537.4</v>
      </c>
      <c r="H1095" s="40">
        <v>3.5</v>
      </c>
      <c r="I1095" s="13">
        <f t="shared" si="17"/>
        <v>3.2843137254901964</v>
      </c>
      <c r="J1095" s="20"/>
    </row>
    <row r="1096" spans="2:10">
      <c r="C1096" s="40">
        <v>1.2190000000000001</v>
      </c>
      <c r="D1096" s="34">
        <v>171.7</v>
      </c>
      <c r="E1096" s="23">
        <v>56.19</v>
      </c>
      <c r="F1096" s="23">
        <v>17.079999999999998</v>
      </c>
      <c r="G1096" s="23">
        <v>518.70000000000005</v>
      </c>
      <c r="H1096" s="40">
        <v>3.6920000000000002</v>
      </c>
      <c r="I1096" s="13">
        <f t="shared" si="17"/>
        <v>3.2898126463700237</v>
      </c>
      <c r="J1096" s="20"/>
    </row>
    <row r="1097" spans="2:10">
      <c r="C1097" s="40">
        <v>1.07</v>
      </c>
      <c r="D1097" s="34">
        <v>157.69999999999999</v>
      </c>
      <c r="E1097" s="23">
        <v>56.7</v>
      </c>
      <c r="F1097" s="23">
        <v>17.45</v>
      </c>
      <c r="G1097" s="23">
        <v>514.1</v>
      </c>
      <c r="H1097" s="40">
        <v>3.8540000000000001</v>
      </c>
      <c r="I1097" s="13">
        <f t="shared" si="17"/>
        <v>3.2492836676217767</v>
      </c>
      <c r="J1097" s="20"/>
    </row>
    <row r="1098" spans="2:10">
      <c r="C1098" s="40">
        <v>1.5109999999999999</v>
      </c>
      <c r="D1098" s="34">
        <v>186.3</v>
      </c>
      <c r="E1098" s="23">
        <v>56.34</v>
      </c>
      <c r="F1098" s="23">
        <v>17.89</v>
      </c>
      <c r="G1098" s="23">
        <v>507.2</v>
      </c>
      <c r="H1098" s="40">
        <v>4.1520000000000001</v>
      </c>
      <c r="I1098" s="13">
        <f t="shared" si="17"/>
        <v>3.1492453884851872</v>
      </c>
      <c r="J1098" s="20"/>
    </row>
    <row r="1099" spans="2:10">
      <c r="C1099" s="40">
        <v>1.3979999999999999</v>
      </c>
      <c r="D1099" s="34">
        <v>194.9</v>
      </c>
      <c r="E1099" s="23">
        <v>57.12</v>
      </c>
      <c r="F1099" s="23">
        <v>17.54</v>
      </c>
      <c r="G1099" s="23">
        <v>490.5</v>
      </c>
      <c r="H1099" s="40">
        <v>3.6429999999999998</v>
      </c>
      <c r="I1099" s="13">
        <f t="shared" si="17"/>
        <v>3.2565564424173319</v>
      </c>
      <c r="J1099" s="20"/>
    </row>
    <row r="1100" spans="2:10">
      <c r="C1100" s="40">
        <v>1.0660000000000001</v>
      </c>
      <c r="D1100" s="34">
        <v>224.6</v>
      </c>
      <c r="E1100" s="23">
        <v>56.68</v>
      </c>
      <c r="F1100" s="23">
        <v>17.28</v>
      </c>
      <c r="G1100" s="23">
        <v>469.7</v>
      </c>
      <c r="H1100" s="40">
        <v>3.6589999999999998</v>
      </c>
      <c r="I1100" s="13">
        <f t="shared" si="17"/>
        <v>3.2800925925925926</v>
      </c>
      <c r="J1100" s="20"/>
    </row>
    <row r="1101" spans="2:10">
      <c r="C1101" s="40">
        <v>1.2190000000000001</v>
      </c>
      <c r="D1101" s="34">
        <v>186.3</v>
      </c>
      <c r="E1101" s="23">
        <v>56.8</v>
      </c>
      <c r="F1101" s="23">
        <v>16.89</v>
      </c>
      <c r="G1101" s="23">
        <v>490.4</v>
      </c>
      <c r="H1101" s="40">
        <v>3.6949999999999998</v>
      </c>
      <c r="I1101" s="13">
        <f t="shared" si="17"/>
        <v>3.362936648904677</v>
      </c>
      <c r="J1101" s="20"/>
    </row>
    <row r="1102" spans="2:10">
      <c r="B1102" s="47">
        <v>56</v>
      </c>
      <c r="C1102" s="39">
        <v>2.129</v>
      </c>
      <c r="D1102" s="37">
        <v>82.99</v>
      </c>
      <c r="E1102" s="38">
        <v>76.040000000000006</v>
      </c>
      <c r="F1102" s="38">
        <v>17.170000000000002</v>
      </c>
      <c r="G1102" s="38">
        <v>495.5</v>
      </c>
      <c r="H1102" s="39">
        <v>2.4950000000000001</v>
      </c>
      <c r="I1102" s="13">
        <f t="shared" si="17"/>
        <v>4.4286546301688992</v>
      </c>
      <c r="J1102" s="20"/>
    </row>
    <row r="1103" spans="2:10">
      <c r="C1103" s="40">
        <v>1.7589999999999999</v>
      </c>
      <c r="D1103" s="34">
        <v>96.69</v>
      </c>
      <c r="E1103" s="23">
        <v>75.510000000000005</v>
      </c>
      <c r="F1103" s="23">
        <v>17.190000000000001</v>
      </c>
      <c r="G1103" s="23">
        <v>486.1</v>
      </c>
      <c r="H1103" s="40">
        <v>2.4359999999999999</v>
      </c>
      <c r="I1103" s="13">
        <f t="shared" si="17"/>
        <v>4.3926701570680624</v>
      </c>
      <c r="J1103" s="20"/>
    </row>
    <row r="1104" spans="2:10">
      <c r="C1104" s="40">
        <v>2.1869999999999998</v>
      </c>
      <c r="D1104" s="34">
        <v>103.9</v>
      </c>
      <c r="E1104" s="23">
        <v>75.56</v>
      </c>
      <c r="F1104" s="23">
        <v>17.89</v>
      </c>
      <c r="G1104" s="23">
        <v>486.8</v>
      </c>
      <c r="H1104" s="40">
        <v>2.7549999999999999</v>
      </c>
      <c r="I1104" s="13">
        <f t="shared" si="17"/>
        <v>4.2235885969815543</v>
      </c>
      <c r="J1104" s="20"/>
    </row>
    <row r="1105" spans="3:10">
      <c r="C1105" s="40">
        <v>2.0310000000000001</v>
      </c>
      <c r="D1105" s="34">
        <v>100.7</v>
      </c>
      <c r="E1105" s="23">
        <v>75.319999999999993</v>
      </c>
      <c r="F1105" s="23">
        <v>17.21</v>
      </c>
      <c r="G1105" s="23">
        <v>487.1</v>
      </c>
      <c r="H1105" s="40">
        <v>2.4119999999999999</v>
      </c>
      <c r="I1105" s="13">
        <f t="shared" si="17"/>
        <v>4.3765252760023232</v>
      </c>
      <c r="J1105" s="48"/>
    </row>
    <row r="1106" spans="3:10">
      <c r="C1106" s="40">
        <v>1.7370000000000001</v>
      </c>
      <c r="D1106" s="34">
        <v>102</v>
      </c>
      <c r="E1106" s="23">
        <v>75.459999999999994</v>
      </c>
      <c r="F1106" s="23">
        <v>17.34</v>
      </c>
      <c r="G1106" s="23">
        <v>488</v>
      </c>
      <c r="H1106" s="40">
        <v>2.286</v>
      </c>
      <c r="I1106" s="13">
        <f t="shared" si="17"/>
        <v>4.3517877739331023</v>
      </c>
      <c r="J1106" s="48"/>
    </row>
    <row r="1107" spans="3:10">
      <c r="C1107" s="40">
        <v>1.974</v>
      </c>
      <c r="D1107" s="34">
        <v>87.83</v>
      </c>
      <c r="E1107" s="23">
        <v>74.680000000000007</v>
      </c>
      <c r="F1107" s="23">
        <v>16.559999999999999</v>
      </c>
      <c r="G1107" s="23">
        <v>488.6</v>
      </c>
      <c r="H1107" s="40">
        <v>2.552</v>
      </c>
      <c r="I1107" s="13">
        <f t="shared" si="17"/>
        <v>4.5096618357487932</v>
      </c>
      <c r="J1107" s="48"/>
    </row>
    <row r="1108" spans="3:10">
      <c r="C1108" s="40">
        <v>1.7370000000000001</v>
      </c>
      <c r="D1108" s="34">
        <v>92.54</v>
      </c>
      <c r="E1108" s="23">
        <v>75.03</v>
      </c>
      <c r="F1108" s="23">
        <v>17.21</v>
      </c>
      <c r="G1108" s="23">
        <v>486.8</v>
      </c>
      <c r="H1108" s="40">
        <v>2.1709999999999998</v>
      </c>
      <c r="I1108" s="13">
        <f t="shared" si="17"/>
        <v>4.3596746077861708</v>
      </c>
      <c r="J1108" s="20"/>
    </row>
    <row r="1109" spans="3:10">
      <c r="C1109" s="40">
        <v>2.1520000000000001</v>
      </c>
      <c r="D1109" s="34">
        <v>102.6</v>
      </c>
      <c r="E1109" s="23">
        <v>75.45</v>
      </c>
      <c r="F1109" s="23">
        <v>17.34</v>
      </c>
      <c r="G1109" s="23">
        <v>487.9</v>
      </c>
      <c r="H1109" s="40">
        <v>2.2989999999999999</v>
      </c>
      <c r="I1109" s="13">
        <f t="shared" si="17"/>
        <v>4.35121107266436</v>
      </c>
      <c r="J1109" s="20"/>
    </row>
    <row r="1110" spans="3:10">
      <c r="C1110" s="40">
        <v>1.5529999999999999</v>
      </c>
      <c r="D1110" s="34">
        <v>91.54</v>
      </c>
      <c r="E1110" s="23">
        <v>74.14</v>
      </c>
      <c r="F1110" s="23">
        <v>17.47</v>
      </c>
      <c r="G1110" s="23">
        <v>486.8</v>
      </c>
      <c r="H1110" s="40">
        <v>2.407</v>
      </c>
      <c r="I1110" s="13">
        <f t="shared" si="17"/>
        <v>4.2438465941614201</v>
      </c>
      <c r="J1110" s="20"/>
    </row>
    <row r="1111" spans="3:10">
      <c r="C1111" s="40">
        <v>2.0169999999999999</v>
      </c>
      <c r="D1111" s="34">
        <v>94.48</v>
      </c>
      <c r="E1111" s="23">
        <v>75.78</v>
      </c>
      <c r="F1111" s="23">
        <v>17.71</v>
      </c>
      <c r="G1111" s="23">
        <v>489.1</v>
      </c>
      <c r="H1111" s="40">
        <v>2.6379999999999999</v>
      </c>
      <c r="I1111" s="13">
        <f t="shared" si="17"/>
        <v>4.278938452851496</v>
      </c>
      <c r="J1111" s="20"/>
    </row>
    <row r="1112" spans="3:10">
      <c r="C1112" s="40">
        <v>2.2639999999999998</v>
      </c>
      <c r="D1112" s="34">
        <v>105.2</v>
      </c>
      <c r="E1112" s="23">
        <v>75.349999999999994</v>
      </c>
      <c r="F1112" s="23">
        <v>18.760000000000002</v>
      </c>
      <c r="G1112" s="23">
        <v>493.8</v>
      </c>
      <c r="H1112" s="40">
        <v>2.6120000000000001</v>
      </c>
      <c r="I1112" s="13">
        <f t="shared" si="17"/>
        <v>4.0165245202558628</v>
      </c>
      <c r="J1112" s="20"/>
    </row>
    <row r="1113" spans="3:10">
      <c r="C1113" s="40">
        <v>1.718</v>
      </c>
      <c r="D1113" s="34">
        <v>97.85</v>
      </c>
      <c r="E1113" s="23">
        <v>75.12</v>
      </c>
      <c r="F1113" s="23">
        <v>19.14</v>
      </c>
      <c r="G1113" s="23">
        <v>491.1</v>
      </c>
      <c r="H1113" s="40">
        <v>2.1579999999999999</v>
      </c>
      <c r="I1113" s="13">
        <f t="shared" si="17"/>
        <v>3.9247648902821317</v>
      </c>
      <c r="J1113" s="48"/>
    </row>
    <row r="1114" spans="3:10">
      <c r="C1114" s="40">
        <v>1.659</v>
      </c>
      <c r="D1114" s="34">
        <v>83.58</v>
      </c>
      <c r="E1114" s="23">
        <v>75.650000000000006</v>
      </c>
      <c r="F1114" s="23">
        <v>19.34</v>
      </c>
      <c r="G1114" s="23">
        <v>490.5</v>
      </c>
      <c r="H1114" s="40">
        <v>2.653</v>
      </c>
      <c r="I1114" s="13">
        <f t="shared" si="17"/>
        <v>3.9115822130299898</v>
      </c>
      <c r="J1114" s="48"/>
    </row>
    <row r="1115" spans="3:10">
      <c r="C1115" s="40">
        <v>2.0449999999999999</v>
      </c>
      <c r="D1115" s="34">
        <v>86.33</v>
      </c>
      <c r="E1115" s="23">
        <v>75.39</v>
      </c>
      <c r="F1115" s="23">
        <v>19.079999999999998</v>
      </c>
      <c r="G1115" s="23">
        <v>493.8</v>
      </c>
      <c r="H1115" s="40">
        <v>2.3420000000000001</v>
      </c>
      <c r="I1115" s="13">
        <f t="shared" si="17"/>
        <v>3.9512578616352205</v>
      </c>
      <c r="J1115" s="20"/>
    </row>
    <row r="1116" spans="3:10">
      <c r="C1116" s="40">
        <v>1.8320000000000001</v>
      </c>
      <c r="D1116" s="34">
        <v>84.85</v>
      </c>
      <c r="E1116" s="23">
        <v>75.48</v>
      </c>
      <c r="F1116" s="23">
        <v>18.329999999999998</v>
      </c>
      <c r="G1116" s="23">
        <v>499.8</v>
      </c>
      <c r="H1116" s="40">
        <v>2.6840000000000002</v>
      </c>
      <c r="I1116" s="13">
        <f t="shared" si="17"/>
        <v>4.1178396072013097</v>
      </c>
      <c r="J1116" s="20"/>
    </row>
    <row r="1117" spans="3:10">
      <c r="C1117" s="40">
        <v>2.0019999999999998</v>
      </c>
      <c r="D1117" s="34">
        <v>86</v>
      </c>
      <c r="E1117" s="23">
        <v>74.989999999999995</v>
      </c>
      <c r="F1117" s="23">
        <v>19.39</v>
      </c>
      <c r="G1117" s="23">
        <v>489</v>
      </c>
      <c r="H1117" s="40">
        <v>2.1709999999999998</v>
      </c>
      <c r="I1117" s="13">
        <f t="shared" si="17"/>
        <v>3.8674574522949969</v>
      </c>
      <c r="J1117" s="20"/>
    </row>
    <row r="1118" spans="3:10">
      <c r="C1118" s="40">
        <v>1.7430000000000001</v>
      </c>
      <c r="D1118" s="34">
        <v>91.49</v>
      </c>
      <c r="E1118" s="23">
        <v>74.39</v>
      </c>
      <c r="F1118" s="23">
        <v>18.440000000000001</v>
      </c>
      <c r="G1118" s="23">
        <v>486.1</v>
      </c>
      <c r="H1118" s="40">
        <v>2.7650000000000001</v>
      </c>
      <c r="I1118" s="13">
        <f t="shared" si="17"/>
        <v>4.0341648590021686</v>
      </c>
      <c r="J1118" s="20"/>
    </row>
    <row r="1119" spans="3:10">
      <c r="C1119" s="40">
        <v>1.718</v>
      </c>
      <c r="D1119" s="34">
        <v>95.49</v>
      </c>
      <c r="E1119" s="23">
        <v>75.12</v>
      </c>
      <c r="F1119" s="23">
        <v>18.47</v>
      </c>
      <c r="G1119" s="23">
        <v>488.2</v>
      </c>
      <c r="H1119" s="40">
        <v>2.21</v>
      </c>
      <c r="I1119" s="13">
        <f t="shared" si="17"/>
        <v>4.0671358960476454</v>
      </c>
      <c r="J1119" s="48"/>
    </row>
    <row r="1120" spans="3:10">
      <c r="C1120" s="40">
        <v>1.7589999999999999</v>
      </c>
      <c r="D1120" s="34">
        <v>90.8</v>
      </c>
      <c r="E1120" s="23">
        <v>75.23</v>
      </c>
      <c r="F1120" s="23">
        <v>18.34</v>
      </c>
      <c r="G1120" s="23">
        <v>490</v>
      </c>
      <c r="H1120" s="40">
        <v>2.5499999999999998</v>
      </c>
      <c r="I1120" s="13">
        <f t="shared" si="17"/>
        <v>4.1019629225736098</v>
      </c>
      <c r="J1120" s="48"/>
    </row>
    <row r="1121" spans="2:10">
      <c r="C1121" s="40">
        <v>1.9039999999999999</v>
      </c>
      <c r="D1121" s="34">
        <v>87</v>
      </c>
      <c r="E1121" s="23">
        <v>74.97</v>
      </c>
      <c r="F1121" s="23">
        <v>18.8</v>
      </c>
      <c r="G1121" s="23">
        <v>482.1</v>
      </c>
      <c r="H1121" s="40">
        <v>2.3969999999999998</v>
      </c>
      <c r="I1121" s="13">
        <f t="shared" si="17"/>
        <v>3.9877659574468085</v>
      </c>
      <c r="J1121" s="48"/>
    </row>
    <row r="1122" spans="2:10">
      <c r="B1122" s="47">
        <v>57</v>
      </c>
      <c r="C1122" s="39">
        <v>2.16</v>
      </c>
      <c r="D1122" s="37">
        <v>147.5</v>
      </c>
      <c r="E1122" s="38">
        <v>117.3</v>
      </c>
      <c r="F1122" s="38">
        <v>44.41</v>
      </c>
      <c r="G1122" s="38">
        <v>531.79999999999995</v>
      </c>
      <c r="H1122" s="39">
        <v>3.27</v>
      </c>
      <c r="I1122" s="13">
        <f t="shared" si="17"/>
        <v>2.6412970051790139</v>
      </c>
      <c r="J1122" s="48"/>
    </row>
    <row r="1123" spans="2:10">
      <c r="C1123" s="40">
        <v>2.1840000000000002</v>
      </c>
      <c r="D1123" s="34">
        <v>150.9</v>
      </c>
      <c r="E1123" s="23">
        <v>118.9</v>
      </c>
      <c r="F1123" s="23">
        <v>45.53</v>
      </c>
      <c r="G1123" s="23">
        <v>535.9</v>
      </c>
      <c r="H1123" s="40">
        <v>3.3730000000000002</v>
      </c>
      <c r="I1123" s="13">
        <f t="shared" si="17"/>
        <v>2.6114649681528661</v>
      </c>
      <c r="J1123" s="48"/>
    </row>
    <row r="1124" spans="2:10">
      <c r="C1124" s="40">
        <v>2.194</v>
      </c>
      <c r="D1124" s="34">
        <v>156.1</v>
      </c>
      <c r="E1124" s="23">
        <v>118.1</v>
      </c>
      <c r="F1124" s="23">
        <v>45.64</v>
      </c>
      <c r="G1124" s="23">
        <v>533.9</v>
      </c>
      <c r="H1124" s="40">
        <v>3.944</v>
      </c>
      <c r="I1124" s="13">
        <f t="shared" si="17"/>
        <v>2.5876424189307623</v>
      </c>
      <c r="J1124" s="48"/>
    </row>
    <row r="1125" spans="2:10">
      <c r="C1125" s="40">
        <v>2.1429999999999998</v>
      </c>
      <c r="D1125" s="34">
        <v>137.80000000000001</v>
      </c>
      <c r="E1125" s="23">
        <v>117.7</v>
      </c>
      <c r="F1125" s="23">
        <v>44.79</v>
      </c>
      <c r="G1125" s="23">
        <v>534.4</v>
      </c>
      <c r="H1125" s="40">
        <v>3.1890000000000001</v>
      </c>
      <c r="I1125" s="13">
        <f t="shared" si="17"/>
        <v>2.6278187095333783</v>
      </c>
      <c r="J1125" s="48"/>
    </row>
    <row r="1126" spans="2:10">
      <c r="C1126" s="40">
        <v>2.0430000000000001</v>
      </c>
      <c r="D1126" s="34">
        <v>142.1</v>
      </c>
      <c r="E1126" s="23">
        <v>118.3</v>
      </c>
      <c r="F1126" s="23">
        <v>44.62</v>
      </c>
      <c r="G1126" s="23">
        <v>535.29999999999995</v>
      </c>
      <c r="H1126" s="40">
        <v>3.4769999999999999</v>
      </c>
      <c r="I1126" s="13">
        <f t="shared" si="17"/>
        <v>2.6512774540564772</v>
      </c>
      <c r="J1126" s="48"/>
    </row>
    <row r="1127" spans="2:10">
      <c r="C1127" s="40">
        <v>2.0649999999999999</v>
      </c>
      <c r="D1127" s="34">
        <v>130.4</v>
      </c>
      <c r="E1127" s="23">
        <v>117.9</v>
      </c>
      <c r="F1127" s="23">
        <v>44.39</v>
      </c>
      <c r="G1127" s="23">
        <v>535.9</v>
      </c>
      <c r="H1127" s="40">
        <v>3.8069999999999999</v>
      </c>
      <c r="I1127" s="13">
        <f t="shared" si="17"/>
        <v>2.6560036044154089</v>
      </c>
      <c r="J1127" s="48"/>
    </row>
    <row r="1128" spans="2:10">
      <c r="C1128" s="40">
        <v>2.1619999999999999</v>
      </c>
      <c r="D1128" s="34">
        <v>132.30000000000001</v>
      </c>
      <c r="E1128" s="23">
        <v>118.2</v>
      </c>
      <c r="F1128" s="23">
        <v>44.69</v>
      </c>
      <c r="G1128" s="23">
        <v>535.20000000000005</v>
      </c>
      <c r="H1128" s="40">
        <v>3.3780000000000001</v>
      </c>
      <c r="I1128" s="13">
        <f t="shared" si="17"/>
        <v>2.6448869993287092</v>
      </c>
      <c r="J1128" s="48"/>
    </row>
    <row r="1129" spans="2:10">
      <c r="C1129" s="40">
        <v>2.0499999999999998</v>
      </c>
      <c r="D1129" s="34">
        <v>142.1</v>
      </c>
      <c r="E1129" s="23">
        <v>118.7</v>
      </c>
      <c r="F1129" s="23">
        <v>45.78</v>
      </c>
      <c r="G1129" s="23">
        <v>534</v>
      </c>
      <c r="H1129" s="40">
        <v>3.4119999999999999</v>
      </c>
      <c r="I1129" s="13">
        <f t="shared" si="17"/>
        <v>2.5928352992573176</v>
      </c>
      <c r="J1129" s="48"/>
    </row>
    <row r="1130" spans="2:10">
      <c r="C1130" s="40">
        <v>2.052</v>
      </c>
      <c r="D1130" s="34">
        <v>150.4</v>
      </c>
      <c r="E1130" s="23">
        <v>117.4</v>
      </c>
      <c r="F1130" s="23">
        <v>45.28</v>
      </c>
      <c r="G1130" s="23">
        <v>533.20000000000005</v>
      </c>
      <c r="H1130" s="40">
        <v>3.49</v>
      </c>
      <c r="I1130" s="13">
        <f t="shared" si="17"/>
        <v>2.5927561837455833</v>
      </c>
      <c r="J1130" s="48"/>
    </row>
    <row r="1131" spans="2:10">
      <c r="C1131" s="40">
        <v>2.0569999999999999</v>
      </c>
      <c r="D1131" s="34">
        <v>161.6</v>
      </c>
      <c r="E1131" s="23">
        <v>118.3</v>
      </c>
      <c r="F1131" s="23">
        <v>44.82</v>
      </c>
      <c r="G1131" s="23">
        <v>534.1</v>
      </c>
      <c r="H1131" s="40">
        <v>3.859</v>
      </c>
      <c r="I1131" s="13">
        <f t="shared" si="17"/>
        <v>2.639446675591254</v>
      </c>
      <c r="J1131" s="48"/>
    </row>
    <row r="1132" spans="2:10">
      <c r="C1132" s="40">
        <v>2.02</v>
      </c>
      <c r="D1132" s="34">
        <v>166.6</v>
      </c>
      <c r="E1132" s="23">
        <v>118.4</v>
      </c>
      <c r="F1132" s="23">
        <v>43.29</v>
      </c>
      <c r="G1132" s="23">
        <v>537.1</v>
      </c>
      <c r="H1132" s="40">
        <v>3.2890000000000001</v>
      </c>
      <c r="I1132" s="13">
        <f t="shared" si="17"/>
        <v>2.7350427350427351</v>
      </c>
      <c r="J1132" s="48"/>
    </row>
    <row r="1133" spans="2:10">
      <c r="C1133" s="40">
        <v>2.0859999999999999</v>
      </c>
      <c r="D1133" s="34">
        <v>149.9</v>
      </c>
      <c r="E1133" s="23">
        <v>118.6</v>
      </c>
      <c r="F1133" s="23">
        <v>44.12</v>
      </c>
      <c r="G1133" s="23">
        <v>537</v>
      </c>
      <c r="H1133" s="40">
        <v>2.931</v>
      </c>
      <c r="I1133" s="13">
        <f t="shared" si="17"/>
        <v>2.6881233000906617</v>
      </c>
      <c r="J1133" s="48"/>
    </row>
    <row r="1134" spans="2:10">
      <c r="C1134" s="40">
        <v>2.0710000000000002</v>
      </c>
      <c r="D1134" s="34">
        <v>156.80000000000001</v>
      </c>
      <c r="E1134" s="23">
        <v>117.9</v>
      </c>
      <c r="F1134" s="23">
        <v>45.25</v>
      </c>
      <c r="G1134" s="23">
        <v>535.5</v>
      </c>
      <c r="H1134" s="40">
        <v>3.5179999999999998</v>
      </c>
      <c r="I1134" s="13">
        <f t="shared" si="17"/>
        <v>2.605524861878453</v>
      </c>
      <c r="J1134" s="48"/>
    </row>
    <row r="1135" spans="2:10">
      <c r="C1135" s="40">
        <v>2.1459999999999999</v>
      </c>
      <c r="D1135" s="34">
        <v>156.30000000000001</v>
      </c>
      <c r="E1135" s="23">
        <v>117.6</v>
      </c>
      <c r="F1135" s="23">
        <v>45.32</v>
      </c>
      <c r="G1135" s="23">
        <v>537.79999999999995</v>
      </c>
      <c r="H1135" s="40">
        <v>3.2320000000000002</v>
      </c>
      <c r="I1135" s="13">
        <f t="shared" si="17"/>
        <v>2.5948808473080316</v>
      </c>
      <c r="J1135" s="48"/>
    </row>
    <row r="1136" spans="2:10">
      <c r="C1136" s="40">
        <v>2.1619999999999999</v>
      </c>
      <c r="D1136" s="34">
        <v>161.6</v>
      </c>
      <c r="E1136" s="23">
        <v>118.7</v>
      </c>
      <c r="F1136" s="23">
        <v>44.78</v>
      </c>
      <c r="G1136" s="23">
        <v>540.9</v>
      </c>
      <c r="H1136" s="40">
        <v>3.2890000000000001</v>
      </c>
      <c r="I1136" s="13">
        <f t="shared" si="17"/>
        <v>2.6507369361322017</v>
      </c>
      <c r="J1136" s="48"/>
    </row>
    <row r="1137" spans="2:10">
      <c r="C1137" s="40">
        <v>2.0750000000000002</v>
      </c>
      <c r="D1137" s="34">
        <v>171.9</v>
      </c>
      <c r="E1137" s="23">
        <v>118.3</v>
      </c>
      <c r="F1137" s="23">
        <v>44.96</v>
      </c>
      <c r="G1137" s="23">
        <v>535.1</v>
      </c>
      <c r="H1137" s="40">
        <v>3.4870000000000001</v>
      </c>
      <c r="I1137" s="13">
        <f t="shared" si="17"/>
        <v>2.6312277580071175</v>
      </c>
      <c r="J1137" s="48"/>
    </row>
    <row r="1138" spans="2:10">
      <c r="C1138" s="40">
        <v>2.1070000000000002</v>
      </c>
      <c r="D1138" s="34">
        <v>170</v>
      </c>
      <c r="E1138" s="23">
        <v>117.8</v>
      </c>
      <c r="F1138" s="23">
        <v>45.02</v>
      </c>
      <c r="G1138" s="23">
        <v>533.20000000000005</v>
      </c>
      <c r="H1138" s="40">
        <v>3.214</v>
      </c>
      <c r="I1138" s="13">
        <f t="shared" si="17"/>
        <v>2.6166148378498444</v>
      </c>
      <c r="J1138" s="48"/>
    </row>
    <row r="1139" spans="2:10">
      <c r="C1139" s="40">
        <v>2.0099999999999998</v>
      </c>
      <c r="D1139" s="34">
        <v>167.1</v>
      </c>
      <c r="E1139" s="23">
        <v>117.9</v>
      </c>
      <c r="F1139" s="23">
        <v>45.68</v>
      </c>
      <c r="G1139" s="23">
        <v>535.20000000000005</v>
      </c>
      <c r="H1139" s="40">
        <v>2.9430000000000001</v>
      </c>
      <c r="I1139" s="13">
        <f t="shared" si="17"/>
        <v>2.5809982486865151</v>
      </c>
      <c r="J1139" s="48"/>
    </row>
    <row r="1140" spans="2:10">
      <c r="C1140" s="40">
        <v>2.1080000000000001</v>
      </c>
      <c r="D1140" s="34">
        <v>158.69999999999999</v>
      </c>
      <c r="E1140" s="23">
        <v>118.2</v>
      </c>
      <c r="F1140" s="23">
        <v>45.28</v>
      </c>
      <c r="G1140" s="23">
        <v>533.9</v>
      </c>
      <c r="H1140" s="40">
        <v>3.4670000000000001</v>
      </c>
      <c r="I1140" s="13">
        <f t="shared" si="17"/>
        <v>2.6104240282685511</v>
      </c>
      <c r="J1140" s="48"/>
    </row>
    <row r="1141" spans="2:10">
      <c r="C1141" s="40">
        <v>2.1859999999999999</v>
      </c>
      <c r="D1141" s="34">
        <v>143.1</v>
      </c>
      <c r="E1141" s="23">
        <v>118</v>
      </c>
      <c r="F1141" s="23">
        <v>44.59</v>
      </c>
      <c r="G1141" s="23">
        <v>534</v>
      </c>
      <c r="H1141" s="40">
        <v>3.8559999999999999</v>
      </c>
      <c r="I1141" s="13">
        <f t="shared" si="17"/>
        <v>2.6463332585781565</v>
      </c>
      <c r="J1141" s="48"/>
    </row>
    <row r="1142" spans="2:10">
      <c r="B1142" s="47">
        <v>58</v>
      </c>
      <c r="C1142" s="39">
        <v>1.46</v>
      </c>
      <c r="D1142" s="37">
        <v>121.4</v>
      </c>
      <c r="E1142" s="38">
        <v>67.64</v>
      </c>
      <c r="F1142" s="38">
        <v>20.81</v>
      </c>
      <c r="G1142" s="38">
        <v>560.79999999999995</v>
      </c>
      <c r="H1142" s="39">
        <v>4.4660000000000002</v>
      </c>
      <c r="I1142" s="13">
        <f t="shared" si="17"/>
        <v>3.2503604036520906</v>
      </c>
      <c r="J1142" s="20"/>
    </row>
    <row r="1143" spans="2:10">
      <c r="C1143" s="40">
        <v>1.335</v>
      </c>
      <c r="D1143" s="34">
        <v>99</v>
      </c>
      <c r="E1143" s="23">
        <v>69.010000000000005</v>
      </c>
      <c r="F1143" s="23">
        <v>22.05</v>
      </c>
      <c r="G1143" s="23">
        <v>553.79999999999995</v>
      </c>
      <c r="H1143" s="40">
        <v>4.141</v>
      </c>
      <c r="I1143" s="13">
        <f t="shared" si="17"/>
        <v>3.1297052154195013</v>
      </c>
      <c r="J1143" s="20"/>
    </row>
    <row r="1144" spans="2:10">
      <c r="C1144" s="40">
        <v>1.468</v>
      </c>
      <c r="D1144" s="34">
        <v>88.8</v>
      </c>
      <c r="E1144" s="23">
        <v>69.099999999999994</v>
      </c>
      <c r="F1144" s="23">
        <v>21.5</v>
      </c>
      <c r="G1144" s="23">
        <v>555.70000000000005</v>
      </c>
      <c r="H1144" s="40">
        <v>5.25</v>
      </c>
      <c r="I1144" s="13">
        <f t="shared" si="17"/>
        <v>3.2139534883720926</v>
      </c>
      <c r="J1144" s="20"/>
    </row>
    <row r="1145" spans="2:10">
      <c r="C1145" s="40">
        <v>1.407</v>
      </c>
      <c r="D1145" s="34">
        <v>117.4</v>
      </c>
      <c r="E1145" s="23">
        <v>69.3</v>
      </c>
      <c r="F1145" s="23">
        <v>21.13</v>
      </c>
      <c r="G1145" s="23">
        <v>554</v>
      </c>
      <c r="H1145" s="40">
        <v>3.661</v>
      </c>
      <c r="I1145" s="13">
        <f t="shared" si="17"/>
        <v>3.2796971131093233</v>
      </c>
      <c r="J1145" s="20"/>
    </row>
    <row r="1146" spans="2:10">
      <c r="C1146" s="40">
        <v>1.151</v>
      </c>
      <c r="D1146" s="34">
        <v>102.5</v>
      </c>
      <c r="E1146" s="23">
        <v>68.95</v>
      </c>
      <c r="F1146" s="23">
        <v>21.63</v>
      </c>
      <c r="G1146" s="23">
        <v>556.5</v>
      </c>
      <c r="H1146" s="40">
        <v>3.38</v>
      </c>
      <c r="I1146" s="13">
        <f t="shared" si="17"/>
        <v>3.1877022653721685</v>
      </c>
      <c r="J1146" s="20"/>
    </row>
    <row r="1147" spans="2:10">
      <c r="C1147" s="40">
        <v>1.3480000000000001</v>
      </c>
      <c r="D1147" s="34">
        <v>112.6</v>
      </c>
      <c r="E1147" s="23">
        <v>69.23</v>
      </c>
      <c r="F1147" s="23">
        <v>21.35</v>
      </c>
      <c r="G1147" s="23">
        <v>558</v>
      </c>
      <c r="H1147" s="40">
        <v>4.7779999999999996</v>
      </c>
      <c r="I1147" s="13">
        <f t="shared" si="17"/>
        <v>3.2426229508196722</v>
      </c>
      <c r="J1147" s="20"/>
    </row>
    <row r="1148" spans="2:10">
      <c r="C1148" s="40">
        <v>1.425</v>
      </c>
      <c r="D1148" s="34">
        <v>89.2</v>
      </c>
      <c r="E1148" s="23">
        <v>68.91</v>
      </c>
      <c r="F1148" s="23">
        <v>21.4</v>
      </c>
      <c r="G1148" s="23">
        <v>558.4</v>
      </c>
      <c r="H1148" s="40">
        <v>5.4210000000000003</v>
      </c>
      <c r="I1148" s="13">
        <f t="shared" si="17"/>
        <v>3.2200934579439253</v>
      </c>
      <c r="J1148" s="20"/>
    </row>
    <row r="1149" spans="2:10">
      <c r="C1149" s="40">
        <v>1.0369999999999999</v>
      </c>
      <c r="D1149" s="34">
        <v>91.6</v>
      </c>
      <c r="E1149" s="23">
        <v>68.48</v>
      </c>
      <c r="F1149" s="23">
        <v>21.94</v>
      </c>
      <c r="G1149" s="23">
        <v>561.6</v>
      </c>
      <c r="H1149" s="40">
        <v>4.6779999999999999</v>
      </c>
      <c r="I1149" s="13">
        <f t="shared" si="17"/>
        <v>3.1212397447584319</v>
      </c>
      <c r="J1149" s="20"/>
    </row>
    <row r="1150" spans="2:10">
      <c r="C1150" s="40">
        <v>1.3939999999999999</v>
      </c>
      <c r="D1150" s="34">
        <v>101.7</v>
      </c>
      <c r="E1150" s="23">
        <v>71.17</v>
      </c>
      <c r="F1150" s="23">
        <v>21.38</v>
      </c>
      <c r="G1150" s="23">
        <v>564</v>
      </c>
      <c r="H1150" s="40">
        <v>4.2919999999999998</v>
      </c>
      <c r="I1150" s="13">
        <f t="shared" si="17"/>
        <v>3.328811973807297</v>
      </c>
      <c r="J1150" s="20"/>
    </row>
    <row r="1151" spans="2:10">
      <c r="C1151" s="40">
        <v>1.3480000000000001</v>
      </c>
      <c r="D1151" s="34">
        <v>117.5</v>
      </c>
      <c r="E1151" s="23">
        <v>71.34</v>
      </c>
      <c r="F1151" s="23">
        <v>21.35</v>
      </c>
      <c r="G1151" s="23">
        <v>563.20000000000005</v>
      </c>
      <c r="H1151" s="40">
        <v>3.38</v>
      </c>
      <c r="I1151" s="13">
        <f t="shared" si="17"/>
        <v>3.3414519906323186</v>
      </c>
      <c r="J1151" s="20"/>
    </row>
    <row r="1152" spans="2:10">
      <c r="C1152" s="40">
        <v>1.151</v>
      </c>
      <c r="D1152" s="34">
        <v>149.5</v>
      </c>
      <c r="E1152" s="23">
        <v>70.56</v>
      </c>
      <c r="F1152" s="23">
        <v>22.29</v>
      </c>
      <c r="G1152" s="23">
        <v>566.79999999999995</v>
      </c>
      <c r="H1152" s="40">
        <v>4.5140000000000002</v>
      </c>
      <c r="I1152" s="13">
        <f t="shared" si="17"/>
        <v>3.1655450874831765</v>
      </c>
      <c r="J1152" s="20"/>
    </row>
    <row r="1153" spans="2:10">
      <c r="C1153" s="40">
        <v>1.302</v>
      </c>
      <c r="D1153" s="34">
        <v>102.6</v>
      </c>
      <c r="E1153" s="23">
        <v>71.78</v>
      </c>
      <c r="F1153" s="23">
        <v>21.65</v>
      </c>
      <c r="G1153" s="23">
        <v>567.70000000000005</v>
      </c>
      <c r="H1153" s="40">
        <v>4.9269999999999996</v>
      </c>
      <c r="I1153" s="13">
        <f t="shared" si="17"/>
        <v>3.3154734411085451</v>
      </c>
      <c r="J1153" s="20"/>
    </row>
    <row r="1154" spans="2:10">
      <c r="C1154" s="40">
        <v>1.002</v>
      </c>
      <c r="D1154" s="34">
        <v>126.2</v>
      </c>
      <c r="E1154" s="23">
        <v>70.89</v>
      </c>
      <c r="F1154" s="23">
        <v>22.09</v>
      </c>
      <c r="G1154" s="23">
        <v>561.6</v>
      </c>
      <c r="H1154" s="40">
        <v>4.7930000000000001</v>
      </c>
      <c r="I1154" s="13">
        <f t="shared" si="17"/>
        <v>3.2091444092349479</v>
      </c>
      <c r="J1154" s="20"/>
    </row>
    <row r="1155" spans="2:10">
      <c r="C1155" s="40">
        <v>1.468</v>
      </c>
      <c r="D1155" s="34">
        <v>153.69999999999999</v>
      </c>
      <c r="E1155" s="23">
        <v>71.23</v>
      </c>
      <c r="F1155" s="23">
        <v>21.34</v>
      </c>
      <c r="G1155" s="23">
        <v>560.20000000000005</v>
      </c>
      <c r="H1155" s="40">
        <v>4.141</v>
      </c>
      <c r="I1155" s="13">
        <f t="shared" ref="I1155:I1218" si="18">E1155/F1155</f>
        <v>3.3378631677600752</v>
      </c>
      <c r="J1155" s="20"/>
    </row>
    <row r="1156" spans="2:10">
      <c r="C1156" s="40">
        <v>1.149</v>
      </c>
      <c r="D1156" s="34">
        <v>189.3</v>
      </c>
      <c r="E1156" s="23">
        <v>71.84</v>
      </c>
      <c r="F1156" s="23">
        <v>21.49</v>
      </c>
      <c r="G1156" s="23">
        <v>561.20000000000005</v>
      </c>
      <c r="H1156" s="40">
        <v>4.2919999999999998</v>
      </c>
      <c r="I1156" s="13">
        <f t="shared" si="18"/>
        <v>3.3429502093997212</v>
      </c>
      <c r="J1156" s="20"/>
    </row>
    <row r="1157" spans="2:10">
      <c r="C1157" s="40">
        <v>1.4410000000000001</v>
      </c>
      <c r="D1157" s="34">
        <v>154.6</v>
      </c>
      <c r="E1157" s="23">
        <v>73.05</v>
      </c>
      <c r="F1157" s="23">
        <v>21.22</v>
      </c>
      <c r="G1157" s="23">
        <v>554.20000000000005</v>
      </c>
      <c r="H1157" s="40">
        <v>4.891</v>
      </c>
      <c r="I1157" s="13">
        <f t="shared" si="18"/>
        <v>3.4425070688030162</v>
      </c>
      <c r="J1157" s="20"/>
    </row>
    <row r="1158" spans="2:10">
      <c r="C1158" s="40">
        <v>1.4359999999999999</v>
      </c>
      <c r="D1158" s="34">
        <v>162.4</v>
      </c>
      <c r="E1158" s="23">
        <v>68.849999999999994</v>
      </c>
      <c r="F1158" s="23">
        <v>21.34</v>
      </c>
      <c r="G1158" s="23">
        <v>555.1</v>
      </c>
      <c r="H1158" s="40">
        <v>3.2970000000000002</v>
      </c>
      <c r="I1158" s="13">
        <f t="shared" si="18"/>
        <v>3.2263355201499531</v>
      </c>
      <c r="J1158" s="20"/>
    </row>
    <row r="1159" spans="2:10">
      <c r="C1159" s="40">
        <v>1.335</v>
      </c>
      <c r="D1159" s="34">
        <v>103.4</v>
      </c>
      <c r="E1159" s="23">
        <v>71.38</v>
      </c>
      <c r="F1159" s="23">
        <v>21.23</v>
      </c>
      <c r="G1159" s="23">
        <v>559.6</v>
      </c>
      <c r="H1159" s="40">
        <v>2.9820000000000002</v>
      </c>
      <c r="I1159" s="13">
        <f t="shared" si="18"/>
        <v>3.3622232689590201</v>
      </c>
      <c r="J1159" s="20"/>
    </row>
    <row r="1160" spans="2:10">
      <c r="C1160" s="40">
        <v>1.4350000000000001</v>
      </c>
      <c r="D1160" s="34">
        <v>99</v>
      </c>
      <c r="E1160" s="23">
        <v>69.09</v>
      </c>
      <c r="F1160" s="23">
        <v>21.44</v>
      </c>
      <c r="G1160" s="23">
        <v>555.6</v>
      </c>
      <c r="H1160" s="40">
        <v>2.8540000000000001</v>
      </c>
      <c r="I1160" s="13">
        <f t="shared" si="18"/>
        <v>3.2224813432835822</v>
      </c>
      <c r="J1160" s="20"/>
    </row>
    <row r="1161" spans="2:10">
      <c r="C1161" s="40">
        <v>1.125</v>
      </c>
      <c r="D1161" s="34">
        <v>121</v>
      </c>
      <c r="E1161" s="23">
        <v>71.67</v>
      </c>
      <c r="F1161" s="23">
        <v>22.17</v>
      </c>
      <c r="G1161" s="23">
        <v>554.20000000000005</v>
      </c>
      <c r="H1161" s="40">
        <v>3.9529999999999998</v>
      </c>
      <c r="I1161" s="13">
        <f t="shared" si="18"/>
        <v>3.2327469553450605</v>
      </c>
      <c r="J1161" s="20"/>
    </row>
    <row r="1162" spans="2:10">
      <c r="B1162" s="47">
        <v>59</v>
      </c>
      <c r="C1162" s="39">
        <v>2.8580000000000001</v>
      </c>
      <c r="D1162" s="37">
        <v>135.9</v>
      </c>
      <c r="E1162" s="38">
        <v>90.73</v>
      </c>
      <c r="F1162" s="38">
        <v>28.33</v>
      </c>
      <c r="G1162" s="38">
        <v>530.20000000000005</v>
      </c>
      <c r="H1162" s="39">
        <v>3.6850000000000001</v>
      </c>
      <c r="I1162" s="13">
        <f t="shared" si="18"/>
        <v>3.2026120720084719</v>
      </c>
      <c r="J1162" s="20"/>
    </row>
    <row r="1163" spans="2:10">
      <c r="C1163" s="40">
        <v>2.6440000000000001</v>
      </c>
      <c r="D1163" s="34">
        <v>126.1</v>
      </c>
      <c r="E1163" s="23">
        <v>90.62</v>
      </c>
      <c r="F1163" s="23">
        <v>28.64</v>
      </c>
      <c r="G1163" s="23">
        <v>528.70000000000005</v>
      </c>
      <c r="H1163" s="40">
        <v>4.1879999999999997</v>
      </c>
      <c r="I1163" s="13">
        <f t="shared" si="18"/>
        <v>3.1641061452513966</v>
      </c>
      <c r="J1163" s="20"/>
    </row>
    <row r="1164" spans="2:10">
      <c r="C1164" s="40">
        <v>2.82</v>
      </c>
      <c r="D1164" s="34">
        <v>137.5</v>
      </c>
      <c r="E1164" s="23">
        <v>84.86</v>
      </c>
      <c r="F1164" s="23">
        <v>28.31</v>
      </c>
      <c r="G1164" s="23">
        <v>526.6</v>
      </c>
      <c r="H1164" s="40">
        <v>3.673</v>
      </c>
      <c r="I1164" s="13">
        <f t="shared" si="18"/>
        <v>2.9975273754856944</v>
      </c>
      <c r="J1164" s="20"/>
    </row>
    <row r="1165" spans="2:10">
      <c r="C1165" s="40">
        <v>2.79</v>
      </c>
      <c r="D1165" s="34">
        <v>130.9</v>
      </c>
      <c r="E1165" s="23">
        <v>83.38</v>
      </c>
      <c r="F1165" s="23">
        <v>28.1</v>
      </c>
      <c r="G1165" s="23">
        <v>526.1</v>
      </c>
      <c r="H1165" s="40">
        <v>3.734</v>
      </c>
      <c r="I1165" s="13">
        <f t="shared" si="18"/>
        <v>2.9672597864768679</v>
      </c>
      <c r="J1165" s="20"/>
    </row>
    <row r="1166" spans="2:10">
      <c r="C1166" s="40">
        <v>2.39</v>
      </c>
      <c r="D1166" s="34">
        <v>134.9</v>
      </c>
      <c r="E1166" s="23">
        <v>83.88</v>
      </c>
      <c r="F1166" s="23">
        <v>28.45</v>
      </c>
      <c r="G1166" s="23">
        <v>525.70000000000005</v>
      </c>
      <c r="H1166" s="40">
        <v>3.4940000000000002</v>
      </c>
      <c r="I1166" s="13">
        <f t="shared" si="18"/>
        <v>2.9483304042179261</v>
      </c>
      <c r="J1166" s="20"/>
    </row>
    <row r="1167" spans="2:10">
      <c r="C1167" s="40">
        <v>2.0569999999999999</v>
      </c>
      <c r="D1167" s="34">
        <v>132.5</v>
      </c>
      <c r="E1167" s="23">
        <v>87.63</v>
      </c>
      <c r="F1167" s="23">
        <v>28.21</v>
      </c>
      <c r="G1167" s="23">
        <v>529.1</v>
      </c>
      <c r="H1167" s="40">
        <v>3.012</v>
      </c>
      <c r="I1167" s="13">
        <f t="shared" si="18"/>
        <v>3.1063452676355898</v>
      </c>
      <c r="J1167" s="20"/>
    </row>
    <row r="1168" spans="2:10">
      <c r="C1168" s="40">
        <v>2.7309999999999999</v>
      </c>
      <c r="D1168" s="34">
        <v>153</v>
      </c>
      <c r="E1168" s="23">
        <v>85.56</v>
      </c>
      <c r="F1168" s="23">
        <v>29.6</v>
      </c>
      <c r="G1168" s="23">
        <v>531</v>
      </c>
      <c r="H1168" s="40">
        <v>4.0449999999999999</v>
      </c>
      <c r="I1168" s="13">
        <f t="shared" si="18"/>
        <v>2.8905405405405404</v>
      </c>
      <c r="J1168" s="20"/>
    </row>
    <row r="1169" spans="2:10">
      <c r="C1169" s="40">
        <v>2.5979999999999999</v>
      </c>
      <c r="D1169" s="34">
        <v>135.9</v>
      </c>
      <c r="E1169" s="23">
        <v>87.89</v>
      </c>
      <c r="F1169" s="23">
        <v>29.42</v>
      </c>
      <c r="G1169" s="23">
        <v>530.1</v>
      </c>
      <c r="H1169" s="40">
        <v>3.05</v>
      </c>
      <c r="I1169" s="13">
        <f t="shared" si="18"/>
        <v>2.9874235214140041</v>
      </c>
      <c r="J1169" s="20"/>
    </row>
    <row r="1170" spans="2:10">
      <c r="C1170" s="40">
        <v>2.5619999999999998</v>
      </c>
      <c r="D1170" s="34">
        <v>137.9</v>
      </c>
      <c r="E1170" s="23">
        <v>88.89</v>
      </c>
      <c r="F1170" s="23">
        <v>29.21</v>
      </c>
      <c r="G1170" s="23">
        <v>532</v>
      </c>
      <c r="H1170" s="40">
        <v>3.7549999999999999</v>
      </c>
      <c r="I1170" s="13">
        <f t="shared" si="18"/>
        <v>3.0431359123587813</v>
      </c>
      <c r="J1170" s="20"/>
    </row>
    <row r="1171" spans="2:10">
      <c r="C1171" s="40">
        <v>1.8220000000000001</v>
      </c>
      <c r="D1171" s="34">
        <v>130.30000000000001</v>
      </c>
      <c r="E1171" s="23">
        <v>89.45</v>
      </c>
      <c r="F1171" s="23">
        <v>29.45</v>
      </c>
      <c r="G1171" s="23">
        <v>531.29999999999995</v>
      </c>
      <c r="H1171" s="40">
        <v>3.3180000000000001</v>
      </c>
      <c r="I1171" s="13">
        <f t="shared" si="18"/>
        <v>3.037351443123939</v>
      </c>
      <c r="J1171" s="20"/>
    </row>
    <row r="1172" spans="2:10">
      <c r="C1172" s="40">
        <v>1.8360000000000001</v>
      </c>
      <c r="D1172" s="34">
        <v>126.1</v>
      </c>
      <c r="E1172" s="23">
        <v>90.9</v>
      </c>
      <c r="F1172" s="23">
        <v>28.5</v>
      </c>
      <c r="G1172" s="23">
        <v>530.9</v>
      </c>
      <c r="H1172" s="40">
        <v>4.1630000000000003</v>
      </c>
      <c r="I1172" s="13">
        <f t="shared" si="18"/>
        <v>3.1894736842105265</v>
      </c>
      <c r="J1172" s="20"/>
    </row>
    <row r="1173" spans="2:10">
      <c r="C1173" s="40">
        <v>2.4649999999999999</v>
      </c>
      <c r="D1173" s="34">
        <v>128.69999999999999</v>
      </c>
      <c r="E1173" s="23">
        <v>88.09</v>
      </c>
      <c r="F1173" s="23">
        <v>28.56</v>
      </c>
      <c r="G1173" s="23">
        <v>533.1</v>
      </c>
      <c r="H1173" s="40">
        <v>3.7080000000000002</v>
      </c>
      <c r="I1173" s="13">
        <f t="shared" si="18"/>
        <v>3.0843837535014007</v>
      </c>
      <c r="J1173" s="20"/>
    </row>
    <row r="1174" spans="2:10">
      <c r="C1174" s="40">
        <v>1.92</v>
      </c>
      <c r="D1174" s="34">
        <v>130.30000000000001</v>
      </c>
      <c r="E1174" s="23">
        <v>87.98</v>
      </c>
      <c r="F1174" s="23">
        <v>29.14</v>
      </c>
      <c r="G1174" s="23">
        <v>528.29999999999995</v>
      </c>
      <c r="H1174" s="40">
        <v>3.157</v>
      </c>
      <c r="I1174" s="13">
        <f t="shared" si="18"/>
        <v>3.0192175703500346</v>
      </c>
      <c r="J1174" s="20"/>
    </row>
    <row r="1175" spans="2:10">
      <c r="C1175" s="40">
        <v>2.8519999999999999</v>
      </c>
      <c r="D1175" s="34">
        <v>141.30000000000001</v>
      </c>
      <c r="E1175" s="23">
        <v>89.67</v>
      </c>
      <c r="F1175" s="23">
        <v>29.48</v>
      </c>
      <c r="G1175" s="23">
        <v>530.29999999999995</v>
      </c>
      <c r="H1175" s="40">
        <v>3.3580000000000001</v>
      </c>
      <c r="I1175" s="13">
        <f t="shared" si="18"/>
        <v>3.0417232021709633</v>
      </c>
      <c r="J1175" s="20"/>
    </row>
    <row r="1176" spans="2:10">
      <c r="C1176" s="40">
        <v>2.1190000000000002</v>
      </c>
      <c r="D1176" s="34">
        <v>161.1</v>
      </c>
      <c r="E1176" s="23">
        <v>89.63</v>
      </c>
      <c r="F1176" s="23">
        <v>30.33</v>
      </c>
      <c r="G1176" s="23">
        <v>530.1</v>
      </c>
      <c r="H1176" s="40">
        <v>4.0519999999999996</v>
      </c>
      <c r="I1176" s="13">
        <f t="shared" si="18"/>
        <v>2.9551599076821629</v>
      </c>
      <c r="J1176" s="20"/>
    </row>
    <row r="1177" spans="2:10">
      <c r="C1177" s="40">
        <v>2.2160000000000002</v>
      </c>
      <c r="D1177" s="34">
        <v>135.9</v>
      </c>
      <c r="E1177" s="23">
        <v>88.31</v>
      </c>
      <c r="F1177" s="23">
        <v>30.04</v>
      </c>
      <c r="G1177" s="23">
        <v>529.1</v>
      </c>
      <c r="H1177" s="40">
        <v>3.9350000000000001</v>
      </c>
      <c r="I1177" s="13">
        <f t="shared" si="18"/>
        <v>2.939747003994674</v>
      </c>
      <c r="J1177" s="20"/>
    </row>
    <row r="1178" spans="2:10">
      <c r="C1178" s="40">
        <v>2.1579999999999999</v>
      </c>
      <c r="D1178" s="34">
        <v>147.9</v>
      </c>
      <c r="E1178" s="23">
        <v>90.21</v>
      </c>
      <c r="F1178" s="23">
        <v>30.32</v>
      </c>
      <c r="G1178" s="23">
        <v>526.70000000000005</v>
      </c>
      <c r="H1178" s="40">
        <v>3.7759999999999998</v>
      </c>
      <c r="I1178" s="13">
        <f t="shared" si="18"/>
        <v>2.9752638522427439</v>
      </c>
      <c r="J1178" s="20"/>
    </row>
    <row r="1179" spans="2:10">
      <c r="C1179" s="40">
        <v>1.794</v>
      </c>
      <c r="D1179" s="34">
        <v>136.30000000000001</v>
      </c>
      <c r="E1179" s="23">
        <v>87.89</v>
      </c>
      <c r="F1179" s="23">
        <v>29.89</v>
      </c>
      <c r="G1179" s="23">
        <v>527.1</v>
      </c>
      <c r="H1179" s="40">
        <v>4.1159999999999997</v>
      </c>
      <c r="I1179" s="13">
        <f t="shared" si="18"/>
        <v>2.9404483104717296</v>
      </c>
      <c r="J1179" s="20"/>
    </row>
    <row r="1180" spans="2:10">
      <c r="C1180" s="40">
        <v>2.7109999999999999</v>
      </c>
      <c r="D1180" s="34">
        <v>137.19999999999999</v>
      </c>
      <c r="E1180" s="23">
        <v>89.06</v>
      </c>
      <c r="F1180" s="23">
        <v>28.15</v>
      </c>
      <c r="G1180" s="23">
        <v>528.4</v>
      </c>
      <c r="H1180" s="40">
        <v>3.5089999999999999</v>
      </c>
      <c r="I1180" s="13">
        <f t="shared" si="18"/>
        <v>3.1637655417406751</v>
      </c>
      <c r="J1180" s="20"/>
    </row>
    <row r="1181" spans="2:10">
      <c r="C1181" s="40">
        <v>2.0310000000000001</v>
      </c>
      <c r="D1181" s="34">
        <v>132.5</v>
      </c>
      <c r="E1181" s="23">
        <v>89.46</v>
      </c>
      <c r="F1181" s="23">
        <v>29.11</v>
      </c>
      <c r="G1181" s="23">
        <v>527.79999999999995</v>
      </c>
      <c r="H1181" s="40">
        <v>4.109</v>
      </c>
      <c r="I1181" s="13">
        <f t="shared" si="18"/>
        <v>3.0731707317073171</v>
      </c>
      <c r="J1181" s="20"/>
    </row>
    <row r="1182" spans="2:10">
      <c r="B1182" s="47">
        <v>60</v>
      </c>
      <c r="C1182" s="39">
        <v>2.21</v>
      </c>
      <c r="D1182" s="37">
        <v>138.80000000000001</v>
      </c>
      <c r="E1182" s="38">
        <v>87.06</v>
      </c>
      <c r="F1182" s="38">
        <v>19.309999999999999</v>
      </c>
      <c r="G1182" s="38">
        <v>511.8</v>
      </c>
      <c r="H1182" s="39">
        <v>4.28</v>
      </c>
      <c r="I1182" s="13">
        <f t="shared" si="18"/>
        <v>4.5085447954427762</v>
      </c>
      <c r="J1182" s="20"/>
    </row>
    <row r="1183" spans="2:10">
      <c r="C1183" s="40">
        <v>2.2210000000000001</v>
      </c>
      <c r="D1183" s="34">
        <v>123</v>
      </c>
      <c r="E1183" s="23">
        <v>87.62</v>
      </c>
      <c r="F1183" s="23">
        <v>19.28</v>
      </c>
      <c r="G1183" s="23">
        <v>510.7</v>
      </c>
      <c r="H1183" s="40">
        <v>4.4029999999999996</v>
      </c>
      <c r="I1183" s="13">
        <f t="shared" si="18"/>
        <v>4.5446058091286305</v>
      </c>
      <c r="J1183" s="20"/>
    </row>
    <row r="1184" spans="2:10">
      <c r="C1184" s="40">
        <v>1.8009999999999999</v>
      </c>
      <c r="D1184" s="34">
        <v>124.2</v>
      </c>
      <c r="E1184" s="23">
        <v>88.63</v>
      </c>
      <c r="F1184" s="23">
        <v>19.59</v>
      </c>
      <c r="G1184" s="23">
        <v>512.9</v>
      </c>
      <c r="H1184" s="40">
        <v>4.3490000000000002</v>
      </c>
      <c r="I1184" s="13">
        <f t="shared" si="18"/>
        <v>4.5242470648289945</v>
      </c>
      <c r="J1184" s="20"/>
    </row>
    <row r="1185" spans="3:10">
      <c r="C1185" s="40">
        <v>1.8620000000000001</v>
      </c>
      <c r="D1185" s="34">
        <v>136.5</v>
      </c>
      <c r="E1185" s="23">
        <v>85.94</v>
      </c>
      <c r="F1185" s="23">
        <v>20.23</v>
      </c>
      <c r="G1185" s="23">
        <v>512.4</v>
      </c>
      <c r="H1185" s="40">
        <v>4.0730000000000004</v>
      </c>
      <c r="I1185" s="13">
        <f t="shared" si="18"/>
        <v>4.2481463173504697</v>
      </c>
      <c r="J1185" s="20"/>
    </row>
    <row r="1186" spans="3:10">
      <c r="C1186" s="40">
        <v>2.214</v>
      </c>
      <c r="D1186" s="34">
        <v>170</v>
      </c>
      <c r="E1186" s="23">
        <v>87.89</v>
      </c>
      <c r="F1186" s="23">
        <v>19.32</v>
      </c>
      <c r="G1186" s="23">
        <v>512</v>
      </c>
      <c r="H1186" s="40">
        <v>4.8380000000000001</v>
      </c>
      <c r="I1186" s="13">
        <f t="shared" si="18"/>
        <v>4.5491718426501038</v>
      </c>
      <c r="J1186" s="20"/>
    </row>
    <row r="1187" spans="3:10">
      <c r="C1187" s="40">
        <v>2.089</v>
      </c>
      <c r="D1187" s="34">
        <v>111.6</v>
      </c>
      <c r="E1187" s="23">
        <v>87.4</v>
      </c>
      <c r="F1187" s="23">
        <v>20.45</v>
      </c>
      <c r="G1187" s="23">
        <v>511.2</v>
      </c>
      <c r="H1187" s="40">
        <v>5.0350000000000001</v>
      </c>
      <c r="I1187" s="13">
        <f t="shared" si="18"/>
        <v>4.2738386308068463</v>
      </c>
      <c r="J1187" s="20"/>
    </row>
    <row r="1188" spans="3:10">
      <c r="C1188" s="40">
        <v>1.724</v>
      </c>
      <c r="D1188" s="34">
        <v>96.1</v>
      </c>
      <c r="E1188" s="23">
        <v>87.11</v>
      </c>
      <c r="F1188" s="23">
        <v>20.329999999999998</v>
      </c>
      <c r="G1188" s="23">
        <v>510.2</v>
      </c>
      <c r="H1188" s="40">
        <v>5.2629999999999999</v>
      </c>
      <c r="I1188" s="13">
        <f t="shared" si="18"/>
        <v>4.284800787014265</v>
      </c>
      <c r="J1188" s="20"/>
    </row>
    <row r="1189" spans="3:10">
      <c r="C1189" s="40">
        <v>2.1120000000000001</v>
      </c>
      <c r="D1189" s="34">
        <v>80</v>
      </c>
      <c r="E1189" s="23">
        <v>87.98</v>
      </c>
      <c r="F1189" s="23">
        <v>19.29</v>
      </c>
      <c r="G1189" s="23">
        <v>509.7</v>
      </c>
      <c r="H1189" s="40">
        <v>6.0709999999999997</v>
      </c>
      <c r="I1189" s="13">
        <f t="shared" si="18"/>
        <v>4.5609123898392951</v>
      </c>
      <c r="J1189" s="20"/>
    </row>
    <row r="1190" spans="3:10">
      <c r="C1190" s="40">
        <v>2.234</v>
      </c>
      <c r="D1190" s="34">
        <v>81.7</v>
      </c>
      <c r="E1190" s="23">
        <v>87.22</v>
      </c>
      <c r="F1190" s="23">
        <v>19.5</v>
      </c>
      <c r="G1190" s="23">
        <v>508.5</v>
      </c>
      <c r="H1190" s="40">
        <v>6.2149999999999999</v>
      </c>
      <c r="I1190" s="13">
        <f t="shared" si="18"/>
        <v>4.4728205128205127</v>
      </c>
      <c r="J1190" s="20"/>
    </row>
    <row r="1191" spans="3:10">
      <c r="C1191" s="40">
        <v>2.0990000000000002</v>
      </c>
      <c r="D1191" s="34">
        <v>128.6</v>
      </c>
      <c r="E1191" s="23">
        <v>87.96</v>
      </c>
      <c r="F1191" s="23">
        <v>20.55</v>
      </c>
      <c r="G1191" s="23">
        <v>509.7</v>
      </c>
      <c r="H1191" s="40">
        <v>5.5869999999999997</v>
      </c>
      <c r="I1191" s="13">
        <f t="shared" si="18"/>
        <v>4.280291970802919</v>
      </c>
      <c r="J1191" s="20"/>
    </row>
    <row r="1192" spans="3:10">
      <c r="C1192" s="40">
        <v>2.2749999999999999</v>
      </c>
      <c r="D1192" s="34">
        <v>162.1</v>
      </c>
      <c r="E1192" s="23">
        <v>87.07</v>
      </c>
      <c r="F1192" s="23">
        <v>20.32</v>
      </c>
      <c r="G1192" s="23">
        <v>510.5</v>
      </c>
      <c r="H1192" s="40">
        <v>6.8109999999999999</v>
      </c>
      <c r="I1192" s="13">
        <f t="shared" si="18"/>
        <v>4.2849409448818889</v>
      </c>
      <c r="J1192" s="20"/>
    </row>
    <row r="1193" spans="3:10">
      <c r="C1193" s="40">
        <v>2.7240000000000002</v>
      </c>
      <c r="D1193" s="34">
        <v>128.9</v>
      </c>
      <c r="E1193" s="23">
        <v>86.79</v>
      </c>
      <c r="F1193" s="23">
        <v>20.27</v>
      </c>
      <c r="G1193" s="23">
        <v>511.1</v>
      </c>
      <c r="H1193" s="40">
        <v>4.3490000000000002</v>
      </c>
      <c r="I1193" s="13">
        <f t="shared" si="18"/>
        <v>4.2816970892945241</v>
      </c>
      <c r="J1193" s="20"/>
    </row>
    <row r="1194" spans="3:10">
      <c r="C1194" s="40">
        <v>1.6379999999999999</v>
      </c>
      <c r="D1194" s="34">
        <v>111</v>
      </c>
      <c r="E1194" s="23">
        <v>87.68</v>
      </c>
      <c r="F1194" s="23">
        <v>19.600000000000001</v>
      </c>
      <c r="G1194" s="23">
        <v>513.20000000000005</v>
      </c>
      <c r="H1194" s="40">
        <v>5.5880000000000001</v>
      </c>
      <c r="I1194" s="13">
        <f t="shared" si="18"/>
        <v>4.4734693877551024</v>
      </c>
      <c r="J1194" s="20"/>
    </row>
    <row r="1195" spans="3:10">
      <c r="C1195" s="40">
        <v>2.0339999999999998</v>
      </c>
      <c r="D1195" s="34">
        <v>143.4</v>
      </c>
      <c r="E1195" s="23">
        <v>89.98</v>
      </c>
      <c r="F1195" s="23">
        <v>20.079999999999998</v>
      </c>
      <c r="G1195" s="23">
        <v>514.5</v>
      </c>
      <c r="H1195" s="40">
        <v>5.6550000000000002</v>
      </c>
      <c r="I1195" s="13">
        <f t="shared" si="18"/>
        <v>4.4810756972111561</v>
      </c>
      <c r="J1195" s="20"/>
    </row>
    <row r="1196" spans="3:10">
      <c r="C1196" s="40">
        <v>2.2509999999999999</v>
      </c>
      <c r="D1196" s="34">
        <v>170</v>
      </c>
      <c r="E1196" s="23">
        <v>90.79</v>
      </c>
      <c r="F1196" s="23">
        <v>20.48</v>
      </c>
      <c r="G1196" s="23">
        <v>513.6</v>
      </c>
      <c r="H1196" s="40">
        <v>4.173</v>
      </c>
      <c r="I1196" s="13">
        <f t="shared" si="18"/>
        <v>4.43310546875</v>
      </c>
      <c r="J1196" s="20"/>
    </row>
    <row r="1197" spans="3:10">
      <c r="C1197" s="40">
        <v>1.86</v>
      </c>
      <c r="D1197" s="34">
        <v>118.1</v>
      </c>
      <c r="E1197" s="23">
        <v>88.13</v>
      </c>
      <c r="F1197" s="23">
        <v>19.350000000000001</v>
      </c>
      <c r="G1197" s="23">
        <v>514.29999999999995</v>
      </c>
      <c r="H1197" s="40">
        <v>5.4489999999999998</v>
      </c>
      <c r="I1197" s="13">
        <f t="shared" si="18"/>
        <v>4.5545219638242891</v>
      </c>
      <c r="J1197" s="20"/>
    </row>
    <row r="1198" spans="3:10">
      <c r="C1198" s="40">
        <v>1.724</v>
      </c>
      <c r="D1198" s="34">
        <v>110.6</v>
      </c>
      <c r="E1198" s="23">
        <v>89.44</v>
      </c>
      <c r="F1198" s="23">
        <v>20.329999999999998</v>
      </c>
      <c r="G1198" s="23">
        <v>513.5</v>
      </c>
      <c r="H1198" s="40">
        <v>5.7290000000000001</v>
      </c>
      <c r="I1198" s="13">
        <f t="shared" si="18"/>
        <v>4.3994097393015252</v>
      </c>
      <c r="J1198" s="20"/>
    </row>
    <row r="1199" spans="3:10">
      <c r="C1199" s="40">
        <v>1.6459999999999999</v>
      </c>
      <c r="D1199" s="34">
        <v>128.9</v>
      </c>
      <c r="E1199" s="23">
        <v>89.72</v>
      </c>
      <c r="F1199" s="23">
        <v>19.29</v>
      </c>
      <c r="G1199" s="23">
        <v>515.1</v>
      </c>
      <c r="H1199" s="40">
        <v>6.0720000000000001</v>
      </c>
      <c r="I1199" s="13">
        <f t="shared" si="18"/>
        <v>4.6511145671332299</v>
      </c>
      <c r="J1199" s="20"/>
    </row>
    <row r="1200" spans="3:10">
      <c r="C1200" s="40">
        <v>1.4610000000000001</v>
      </c>
      <c r="D1200" s="34">
        <v>123</v>
      </c>
      <c r="E1200" s="23">
        <v>88.45</v>
      </c>
      <c r="F1200" s="23">
        <v>20.65</v>
      </c>
      <c r="G1200" s="23">
        <v>511.4</v>
      </c>
      <c r="H1200" s="40">
        <v>5.5869999999999997</v>
      </c>
      <c r="I1200" s="13">
        <f t="shared" si="18"/>
        <v>4.283292978208233</v>
      </c>
      <c r="J1200" s="20"/>
    </row>
    <row r="1201" spans="2:10">
      <c r="C1201" s="40">
        <v>1.3740000000000001</v>
      </c>
      <c r="D1201" s="34">
        <v>119.4</v>
      </c>
      <c r="E1201" s="23">
        <v>90.23</v>
      </c>
      <c r="F1201" s="23">
        <v>20.39</v>
      </c>
      <c r="G1201" s="23">
        <v>510.7</v>
      </c>
      <c r="H1201" s="40">
        <v>6.9130000000000003</v>
      </c>
      <c r="I1201" s="13">
        <f t="shared" si="18"/>
        <v>4.425208435507602</v>
      </c>
      <c r="J1201" s="20"/>
    </row>
    <row r="1202" spans="2:10">
      <c r="B1202" s="47">
        <v>61</v>
      </c>
      <c r="C1202" s="39">
        <v>1.8740000000000001</v>
      </c>
      <c r="D1202" s="37">
        <v>124.8</v>
      </c>
      <c r="E1202" s="38">
        <v>84.27</v>
      </c>
      <c r="F1202" s="38">
        <v>30.14</v>
      </c>
      <c r="G1202" s="38">
        <v>531.1</v>
      </c>
      <c r="H1202" s="39">
        <v>3.7450000000000001</v>
      </c>
      <c r="I1202" s="13">
        <f t="shared" si="18"/>
        <v>2.7959522229595222</v>
      </c>
      <c r="J1202" s="20"/>
    </row>
    <row r="1203" spans="2:10">
      <c r="C1203" s="40">
        <v>1.851</v>
      </c>
      <c r="D1203" s="34">
        <v>122.6</v>
      </c>
      <c r="E1203" s="23">
        <v>84.47</v>
      </c>
      <c r="F1203" s="23">
        <v>30.5</v>
      </c>
      <c r="G1203" s="23">
        <v>532.6</v>
      </c>
      <c r="H1203" s="40">
        <v>3.5249999999999999</v>
      </c>
      <c r="I1203" s="13">
        <f t="shared" si="18"/>
        <v>2.7695081967213113</v>
      </c>
      <c r="J1203" s="48"/>
    </row>
    <row r="1204" spans="2:10">
      <c r="C1204" s="40">
        <v>1.7849999999999999</v>
      </c>
      <c r="D1204" s="34">
        <v>113</v>
      </c>
      <c r="E1204" s="23">
        <v>83.32</v>
      </c>
      <c r="F1204" s="23">
        <v>30.24</v>
      </c>
      <c r="G1204" s="23">
        <v>530.1</v>
      </c>
      <c r="H1204" s="40">
        <v>4.2679999999999998</v>
      </c>
      <c r="I1204" s="13">
        <f t="shared" si="18"/>
        <v>2.7552910052910051</v>
      </c>
      <c r="J1204" s="48"/>
    </row>
    <row r="1205" spans="2:10">
      <c r="C1205" s="40">
        <v>1.724</v>
      </c>
      <c r="D1205" s="34">
        <v>116.8</v>
      </c>
      <c r="E1205" s="23">
        <v>84.23</v>
      </c>
      <c r="F1205" s="23">
        <v>29.89</v>
      </c>
      <c r="G1205" s="23">
        <v>531.5</v>
      </c>
      <c r="H1205" s="40">
        <v>3.887</v>
      </c>
      <c r="I1205" s="13">
        <f t="shared" si="18"/>
        <v>2.8179993308798932</v>
      </c>
      <c r="J1205" s="20"/>
    </row>
    <row r="1206" spans="2:10">
      <c r="C1206" s="40">
        <v>1.669</v>
      </c>
      <c r="D1206" s="34">
        <v>154.69999999999999</v>
      </c>
      <c r="E1206" s="23">
        <v>85.08</v>
      </c>
      <c r="F1206" s="23">
        <v>29.36</v>
      </c>
      <c r="G1206" s="23">
        <v>533</v>
      </c>
      <c r="H1206" s="40">
        <v>4.8230000000000004</v>
      </c>
      <c r="I1206" s="13">
        <f t="shared" si="18"/>
        <v>2.8978201634877383</v>
      </c>
      <c r="J1206" s="20"/>
    </row>
    <row r="1207" spans="2:10">
      <c r="C1207" s="40">
        <v>1.7450000000000001</v>
      </c>
      <c r="D1207" s="34">
        <v>130.19999999999999</v>
      </c>
      <c r="E1207" s="23">
        <v>85.23</v>
      </c>
      <c r="F1207" s="23">
        <v>30.34</v>
      </c>
      <c r="G1207" s="23">
        <v>540</v>
      </c>
      <c r="H1207" s="40">
        <v>4.1120000000000001</v>
      </c>
      <c r="I1207" s="13">
        <f t="shared" si="18"/>
        <v>2.8091628213579436</v>
      </c>
      <c r="J1207" s="20"/>
    </row>
    <row r="1208" spans="2:10">
      <c r="C1208" s="40">
        <v>1.625</v>
      </c>
      <c r="D1208" s="34">
        <v>112.8</v>
      </c>
      <c r="E1208" s="23">
        <v>84.89</v>
      </c>
      <c r="F1208" s="23">
        <v>30.03</v>
      </c>
      <c r="G1208" s="23">
        <v>532.5</v>
      </c>
      <c r="H1208" s="40">
        <v>4.2619999999999996</v>
      </c>
      <c r="I1208" s="13">
        <f t="shared" si="18"/>
        <v>2.8268398268398269</v>
      </c>
      <c r="J1208" s="20"/>
    </row>
    <row r="1209" spans="2:10">
      <c r="C1209" s="40">
        <v>1.673</v>
      </c>
      <c r="D1209" s="34">
        <v>137.5</v>
      </c>
      <c r="E1209" s="23">
        <v>84.23</v>
      </c>
      <c r="F1209" s="23">
        <v>30.53</v>
      </c>
      <c r="G1209" s="23">
        <v>535.70000000000005</v>
      </c>
      <c r="H1209" s="40">
        <v>3.5049999999999999</v>
      </c>
      <c r="I1209" s="13">
        <f t="shared" si="18"/>
        <v>2.7589256469046841</v>
      </c>
      <c r="J1209" s="20"/>
    </row>
    <row r="1210" spans="2:10">
      <c r="C1210" s="40">
        <v>1.595</v>
      </c>
      <c r="D1210" s="34">
        <v>107</v>
      </c>
      <c r="E1210" s="23">
        <v>84.34</v>
      </c>
      <c r="F1210" s="23">
        <v>30.7</v>
      </c>
      <c r="G1210" s="23">
        <v>533.5</v>
      </c>
      <c r="H1210" s="40">
        <v>3.6880000000000002</v>
      </c>
      <c r="I1210" s="13">
        <f t="shared" si="18"/>
        <v>2.7472312703583062</v>
      </c>
      <c r="J1210" s="20"/>
    </row>
    <row r="1211" spans="2:10">
      <c r="C1211" s="40">
        <v>1.95</v>
      </c>
      <c r="D1211" s="34">
        <v>110.3</v>
      </c>
      <c r="E1211" s="23">
        <v>85.02</v>
      </c>
      <c r="F1211" s="23">
        <v>30.12</v>
      </c>
      <c r="G1211" s="23">
        <v>536.20000000000005</v>
      </c>
      <c r="H1211" s="40">
        <v>4.21</v>
      </c>
      <c r="I1211" s="13">
        <f t="shared" si="18"/>
        <v>2.8227091633466133</v>
      </c>
      <c r="J1211" s="20"/>
    </row>
    <row r="1212" spans="2:10">
      <c r="C1212" s="40">
        <v>1.516</v>
      </c>
      <c r="D1212" s="34">
        <v>114.2</v>
      </c>
      <c r="E1212" s="23">
        <v>84.11</v>
      </c>
      <c r="F1212" s="23">
        <v>29.3</v>
      </c>
      <c r="G1212" s="23">
        <v>534.5</v>
      </c>
      <c r="H1212" s="40">
        <v>4.5529999999999999</v>
      </c>
      <c r="I1212" s="13">
        <f t="shared" si="18"/>
        <v>2.8706484641638226</v>
      </c>
      <c r="J1212" s="48"/>
    </row>
    <row r="1213" spans="2:10">
      <c r="C1213" s="40">
        <v>1.2929999999999999</v>
      </c>
      <c r="D1213" s="34">
        <v>162</v>
      </c>
      <c r="E1213" s="23">
        <v>84.44</v>
      </c>
      <c r="F1213" s="23">
        <v>29.89</v>
      </c>
      <c r="G1213" s="23">
        <v>534.6</v>
      </c>
      <c r="H1213" s="40">
        <v>3.8279999999999998</v>
      </c>
      <c r="I1213" s="13">
        <f t="shared" si="18"/>
        <v>2.8250250920040147</v>
      </c>
      <c r="J1213" s="20"/>
    </row>
    <row r="1214" spans="2:10">
      <c r="C1214" s="40">
        <v>1.2869999999999999</v>
      </c>
      <c r="D1214" s="34">
        <v>173.2</v>
      </c>
      <c r="E1214" s="23">
        <v>85.43</v>
      </c>
      <c r="F1214" s="23">
        <v>30.58</v>
      </c>
      <c r="G1214" s="23">
        <v>533.5</v>
      </c>
      <c r="H1214" s="40">
        <v>3.605</v>
      </c>
      <c r="I1214" s="13">
        <f t="shared" si="18"/>
        <v>2.7936559843034665</v>
      </c>
      <c r="J1214" s="20"/>
    </row>
    <row r="1215" spans="2:10">
      <c r="C1215" s="40">
        <v>1.35</v>
      </c>
      <c r="D1215" s="34">
        <v>175.4</v>
      </c>
      <c r="E1215" s="23">
        <v>84.27</v>
      </c>
      <c r="F1215" s="23">
        <v>30.39</v>
      </c>
      <c r="G1215" s="23">
        <v>532</v>
      </c>
      <c r="H1215" s="40">
        <v>4.5069999999999997</v>
      </c>
      <c r="I1215" s="13">
        <f t="shared" si="18"/>
        <v>2.7729516288252714</v>
      </c>
      <c r="J1215" s="20"/>
    </row>
    <row r="1216" spans="2:10">
      <c r="C1216" s="40">
        <v>1.3360000000000001</v>
      </c>
      <c r="D1216" s="34">
        <v>77.400000000000006</v>
      </c>
      <c r="E1216" s="23">
        <v>84.74</v>
      </c>
      <c r="F1216" s="23">
        <v>29.64</v>
      </c>
      <c r="G1216" s="23">
        <v>531.4</v>
      </c>
      <c r="H1216" s="40">
        <v>5.3310000000000004</v>
      </c>
      <c r="I1216" s="13">
        <f t="shared" si="18"/>
        <v>2.8589743589743586</v>
      </c>
      <c r="J1216" s="20"/>
    </row>
    <row r="1217" spans="2:10">
      <c r="C1217" s="40">
        <v>1.35</v>
      </c>
      <c r="D1217" s="34">
        <v>84</v>
      </c>
      <c r="E1217" s="23">
        <v>83.04</v>
      </c>
      <c r="F1217" s="23">
        <v>31.76</v>
      </c>
      <c r="G1217" s="23">
        <v>529.4</v>
      </c>
      <c r="H1217" s="40">
        <v>4.2050000000000001</v>
      </c>
      <c r="I1217" s="13">
        <f t="shared" si="18"/>
        <v>2.6146095717884132</v>
      </c>
      <c r="J1217" s="20"/>
    </row>
    <row r="1218" spans="2:10">
      <c r="C1218" s="40">
        <v>1.3440000000000001</v>
      </c>
      <c r="D1218" s="34">
        <v>112.6</v>
      </c>
      <c r="E1218" s="23">
        <v>83.95</v>
      </c>
      <c r="F1218" s="23">
        <v>31.32</v>
      </c>
      <c r="G1218" s="23">
        <v>529.9</v>
      </c>
      <c r="H1218" s="40">
        <v>4.9960000000000004</v>
      </c>
      <c r="I1218" s="13">
        <f t="shared" si="18"/>
        <v>2.6803959131545341</v>
      </c>
      <c r="J1218" s="20"/>
    </row>
    <row r="1219" spans="2:10">
      <c r="C1219" s="40">
        <v>1.631</v>
      </c>
      <c r="D1219" s="34">
        <v>162</v>
      </c>
      <c r="E1219" s="23">
        <v>85.38</v>
      </c>
      <c r="F1219" s="23">
        <v>30.89</v>
      </c>
      <c r="G1219" s="23">
        <v>529.4</v>
      </c>
      <c r="H1219" s="40">
        <v>3.7410000000000001</v>
      </c>
      <c r="I1219" s="13">
        <f t="shared" ref="I1219:I1282" si="19">E1219/F1219</f>
        <v>2.7640012949174486</v>
      </c>
      <c r="J1219" s="20"/>
    </row>
    <row r="1220" spans="2:10">
      <c r="C1220" s="40">
        <v>1.4239999999999999</v>
      </c>
      <c r="D1220" s="34">
        <v>154.69999999999999</v>
      </c>
      <c r="E1220" s="23">
        <v>84.89</v>
      </c>
      <c r="F1220" s="23">
        <v>30.32</v>
      </c>
      <c r="G1220" s="23">
        <v>536.9</v>
      </c>
      <c r="H1220" s="40">
        <v>4.883</v>
      </c>
      <c r="I1220" s="13">
        <f t="shared" si="19"/>
        <v>2.7998021108179421</v>
      </c>
      <c r="J1220" s="20"/>
    </row>
    <row r="1221" spans="2:10">
      <c r="C1221" s="40">
        <v>1.899</v>
      </c>
      <c r="D1221" s="34">
        <v>164.9</v>
      </c>
      <c r="E1221" s="23">
        <v>85.34</v>
      </c>
      <c r="F1221" s="23">
        <v>29.89</v>
      </c>
      <c r="G1221" s="23">
        <v>541.29999999999995</v>
      </c>
      <c r="H1221" s="40">
        <v>3.6619999999999999</v>
      </c>
      <c r="I1221" s="13">
        <f t="shared" si="19"/>
        <v>2.8551354968216796</v>
      </c>
      <c r="J1221" s="20"/>
    </row>
    <row r="1222" spans="2:10">
      <c r="B1222" s="47">
        <v>62</v>
      </c>
      <c r="C1222" s="39">
        <v>2.2029999999999998</v>
      </c>
      <c r="D1222" s="37">
        <v>201.7</v>
      </c>
      <c r="E1222" s="38">
        <v>108.7</v>
      </c>
      <c r="F1222" s="38">
        <v>26.04</v>
      </c>
      <c r="G1222" s="38">
        <v>549.29999999999995</v>
      </c>
      <c r="H1222" s="39">
        <v>4.8319999999999999</v>
      </c>
      <c r="I1222" s="13">
        <f t="shared" si="19"/>
        <v>4.1743471582181266</v>
      </c>
      <c r="J1222" s="20"/>
    </row>
    <row r="1223" spans="2:10">
      <c r="C1223" s="40">
        <v>2.3340000000000001</v>
      </c>
      <c r="D1223" s="34">
        <v>176.3</v>
      </c>
      <c r="E1223" s="23">
        <v>109.9</v>
      </c>
      <c r="F1223" s="23">
        <v>27.5</v>
      </c>
      <c r="G1223" s="23">
        <v>551.79999999999995</v>
      </c>
      <c r="H1223" s="40">
        <v>4.6790000000000003</v>
      </c>
      <c r="I1223" s="13">
        <f t="shared" si="19"/>
        <v>3.9963636363636366</v>
      </c>
      <c r="J1223" s="20"/>
    </row>
    <row r="1224" spans="2:10">
      <c r="C1224" s="40">
        <v>2.29</v>
      </c>
      <c r="D1224" s="34">
        <v>157.6</v>
      </c>
      <c r="E1224" s="23">
        <v>110.4</v>
      </c>
      <c r="F1224" s="23">
        <v>26.57</v>
      </c>
      <c r="G1224" s="23">
        <v>547.29999999999995</v>
      </c>
      <c r="H1224" s="40">
        <v>4.8689999999999998</v>
      </c>
      <c r="I1224" s="13">
        <f t="shared" si="19"/>
        <v>4.1550621001129091</v>
      </c>
      <c r="J1224" s="20"/>
    </row>
    <row r="1225" spans="2:10">
      <c r="C1225" s="40">
        <v>2.431</v>
      </c>
      <c r="D1225" s="34">
        <v>172.1</v>
      </c>
      <c r="E1225" s="23">
        <v>105.2</v>
      </c>
      <c r="F1225" s="23">
        <v>27.03</v>
      </c>
      <c r="G1225" s="23">
        <v>549.4</v>
      </c>
      <c r="H1225" s="40">
        <v>5.6669999999999998</v>
      </c>
      <c r="I1225" s="13">
        <f t="shared" si="19"/>
        <v>3.8919718830928596</v>
      </c>
      <c r="J1225" s="48"/>
    </row>
    <row r="1226" spans="2:10">
      <c r="C1226" s="40">
        <v>2.1840000000000002</v>
      </c>
      <c r="D1226" s="34">
        <v>173.6</v>
      </c>
      <c r="E1226" s="23">
        <v>106</v>
      </c>
      <c r="F1226" s="23">
        <v>27.39</v>
      </c>
      <c r="G1226" s="23">
        <v>548</v>
      </c>
      <c r="H1226" s="40">
        <v>4.4089999999999998</v>
      </c>
      <c r="I1226" s="13">
        <f t="shared" si="19"/>
        <v>3.8700255567725446</v>
      </c>
      <c r="J1226" s="20"/>
    </row>
    <row r="1227" spans="2:10">
      <c r="C1227" s="40">
        <v>2.23</v>
      </c>
      <c r="D1227" s="34">
        <v>221.5</v>
      </c>
      <c r="E1227" s="23">
        <v>108.7</v>
      </c>
      <c r="F1227" s="23">
        <v>26.38</v>
      </c>
      <c r="G1227" s="23">
        <v>549.1</v>
      </c>
      <c r="H1227" s="40">
        <v>5.7240000000000002</v>
      </c>
      <c r="I1227" s="13">
        <f t="shared" si="19"/>
        <v>4.1205458680818801</v>
      </c>
      <c r="J1227" s="20"/>
    </row>
    <row r="1228" spans="2:10">
      <c r="C1228" s="40">
        <v>2.242</v>
      </c>
      <c r="D1228" s="34">
        <v>256.8</v>
      </c>
      <c r="E1228" s="23">
        <v>110.7</v>
      </c>
      <c r="F1228" s="23">
        <v>26.89</v>
      </c>
      <c r="G1228" s="23">
        <v>548.4</v>
      </c>
      <c r="H1228" s="40">
        <v>5.7949999999999999</v>
      </c>
      <c r="I1228" s="13">
        <f t="shared" si="19"/>
        <v>4.1167720342134624</v>
      </c>
      <c r="J1228" s="20"/>
    </row>
    <row r="1229" spans="2:10">
      <c r="C1229" s="40">
        <v>2.3290000000000002</v>
      </c>
      <c r="D1229" s="34">
        <v>229.1</v>
      </c>
      <c r="E1229" s="23">
        <v>105.3</v>
      </c>
      <c r="F1229" s="23">
        <v>26.31</v>
      </c>
      <c r="G1229" s="23">
        <v>549.29999999999995</v>
      </c>
      <c r="H1229" s="40">
        <v>4.4880000000000004</v>
      </c>
      <c r="I1229" s="13">
        <f t="shared" si="19"/>
        <v>4.0022805017103762</v>
      </c>
      <c r="J1229" s="20"/>
    </row>
    <row r="1230" spans="2:10">
      <c r="C1230" s="40">
        <v>2.2829999999999999</v>
      </c>
      <c r="D1230" s="34">
        <v>207.8</v>
      </c>
      <c r="E1230" s="23">
        <v>106.3</v>
      </c>
      <c r="F1230" s="23">
        <v>27.03</v>
      </c>
      <c r="G1230" s="23">
        <v>549</v>
      </c>
      <c r="H1230" s="40">
        <v>4.8179999999999996</v>
      </c>
      <c r="I1230" s="13">
        <f t="shared" si="19"/>
        <v>3.9326674065852751</v>
      </c>
      <c r="J1230" s="20"/>
    </row>
    <row r="1231" spans="2:10">
      <c r="C1231" s="40">
        <v>2.145</v>
      </c>
      <c r="D1231" s="34">
        <v>232.4</v>
      </c>
      <c r="E1231" s="23">
        <v>108.3</v>
      </c>
      <c r="F1231" s="23">
        <v>27.37</v>
      </c>
      <c r="G1231" s="23">
        <v>549.20000000000005</v>
      </c>
      <c r="H1231" s="40">
        <v>5.2210000000000001</v>
      </c>
      <c r="I1231" s="13">
        <f t="shared" si="19"/>
        <v>3.9568871026671535</v>
      </c>
      <c r="J1231" s="20"/>
    </row>
    <row r="1232" spans="2:10">
      <c r="C1232" s="40">
        <v>2.2829999999999999</v>
      </c>
      <c r="D1232" s="34">
        <v>210.5</v>
      </c>
      <c r="E1232" s="23">
        <v>109.4</v>
      </c>
      <c r="F1232" s="23">
        <v>27.9</v>
      </c>
      <c r="G1232" s="23">
        <v>550.70000000000005</v>
      </c>
      <c r="H1232" s="40">
        <v>5.468</v>
      </c>
      <c r="I1232" s="13">
        <f t="shared" si="19"/>
        <v>3.9211469534050183</v>
      </c>
      <c r="J1232" s="20"/>
    </row>
    <row r="1233" spans="2:10">
      <c r="C1233" s="40">
        <v>2.3290000000000002</v>
      </c>
      <c r="D1233" s="34">
        <v>193.3</v>
      </c>
      <c r="E1233" s="23">
        <v>109.2</v>
      </c>
      <c r="F1233" s="23">
        <v>26.39</v>
      </c>
      <c r="G1233" s="23">
        <v>552.4</v>
      </c>
      <c r="H1233" s="40">
        <v>4.5780000000000003</v>
      </c>
      <c r="I1233" s="13">
        <f t="shared" si="19"/>
        <v>4.1379310344827589</v>
      </c>
      <c r="J1233" s="20"/>
    </row>
    <row r="1234" spans="2:10">
      <c r="C1234" s="40">
        <v>2.23</v>
      </c>
      <c r="D1234" s="34">
        <v>185.8</v>
      </c>
      <c r="E1234" s="23">
        <v>108.9</v>
      </c>
      <c r="F1234" s="23">
        <v>26.53</v>
      </c>
      <c r="G1234" s="23">
        <v>551.29999999999995</v>
      </c>
      <c r="H1234" s="40">
        <v>5.2329999999999997</v>
      </c>
      <c r="I1234" s="13">
        <f t="shared" si="19"/>
        <v>4.1047870335469279</v>
      </c>
      <c r="J1234" s="20"/>
    </row>
    <row r="1235" spans="2:10">
      <c r="C1235" s="40">
        <v>2.3769999999999998</v>
      </c>
      <c r="D1235" s="34">
        <v>187.5</v>
      </c>
      <c r="E1235" s="23">
        <v>109.3</v>
      </c>
      <c r="F1235" s="23">
        <v>27.31</v>
      </c>
      <c r="G1235" s="23">
        <v>551.5</v>
      </c>
      <c r="H1235" s="40">
        <v>6.3049999999999997</v>
      </c>
      <c r="I1235" s="13">
        <f t="shared" si="19"/>
        <v>4.0021969974368368</v>
      </c>
      <c r="J1235" s="20"/>
    </row>
    <row r="1236" spans="2:10">
      <c r="C1236" s="40">
        <v>2.5670000000000002</v>
      </c>
      <c r="D1236" s="34">
        <v>181.5</v>
      </c>
      <c r="E1236" s="23">
        <v>108.4</v>
      </c>
      <c r="F1236" s="23">
        <v>27.49</v>
      </c>
      <c r="G1236" s="23">
        <v>549.20000000000005</v>
      </c>
      <c r="H1236" s="40">
        <v>4.9489999999999998</v>
      </c>
      <c r="I1236" s="13">
        <f t="shared" si="19"/>
        <v>3.9432520916696987</v>
      </c>
      <c r="J1236" s="20"/>
    </row>
    <row r="1237" spans="2:10">
      <c r="C1237" s="40">
        <v>2.431</v>
      </c>
      <c r="D1237" s="34">
        <v>187</v>
      </c>
      <c r="E1237" s="23">
        <v>107.3</v>
      </c>
      <c r="F1237" s="23">
        <v>26.84</v>
      </c>
      <c r="G1237" s="23">
        <v>549.29999999999995</v>
      </c>
      <c r="H1237" s="40">
        <v>4.18</v>
      </c>
      <c r="I1237" s="13">
        <f t="shared" si="19"/>
        <v>3.9977645305514158</v>
      </c>
      <c r="J1237" s="20"/>
    </row>
    <row r="1238" spans="2:10">
      <c r="C1238" s="40">
        <v>2.1840000000000002</v>
      </c>
      <c r="D1238" s="34">
        <v>201.7</v>
      </c>
      <c r="E1238" s="23">
        <v>107.9</v>
      </c>
      <c r="F1238" s="23">
        <v>26.41</v>
      </c>
      <c r="G1238" s="23">
        <v>550.20000000000005</v>
      </c>
      <c r="H1238" s="40">
        <v>5.0279999999999996</v>
      </c>
      <c r="I1238" s="13">
        <f t="shared" si="19"/>
        <v>4.0855736463460817</v>
      </c>
      <c r="J1238" s="20"/>
    </row>
    <row r="1239" spans="2:10">
      <c r="C1239" s="40">
        <v>2.0470000000000002</v>
      </c>
      <c r="D1239" s="34">
        <v>176.3</v>
      </c>
      <c r="E1239" s="23">
        <v>108.3</v>
      </c>
      <c r="F1239" s="23">
        <v>27.26</v>
      </c>
      <c r="G1239" s="23">
        <v>547.29999999999995</v>
      </c>
      <c r="H1239" s="40">
        <v>4.976</v>
      </c>
      <c r="I1239" s="13">
        <f t="shared" si="19"/>
        <v>3.9728539985326483</v>
      </c>
      <c r="J1239" s="20"/>
    </row>
    <row r="1240" spans="2:10">
      <c r="C1240" s="40">
        <v>2.2120000000000002</v>
      </c>
      <c r="D1240" s="34">
        <v>156.30000000000001</v>
      </c>
      <c r="E1240" s="23">
        <v>107.9</v>
      </c>
      <c r="F1240" s="23">
        <v>27.05</v>
      </c>
      <c r="G1240" s="23">
        <v>548.4</v>
      </c>
      <c r="H1240" s="40">
        <v>4.4930000000000003</v>
      </c>
      <c r="I1240" s="13">
        <f t="shared" si="19"/>
        <v>3.9889094269870613</v>
      </c>
      <c r="J1240" s="20"/>
    </row>
    <row r="1241" spans="2:10">
      <c r="C1241" s="40">
        <v>2.5419999999999998</v>
      </c>
      <c r="D1241" s="34">
        <v>195.5</v>
      </c>
      <c r="E1241" s="23">
        <v>107.4</v>
      </c>
      <c r="F1241" s="23">
        <v>27.23</v>
      </c>
      <c r="G1241" s="23">
        <v>552.20000000000005</v>
      </c>
      <c r="H1241" s="40">
        <v>4.7839999999999998</v>
      </c>
      <c r="I1241" s="13">
        <f t="shared" si="19"/>
        <v>3.9441792141020935</v>
      </c>
      <c r="J1241" s="20"/>
    </row>
    <row r="1242" spans="2:10">
      <c r="B1242" s="47">
        <v>63</v>
      </c>
      <c r="C1242" s="39">
        <v>2.8330000000000002</v>
      </c>
      <c r="D1242" s="37">
        <v>171.4</v>
      </c>
      <c r="E1242" s="38">
        <v>80.78</v>
      </c>
      <c r="F1242" s="38">
        <v>42.89</v>
      </c>
      <c r="G1242" s="38">
        <v>489.8</v>
      </c>
      <c r="H1242" s="39">
        <v>2.68</v>
      </c>
      <c r="I1242" s="13">
        <f t="shared" si="19"/>
        <v>1.8834227092562368</v>
      </c>
      <c r="J1242" s="20"/>
    </row>
    <row r="1243" spans="2:10">
      <c r="C1243" s="40">
        <v>2.8839999999999999</v>
      </c>
      <c r="D1243" s="34">
        <v>221.3</v>
      </c>
      <c r="E1243" s="23">
        <v>81.48</v>
      </c>
      <c r="F1243" s="23">
        <v>43.65</v>
      </c>
      <c r="G1243" s="23">
        <v>488.3</v>
      </c>
      <c r="H1243" s="40">
        <v>2.2029999999999998</v>
      </c>
      <c r="I1243" s="13">
        <f t="shared" si="19"/>
        <v>1.8666666666666669</v>
      </c>
      <c r="J1243" s="20"/>
    </row>
    <row r="1244" spans="2:10">
      <c r="C1244" s="40">
        <v>2.7770000000000001</v>
      </c>
      <c r="D1244" s="34">
        <v>251.9</v>
      </c>
      <c r="E1244" s="23">
        <v>80.98</v>
      </c>
      <c r="F1244" s="23">
        <v>43.28</v>
      </c>
      <c r="G1244" s="23">
        <v>485.8</v>
      </c>
      <c r="H1244" s="40">
        <v>2.0939999999999999</v>
      </c>
      <c r="I1244" s="13">
        <f t="shared" si="19"/>
        <v>1.8710720887245842</v>
      </c>
      <c r="J1244" s="20"/>
    </row>
    <row r="1245" spans="2:10">
      <c r="C1245" s="40">
        <v>2.5529999999999999</v>
      </c>
      <c r="D1245" s="34">
        <v>242</v>
      </c>
      <c r="E1245" s="23">
        <v>81.23</v>
      </c>
      <c r="F1245" s="23">
        <v>43.89</v>
      </c>
      <c r="G1245" s="23">
        <v>493.8</v>
      </c>
      <c r="H1245" s="40">
        <v>2.9940000000000002</v>
      </c>
      <c r="I1245" s="13">
        <f t="shared" si="19"/>
        <v>1.8507632718159035</v>
      </c>
      <c r="J1245" s="20"/>
    </row>
    <row r="1246" spans="2:10">
      <c r="C1246" s="40">
        <v>2.766</v>
      </c>
      <c r="D1246" s="34">
        <v>136</v>
      </c>
      <c r="E1246" s="23">
        <v>80.23</v>
      </c>
      <c r="F1246" s="23">
        <v>43.29</v>
      </c>
      <c r="G1246" s="23">
        <v>495.3</v>
      </c>
      <c r="H1246" s="40">
        <v>3.194</v>
      </c>
      <c r="I1246" s="13">
        <f t="shared" si="19"/>
        <v>1.8533148533148533</v>
      </c>
      <c r="J1246" s="20"/>
    </row>
    <row r="1247" spans="2:10">
      <c r="C1247" s="40">
        <v>2.9380000000000002</v>
      </c>
      <c r="D1247" s="34">
        <v>137.4</v>
      </c>
      <c r="E1247" s="23">
        <v>79.38</v>
      </c>
      <c r="F1247" s="23">
        <v>42.98</v>
      </c>
      <c r="G1247" s="23">
        <v>506.1</v>
      </c>
      <c r="H1247" s="40">
        <v>2.84</v>
      </c>
      <c r="I1247" s="13">
        <f t="shared" si="19"/>
        <v>1.8469055374592833</v>
      </c>
      <c r="J1247" s="20"/>
    </row>
    <row r="1248" spans="2:10">
      <c r="C1248" s="40">
        <v>2.6970000000000001</v>
      </c>
      <c r="D1248" s="34">
        <v>129</v>
      </c>
      <c r="E1248" s="23">
        <v>80.28</v>
      </c>
      <c r="F1248" s="23">
        <v>42.18</v>
      </c>
      <c r="G1248" s="23">
        <v>498.4</v>
      </c>
      <c r="H1248" s="40">
        <v>2.3079999999999998</v>
      </c>
      <c r="I1248" s="13">
        <f t="shared" si="19"/>
        <v>1.903271692745377</v>
      </c>
      <c r="J1248" s="20"/>
    </row>
    <row r="1249" spans="2:10">
      <c r="C1249" s="40">
        <v>2.8759999999999999</v>
      </c>
      <c r="D1249" s="34">
        <v>147.30000000000001</v>
      </c>
      <c r="E1249" s="23">
        <v>80.42</v>
      </c>
      <c r="F1249" s="23">
        <v>42.34</v>
      </c>
      <c r="G1249" s="23">
        <v>496.7</v>
      </c>
      <c r="H1249" s="40">
        <v>3.2719999999999998</v>
      </c>
      <c r="I1249" s="13">
        <f t="shared" si="19"/>
        <v>1.8993859234766177</v>
      </c>
      <c r="J1249" s="20"/>
    </row>
    <row r="1250" spans="2:10">
      <c r="C1250" s="40">
        <v>2.6819999999999999</v>
      </c>
      <c r="D1250" s="34">
        <v>136.1</v>
      </c>
      <c r="E1250" s="23">
        <v>79.34</v>
      </c>
      <c r="F1250" s="23">
        <v>43.18</v>
      </c>
      <c r="G1250" s="23">
        <v>494.2</v>
      </c>
      <c r="H1250" s="40">
        <v>1.9450000000000001</v>
      </c>
      <c r="I1250" s="13">
        <f t="shared" si="19"/>
        <v>1.8374247336729967</v>
      </c>
      <c r="J1250" s="20"/>
    </row>
    <row r="1251" spans="2:10">
      <c r="C1251" s="40">
        <v>2.621</v>
      </c>
      <c r="D1251" s="34">
        <v>156.4</v>
      </c>
      <c r="E1251" s="23">
        <v>81.84</v>
      </c>
      <c r="F1251" s="23">
        <v>44.65</v>
      </c>
      <c r="G1251" s="23">
        <v>488.6</v>
      </c>
      <c r="H1251" s="40">
        <v>2.1480000000000001</v>
      </c>
      <c r="I1251" s="13">
        <f t="shared" si="19"/>
        <v>1.8329227323628221</v>
      </c>
      <c r="J1251" s="20"/>
    </row>
    <row r="1252" spans="2:10">
      <c r="C1252" s="40">
        <v>2.5499999999999998</v>
      </c>
      <c r="D1252" s="34">
        <v>117.9</v>
      </c>
      <c r="E1252" s="23">
        <v>81.209999999999994</v>
      </c>
      <c r="F1252" s="23">
        <v>43.87</v>
      </c>
      <c r="G1252" s="23">
        <v>485.5</v>
      </c>
      <c r="H1252" s="40">
        <v>3.548</v>
      </c>
      <c r="I1252" s="13">
        <f t="shared" si="19"/>
        <v>1.8511511283337132</v>
      </c>
      <c r="J1252" s="20"/>
    </row>
    <row r="1253" spans="2:10">
      <c r="C1253" s="40">
        <v>2.5310000000000001</v>
      </c>
      <c r="D1253" s="34">
        <v>145.4</v>
      </c>
      <c r="E1253" s="23">
        <v>80.67</v>
      </c>
      <c r="F1253" s="23">
        <v>44.21</v>
      </c>
      <c r="G1253" s="23">
        <v>488.3</v>
      </c>
      <c r="H1253" s="40">
        <v>2.4220000000000002</v>
      </c>
      <c r="I1253" s="13">
        <f t="shared" si="19"/>
        <v>1.8247002940511197</v>
      </c>
      <c r="J1253" s="20"/>
    </row>
    <row r="1254" spans="2:10">
      <c r="C1254" s="40">
        <v>2.5760000000000001</v>
      </c>
      <c r="D1254" s="34">
        <v>156.4</v>
      </c>
      <c r="E1254" s="23">
        <v>80.81</v>
      </c>
      <c r="F1254" s="23">
        <v>44.68</v>
      </c>
      <c r="G1254" s="23">
        <v>489.2</v>
      </c>
      <c r="H1254" s="40">
        <v>2.198</v>
      </c>
      <c r="I1254" s="13">
        <f t="shared" si="19"/>
        <v>1.80863921217547</v>
      </c>
      <c r="J1254" s="20"/>
    </row>
    <row r="1255" spans="2:10">
      <c r="C1255" s="40">
        <v>2.476</v>
      </c>
      <c r="D1255" s="34">
        <v>157.19999999999999</v>
      </c>
      <c r="E1255" s="23">
        <v>79.31</v>
      </c>
      <c r="F1255" s="23">
        <v>43.76</v>
      </c>
      <c r="G1255" s="23">
        <v>493.7</v>
      </c>
      <c r="H1255" s="40">
        <v>3.8130000000000002</v>
      </c>
      <c r="I1255" s="13">
        <f t="shared" si="19"/>
        <v>1.8123857404021939</v>
      </c>
      <c r="J1255" s="20"/>
    </row>
    <row r="1256" spans="2:10">
      <c r="C1256" s="40">
        <v>2.2519999999999998</v>
      </c>
      <c r="D1256" s="34">
        <v>160.30000000000001</v>
      </c>
      <c r="E1256" s="23">
        <v>80.819999999999993</v>
      </c>
      <c r="F1256" s="23">
        <v>43.78</v>
      </c>
      <c r="G1256" s="23">
        <v>505.8</v>
      </c>
      <c r="H1256" s="40">
        <v>1.982</v>
      </c>
      <c r="I1256" s="13">
        <f t="shared" si="19"/>
        <v>1.8460484239378709</v>
      </c>
      <c r="J1256" s="20"/>
    </row>
    <row r="1257" spans="2:10">
      <c r="C1257" s="40">
        <v>2.4889999999999999</v>
      </c>
      <c r="D1257" s="34">
        <v>193.2</v>
      </c>
      <c r="E1257" s="23">
        <v>81.28</v>
      </c>
      <c r="F1257" s="23">
        <v>43.12</v>
      </c>
      <c r="G1257" s="23">
        <v>513.29999999999995</v>
      </c>
      <c r="H1257" s="40">
        <v>2.798</v>
      </c>
      <c r="I1257" s="13">
        <f t="shared" si="19"/>
        <v>1.8849721706864566</v>
      </c>
      <c r="J1257" s="20"/>
    </row>
    <row r="1258" spans="2:10">
      <c r="C1258" s="40">
        <v>2.6219999999999999</v>
      </c>
      <c r="D1258" s="34">
        <v>251.9</v>
      </c>
      <c r="E1258" s="23">
        <v>81.91</v>
      </c>
      <c r="F1258" s="23">
        <v>42.19</v>
      </c>
      <c r="G1258" s="23">
        <v>516.5</v>
      </c>
      <c r="H1258" s="40">
        <v>3.5649999999999999</v>
      </c>
      <c r="I1258" s="13">
        <f t="shared" si="19"/>
        <v>1.9414553211661532</v>
      </c>
      <c r="J1258" s="20"/>
    </row>
    <row r="1259" spans="2:10">
      <c r="C1259" s="40">
        <v>2.302</v>
      </c>
      <c r="D1259" s="34">
        <v>218.3</v>
      </c>
      <c r="E1259" s="23">
        <v>80.650000000000006</v>
      </c>
      <c r="F1259" s="23">
        <v>44.76</v>
      </c>
      <c r="G1259" s="23">
        <v>510.8</v>
      </c>
      <c r="H1259" s="40">
        <v>3.028</v>
      </c>
      <c r="I1259" s="13">
        <f t="shared" si="19"/>
        <v>1.8018319928507598</v>
      </c>
      <c r="J1259" s="20"/>
    </row>
    <row r="1260" spans="2:10">
      <c r="C1260" s="40">
        <v>2.8210000000000002</v>
      </c>
      <c r="D1260" s="34">
        <v>176.3</v>
      </c>
      <c r="E1260" s="23">
        <v>79.790000000000006</v>
      </c>
      <c r="F1260" s="23">
        <v>44.58</v>
      </c>
      <c r="G1260" s="23">
        <v>506.7</v>
      </c>
      <c r="H1260" s="40">
        <v>2.4239999999999999</v>
      </c>
      <c r="I1260" s="13">
        <f t="shared" si="19"/>
        <v>1.7898160610139078</v>
      </c>
      <c r="J1260" s="20"/>
    </row>
    <row r="1261" spans="2:10">
      <c r="C1261" s="40">
        <v>2.25</v>
      </c>
      <c r="D1261" s="34">
        <v>157.19999999999999</v>
      </c>
      <c r="E1261" s="23">
        <v>79.53</v>
      </c>
      <c r="F1261" s="23">
        <v>41.91</v>
      </c>
      <c r="G1261" s="23">
        <v>504.5</v>
      </c>
      <c r="H1261" s="40">
        <v>2.4350000000000001</v>
      </c>
      <c r="I1261" s="13">
        <f t="shared" si="19"/>
        <v>1.8976377952755907</v>
      </c>
      <c r="J1261" s="20"/>
    </row>
    <row r="1262" spans="2:10">
      <c r="B1262" s="47">
        <v>64</v>
      </c>
      <c r="C1262" s="39">
        <v>2.5289999999999999</v>
      </c>
      <c r="D1262" s="37">
        <v>171.4</v>
      </c>
      <c r="E1262" s="38">
        <v>94.24</v>
      </c>
      <c r="F1262" s="38">
        <v>18.71</v>
      </c>
      <c r="G1262" s="38">
        <v>533.1</v>
      </c>
      <c r="H1262" s="39">
        <v>3.4489999999999998</v>
      </c>
      <c r="I1262" s="13">
        <f t="shared" si="19"/>
        <v>5.0368786745056111</v>
      </c>
      <c r="J1262" s="20"/>
    </row>
    <row r="1263" spans="2:10">
      <c r="C1263" s="40">
        <v>2.2170000000000001</v>
      </c>
      <c r="D1263" s="34">
        <v>221.3</v>
      </c>
      <c r="E1263" s="23">
        <v>94.52</v>
      </c>
      <c r="F1263" s="23">
        <v>20.61</v>
      </c>
      <c r="G1263" s="23">
        <v>531</v>
      </c>
      <c r="H1263" s="40">
        <v>3.48</v>
      </c>
      <c r="I1263" s="13">
        <f t="shared" si="19"/>
        <v>4.5861232411450752</v>
      </c>
      <c r="J1263" s="20"/>
    </row>
    <row r="1264" spans="2:10">
      <c r="C1264" s="40">
        <v>2.6459999999999999</v>
      </c>
      <c r="D1264" s="34">
        <v>251.9</v>
      </c>
      <c r="E1264" s="23">
        <v>94.31</v>
      </c>
      <c r="F1264" s="23">
        <v>20.12</v>
      </c>
      <c r="G1264" s="23">
        <v>534</v>
      </c>
      <c r="H1264" s="40">
        <v>3.8330000000000002</v>
      </c>
      <c r="I1264" s="13">
        <f t="shared" si="19"/>
        <v>4.6873757455268388</v>
      </c>
      <c r="J1264" s="20"/>
    </row>
    <row r="1265" spans="3:10">
      <c r="C1265" s="40">
        <v>2.5009999999999999</v>
      </c>
      <c r="D1265" s="34">
        <v>242</v>
      </c>
      <c r="E1265" s="23">
        <v>93.89</v>
      </c>
      <c r="F1265" s="23">
        <v>18.13</v>
      </c>
      <c r="G1265" s="23">
        <v>533.1</v>
      </c>
      <c r="H1265" s="40">
        <v>3.4489999999999998</v>
      </c>
      <c r="I1265" s="13">
        <f t="shared" si="19"/>
        <v>5.1787093215664646</v>
      </c>
      <c r="J1265" s="20"/>
    </row>
    <row r="1266" spans="3:10">
      <c r="C1266" s="40">
        <v>2.1419999999999999</v>
      </c>
      <c r="D1266" s="34">
        <v>136</v>
      </c>
      <c r="E1266" s="23">
        <v>94.29</v>
      </c>
      <c r="F1266" s="23">
        <v>18.41</v>
      </c>
      <c r="G1266" s="23">
        <v>532.79999999999995</v>
      </c>
      <c r="H1266" s="40">
        <v>3.0680000000000001</v>
      </c>
      <c r="I1266" s="13">
        <f t="shared" si="19"/>
        <v>5.1216730038022815</v>
      </c>
      <c r="J1266" s="20"/>
    </row>
    <row r="1267" spans="3:10">
      <c r="C1267" s="40">
        <v>2.2290000000000001</v>
      </c>
      <c r="D1267" s="34">
        <v>137.4</v>
      </c>
      <c r="E1267" s="23">
        <v>93.78</v>
      </c>
      <c r="F1267" s="23">
        <v>19.97</v>
      </c>
      <c r="G1267" s="23">
        <v>530.79999999999995</v>
      </c>
      <c r="H1267" s="40">
        <v>3.56</v>
      </c>
      <c r="I1267" s="13">
        <f t="shared" si="19"/>
        <v>4.6960440660991489</v>
      </c>
      <c r="J1267" s="20"/>
    </row>
    <row r="1268" spans="3:10">
      <c r="C1268" s="40">
        <v>2.4060000000000001</v>
      </c>
      <c r="D1268" s="34">
        <v>129</v>
      </c>
      <c r="E1268" s="23">
        <v>94.18</v>
      </c>
      <c r="F1268" s="23">
        <v>18.73</v>
      </c>
      <c r="G1268" s="23">
        <v>532</v>
      </c>
      <c r="H1268" s="40">
        <v>3.65</v>
      </c>
      <c r="I1268" s="13">
        <f t="shared" si="19"/>
        <v>5.0282968499733052</v>
      </c>
      <c r="J1268" s="20"/>
    </row>
    <row r="1269" spans="3:10">
      <c r="C1269" s="40">
        <v>2.27</v>
      </c>
      <c r="D1269" s="34">
        <v>147.30000000000001</v>
      </c>
      <c r="E1269" s="23">
        <v>93.98</v>
      </c>
      <c r="F1269" s="23">
        <v>19.600000000000001</v>
      </c>
      <c r="G1269" s="23">
        <v>536.79999999999995</v>
      </c>
      <c r="H1269" s="40">
        <v>4.22</v>
      </c>
      <c r="I1269" s="13">
        <f t="shared" si="19"/>
        <v>4.7948979591836736</v>
      </c>
      <c r="J1269" s="20"/>
    </row>
    <row r="1270" spans="3:10">
      <c r="C1270" s="40">
        <v>1.907</v>
      </c>
      <c r="D1270" s="34">
        <v>136.1</v>
      </c>
      <c r="E1270" s="23">
        <v>95.12</v>
      </c>
      <c r="F1270" s="23">
        <v>18.68</v>
      </c>
      <c r="G1270" s="23">
        <v>541.29999999999995</v>
      </c>
      <c r="H1270" s="40">
        <v>4.1070000000000002</v>
      </c>
      <c r="I1270" s="13">
        <f t="shared" si="19"/>
        <v>5.0920770877944328</v>
      </c>
      <c r="J1270" s="20"/>
    </row>
    <row r="1271" spans="3:10">
      <c r="C1271" s="40">
        <v>2.13</v>
      </c>
      <c r="D1271" s="34">
        <v>156.4</v>
      </c>
      <c r="E1271" s="23">
        <v>95.23</v>
      </c>
      <c r="F1271" s="23">
        <v>18.829999999999998</v>
      </c>
      <c r="G1271" s="23">
        <v>542.6</v>
      </c>
      <c r="H1271" s="40">
        <v>3.6480000000000001</v>
      </c>
      <c r="I1271" s="13">
        <f t="shared" si="19"/>
        <v>5.0573552841210843</v>
      </c>
      <c r="J1271" s="20"/>
    </row>
    <row r="1272" spans="3:10">
      <c r="C1272" s="40">
        <v>1.647</v>
      </c>
      <c r="D1272" s="34">
        <v>117.9</v>
      </c>
      <c r="E1272" s="23">
        <v>94.48</v>
      </c>
      <c r="F1272" s="23">
        <v>19.8</v>
      </c>
      <c r="G1272" s="23">
        <v>538</v>
      </c>
      <c r="H1272" s="40">
        <v>3.0579999999999998</v>
      </c>
      <c r="I1272" s="13">
        <f t="shared" si="19"/>
        <v>4.7717171717171718</v>
      </c>
      <c r="J1272" s="20"/>
    </row>
    <row r="1273" spans="3:10">
      <c r="C1273" s="40">
        <v>1.5569999999999999</v>
      </c>
      <c r="D1273" s="34">
        <v>145.4</v>
      </c>
      <c r="E1273" s="23">
        <v>94.71</v>
      </c>
      <c r="F1273" s="23">
        <v>18.8</v>
      </c>
      <c r="G1273" s="23">
        <v>538.9</v>
      </c>
      <c r="H1273" s="40">
        <v>3.3039999999999998</v>
      </c>
      <c r="I1273" s="13">
        <f t="shared" si="19"/>
        <v>5.0377659574468083</v>
      </c>
      <c r="J1273" s="20"/>
    </row>
    <row r="1274" spans="3:10">
      <c r="C1274" s="40">
        <v>1.83</v>
      </c>
      <c r="D1274" s="34">
        <v>156.4</v>
      </c>
      <c r="E1274" s="23">
        <v>94.24</v>
      </c>
      <c r="F1274" s="23">
        <v>18.03</v>
      </c>
      <c r="G1274" s="23">
        <v>540.6</v>
      </c>
      <c r="H1274" s="40">
        <v>3.778</v>
      </c>
      <c r="I1274" s="13">
        <f t="shared" si="19"/>
        <v>5.2268441486411534</v>
      </c>
      <c r="J1274" s="20"/>
    </row>
    <row r="1275" spans="3:10">
      <c r="C1275" s="40">
        <v>2.4900000000000002</v>
      </c>
      <c r="D1275" s="34">
        <v>157.19999999999999</v>
      </c>
      <c r="E1275" s="23">
        <v>95.31</v>
      </c>
      <c r="F1275" s="23">
        <v>19.43</v>
      </c>
      <c r="G1275" s="23">
        <v>542.6</v>
      </c>
      <c r="H1275" s="40">
        <v>3.8260000000000001</v>
      </c>
      <c r="I1275" s="13">
        <f t="shared" si="19"/>
        <v>4.9053010808028823</v>
      </c>
      <c r="J1275" s="20"/>
    </row>
    <row r="1276" spans="3:10">
      <c r="C1276" s="40">
        <v>2.222</v>
      </c>
      <c r="D1276" s="34">
        <v>160.30000000000001</v>
      </c>
      <c r="E1276" s="23">
        <v>94.24</v>
      </c>
      <c r="F1276" s="23">
        <v>19.809999999999999</v>
      </c>
      <c r="G1276" s="23">
        <v>538.1</v>
      </c>
      <c r="H1276" s="40">
        <v>3.0390000000000001</v>
      </c>
      <c r="I1276" s="13">
        <f t="shared" si="19"/>
        <v>4.757193336698637</v>
      </c>
      <c r="J1276" s="20"/>
    </row>
    <row r="1277" spans="3:10">
      <c r="C1277" s="40">
        <v>2.0920000000000001</v>
      </c>
      <c r="D1277" s="34">
        <v>193.2</v>
      </c>
      <c r="E1277" s="23">
        <v>94.72</v>
      </c>
      <c r="F1277" s="23">
        <v>18.45</v>
      </c>
      <c r="G1277" s="23">
        <v>539</v>
      </c>
      <c r="H1277" s="40">
        <v>3.3130000000000002</v>
      </c>
      <c r="I1277" s="13">
        <f t="shared" si="19"/>
        <v>5.1338753387533878</v>
      </c>
      <c r="J1277" s="20"/>
    </row>
    <row r="1278" spans="3:10">
      <c r="C1278" s="40">
        <v>2.1760000000000002</v>
      </c>
      <c r="D1278" s="34">
        <v>251.9</v>
      </c>
      <c r="E1278" s="23">
        <v>94.41</v>
      </c>
      <c r="F1278" s="23">
        <v>18.54</v>
      </c>
      <c r="G1278" s="23">
        <v>533.6</v>
      </c>
      <c r="H1278" s="40">
        <v>3.3610000000000002</v>
      </c>
      <c r="I1278" s="13">
        <f t="shared" si="19"/>
        <v>5.092233009708738</v>
      </c>
      <c r="J1278" s="20"/>
    </row>
    <row r="1279" spans="3:10">
      <c r="C1279" s="40">
        <v>2.226</v>
      </c>
      <c r="D1279" s="34">
        <v>218.3</v>
      </c>
      <c r="E1279" s="23">
        <v>95.31</v>
      </c>
      <c r="F1279" s="23">
        <v>19.48</v>
      </c>
      <c r="G1279" s="23">
        <v>532.79999999999995</v>
      </c>
      <c r="H1279" s="40">
        <v>4.2679999999999998</v>
      </c>
      <c r="I1279" s="13">
        <f t="shared" si="19"/>
        <v>4.8927104722792611</v>
      </c>
      <c r="J1279" s="20"/>
    </row>
    <row r="1280" spans="3:10">
      <c r="C1280" s="40">
        <v>1.794</v>
      </c>
      <c r="D1280" s="34">
        <v>176.3</v>
      </c>
      <c r="E1280" s="23">
        <v>94.19</v>
      </c>
      <c r="F1280" s="23">
        <v>18.239999999999998</v>
      </c>
      <c r="G1280" s="23">
        <v>533</v>
      </c>
      <c r="H1280" s="40">
        <v>4.1289999999999996</v>
      </c>
      <c r="I1280" s="13">
        <f t="shared" si="19"/>
        <v>5.1639254385964914</v>
      </c>
      <c r="J1280" s="20"/>
    </row>
    <row r="1281" spans="2:10">
      <c r="C1281" s="40">
        <v>2.0880000000000001</v>
      </c>
      <c r="D1281" s="34">
        <v>157.19999999999999</v>
      </c>
      <c r="E1281" s="23">
        <v>95.38</v>
      </c>
      <c r="F1281" s="23">
        <v>17.88</v>
      </c>
      <c r="G1281" s="23">
        <v>531.29999999999995</v>
      </c>
      <c r="H1281" s="40">
        <v>3.351</v>
      </c>
      <c r="I1281" s="13">
        <f t="shared" si="19"/>
        <v>5.3344519015659957</v>
      </c>
      <c r="J1281" s="48"/>
    </row>
    <row r="1282" spans="2:10">
      <c r="B1282" s="47">
        <v>65</v>
      </c>
      <c r="C1282" s="39">
        <v>2.09</v>
      </c>
      <c r="D1282" s="37">
        <v>125.6</v>
      </c>
      <c r="E1282" s="38">
        <v>98.12</v>
      </c>
      <c r="F1282" s="38">
        <v>25.95</v>
      </c>
      <c r="G1282" s="38">
        <v>516.9</v>
      </c>
      <c r="H1282" s="39">
        <v>2.831</v>
      </c>
      <c r="I1282" s="13">
        <f t="shared" si="19"/>
        <v>3.7811175337186902</v>
      </c>
      <c r="J1282" s="20"/>
    </row>
    <row r="1283" spans="2:10">
      <c r="C1283" s="40">
        <v>1.9890000000000001</v>
      </c>
      <c r="D1283" s="34">
        <v>155.80000000000001</v>
      </c>
      <c r="E1283" s="23">
        <v>97.6</v>
      </c>
      <c r="F1283" s="23">
        <v>25.37</v>
      </c>
      <c r="G1283" s="23">
        <v>515.29999999999995</v>
      </c>
      <c r="H1283" s="40">
        <v>2.778</v>
      </c>
      <c r="I1283" s="13">
        <f t="shared" ref="I1283:I1346" si="20">E1283/F1283</f>
        <v>3.8470634607804488</v>
      </c>
      <c r="J1283" s="20"/>
    </row>
    <row r="1284" spans="2:10">
      <c r="C1284" s="40">
        <v>2.266</v>
      </c>
      <c r="D1284" s="34">
        <v>172.6</v>
      </c>
      <c r="E1284" s="23">
        <v>97.23</v>
      </c>
      <c r="F1284" s="23">
        <v>25.43</v>
      </c>
      <c r="G1284" s="23">
        <v>514</v>
      </c>
      <c r="H1284" s="40">
        <v>3.7160000000000002</v>
      </c>
      <c r="I1284" s="13">
        <f t="shared" si="20"/>
        <v>3.8234368855682268</v>
      </c>
      <c r="J1284" s="20"/>
    </row>
    <row r="1285" spans="2:10">
      <c r="C1285" s="40">
        <v>2.1440000000000001</v>
      </c>
      <c r="D1285" s="34">
        <v>125.9</v>
      </c>
      <c r="E1285" s="23">
        <v>98.23</v>
      </c>
      <c r="F1285" s="23">
        <v>25.32</v>
      </c>
      <c r="G1285" s="23">
        <v>515.1</v>
      </c>
      <c r="H1285" s="40">
        <v>2.5150000000000001</v>
      </c>
      <c r="I1285" s="13">
        <f t="shared" si="20"/>
        <v>3.8795418641390205</v>
      </c>
      <c r="J1285" s="20"/>
    </row>
    <row r="1286" spans="2:10">
      <c r="C1286" s="40">
        <v>1.9219999999999999</v>
      </c>
      <c r="D1286" s="34">
        <v>140</v>
      </c>
      <c r="E1286" s="23">
        <v>97.19</v>
      </c>
      <c r="F1286" s="23">
        <v>24.78</v>
      </c>
      <c r="G1286" s="23">
        <v>515.79999999999995</v>
      </c>
      <c r="H1286" s="40">
        <v>3.7029999999999998</v>
      </c>
      <c r="I1286" s="13">
        <f t="shared" si="20"/>
        <v>3.9221146085552863</v>
      </c>
      <c r="J1286" s="20"/>
    </row>
    <row r="1287" spans="2:10">
      <c r="C1287" s="40">
        <v>1.8080000000000001</v>
      </c>
      <c r="D1287" s="34">
        <v>123.3</v>
      </c>
      <c r="E1287" s="23">
        <v>97.31</v>
      </c>
      <c r="F1287" s="23">
        <v>26.3</v>
      </c>
      <c r="G1287" s="23">
        <v>516.9</v>
      </c>
      <c r="H1287" s="40">
        <v>3.8860000000000001</v>
      </c>
      <c r="I1287" s="13">
        <f t="shared" si="20"/>
        <v>3.7</v>
      </c>
      <c r="J1287" s="20"/>
    </row>
    <row r="1288" spans="2:10">
      <c r="C1288" s="40">
        <v>1.847</v>
      </c>
      <c r="D1288" s="34">
        <v>118.6</v>
      </c>
      <c r="E1288" s="23">
        <v>97.85</v>
      </c>
      <c r="F1288" s="23">
        <v>24.43</v>
      </c>
      <c r="G1288" s="23">
        <v>512.29999999999995</v>
      </c>
      <c r="H1288" s="40">
        <v>2.7709999999999999</v>
      </c>
      <c r="I1288" s="13">
        <f t="shared" si="20"/>
        <v>4.0053213262382314</v>
      </c>
      <c r="J1288" s="20"/>
    </row>
    <row r="1289" spans="2:10">
      <c r="C1289" s="40">
        <v>1.954</v>
      </c>
      <c r="D1289" s="34">
        <v>114.9</v>
      </c>
      <c r="E1289" s="23">
        <v>97.38</v>
      </c>
      <c r="F1289" s="23">
        <v>25.98</v>
      </c>
      <c r="G1289" s="23">
        <v>518.4</v>
      </c>
      <c r="H1289" s="40">
        <v>3.8849999999999998</v>
      </c>
      <c r="I1289" s="13">
        <f t="shared" si="20"/>
        <v>3.7482678983833715</v>
      </c>
      <c r="J1289" s="20"/>
    </row>
    <row r="1290" spans="2:10">
      <c r="C1290" s="40">
        <v>1.9950000000000001</v>
      </c>
      <c r="D1290" s="34">
        <v>97</v>
      </c>
      <c r="E1290" s="23">
        <v>96.87</v>
      </c>
      <c r="F1290" s="23">
        <v>23.46</v>
      </c>
      <c r="G1290" s="23">
        <v>526.70000000000005</v>
      </c>
      <c r="H1290" s="40">
        <v>3.4049999999999998</v>
      </c>
      <c r="I1290" s="13">
        <f t="shared" si="20"/>
        <v>4.1291560102301794</v>
      </c>
      <c r="J1290" s="20"/>
    </row>
    <row r="1291" spans="2:10">
      <c r="C1291" s="40">
        <v>2.1859999999999999</v>
      </c>
      <c r="D1291" s="34">
        <v>114.9</v>
      </c>
      <c r="E1291" s="23">
        <v>98.28</v>
      </c>
      <c r="F1291" s="23">
        <v>24.76</v>
      </c>
      <c r="G1291" s="23">
        <v>528.20000000000005</v>
      </c>
      <c r="H1291" s="40">
        <v>2.7120000000000002</v>
      </c>
      <c r="I1291" s="13">
        <f t="shared" si="20"/>
        <v>3.9693053311793212</v>
      </c>
      <c r="J1291" s="20"/>
    </row>
    <row r="1292" spans="2:10">
      <c r="C1292" s="40">
        <v>2.1949999999999998</v>
      </c>
      <c r="D1292" s="34">
        <v>131.9</v>
      </c>
      <c r="E1292" s="23">
        <v>97.37</v>
      </c>
      <c r="F1292" s="23">
        <v>25.82</v>
      </c>
      <c r="G1292" s="23">
        <v>530.70000000000005</v>
      </c>
      <c r="H1292" s="40">
        <v>2.5609999999999999</v>
      </c>
      <c r="I1292" s="13">
        <f t="shared" si="20"/>
        <v>3.7711076684740514</v>
      </c>
      <c r="J1292" s="20"/>
    </row>
    <row r="1293" spans="2:10">
      <c r="C1293" s="40">
        <v>1.911</v>
      </c>
      <c r="D1293" s="34">
        <v>153.30000000000001</v>
      </c>
      <c r="E1293" s="23">
        <v>96.17</v>
      </c>
      <c r="F1293" s="23">
        <v>24.87</v>
      </c>
      <c r="G1293" s="23">
        <v>528.5</v>
      </c>
      <c r="H1293" s="40">
        <v>3.3109999999999999</v>
      </c>
      <c r="I1293" s="13">
        <f t="shared" si="20"/>
        <v>3.8669079211901889</v>
      </c>
      <c r="J1293" s="20"/>
    </row>
    <row r="1294" spans="2:10">
      <c r="C1294" s="40">
        <v>1.9890000000000001</v>
      </c>
      <c r="D1294" s="34">
        <v>114.3</v>
      </c>
      <c r="E1294" s="23">
        <v>98.99</v>
      </c>
      <c r="F1294" s="23">
        <v>25.94</v>
      </c>
      <c r="G1294" s="23">
        <v>525.9</v>
      </c>
      <c r="H1294" s="40">
        <v>3.1760000000000002</v>
      </c>
      <c r="I1294" s="13">
        <f t="shared" si="20"/>
        <v>3.816114109483423</v>
      </c>
      <c r="J1294" s="20"/>
    </row>
    <row r="1295" spans="2:10">
      <c r="C1295" s="40">
        <v>1.8109999999999999</v>
      </c>
      <c r="D1295" s="34">
        <v>118.6</v>
      </c>
      <c r="E1295" s="23">
        <v>96.87</v>
      </c>
      <c r="F1295" s="23">
        <v>25.83</v>
      </c>
      <c r="G1295" s="23">
        <v>525.79999999999995</v>
      </c>
      <c r="H1295" s="40">
        <v>2.64</v>
      </c>
      <c r="I1295" s="13">
        <f t="shared" si="20"/>
        <v>3.7502903600464581</v>
      </c>
      <c r="J1295" s="20"/>
    </row>
    <row r="1296" spans="2:10">
      <c r="C1296" s="40">
        <v>1.492</v>
      </c>
      <c r="D1296" s="34">
        <v>108.6</v>
      </c>
      <c r="E1296" s="23">
        <v>97.38</v>
      </c>
      <c r="F1296" s="23">
        <v>25.14</v>
      </c>
      <c r="G1296" s="23">
        <v>525.4</v>
      </c>
      <c r="H1296" s="40">
        <v>2.5310000000000001</v>
      </c>
      <c r="I1296" s="13">
        <f t="shared" si="20"/>
        <v>3.8735083532219567</v>
      </c>
      <c r="J1296" s="20"/>
    </row>
    <row r="1297" spans="2:10">
      <c r="C1297" s="40">
        <v>1.619</v>
      </c>
      <c r="D1297" s="34">
        <v>125.9</v>
      </c>
      <c r="E1297" s="23">
        <v>97.35</v>
      </c>
      <c r="F1297" s="23">
        <v>24.38</v>
      </c>
      <c r="G1297" s="23">
        <v>522.4</v>
      </c>
      <c r="H1297" s="40">
        <v>2.7509999999999999</v>
      </c>
      <c r="I1297" s="13">
        <f t="shared" si="20"/>
        <v>3.9930270713699754</v>
      </c>
      <c r="J1297" s="20"/>
    </row>
    <row r="1298" spans="2:10">
      <c r="C1298" s="40">
        <v>2.0369999999999999</v>
      </c>
      <c r="D1298" s="34">
        <v>140</v>
      </c>
      <c r="E1298" s="23">
        <v>98.47</v>
      </c>
      <c r="F1298" s="23">
        <v>25.39</v>
      </c>
      <c r="G1298" s="23">
        <v>522.20000000000005</v>
      </c>
      <c r="H1298" s="40">
        <v>3.1720000000000002</v>
      </c>
      <c r="I1298" s="13">
        <f t="shared" si="20"/>
        <v>3.8782985427333596</v>
      </c>
      <c r="J1298" s="20"/>
    </row>
    <row r="1299" spans="2:10">
      <c r="C1299" s="40">
        <v>1.954</v>
      </c>
      <c r="D1299" s="34">
        <v>208</v>
      </c>
      <c r="E1299" s="23">
        <v>98.4</v>
      </c>
      <c r="F1299" s="23">
        <v>25.36</v>
      </c>
      <c r="G1299" s="23">
        <v>515.5</v>
      </c>
      <c r="H1299" s="40">
        <v>3.6429999999999998</v>
      </c>
      <c r="I1299" s="13">
        <f t="shared" si="20"/>
        <v>3.8801261829653</v>
      </c>
      <c r="J1299" s="20"/>
    </row>
    <row r="1300" spans="2:10">
      <c r="C1300" s="40">
        <v>1.54</v>
      </c>
      <c r="D1300" s="34">
        <v>143.19999999999999</v>
      </c>
      <c r="E1300" s="23">
        <v>97.47</v>
      </c>
      <c r="F1300" s="23">
        <v>24.38</v>
      </c>
      <c r="G1300" s="23">
        <v>512.6</v>
      </c>
      <c r="H1300" s="40">
        <v>2.4119999999999999</v>
      </c>
      <c r="I1300" s="13">
        <f t="shared" si="20"/>
        <v>3.9979491386382282</v>
      </c>
      <c r="J1300" s="20"/>
    </row>
    <row r="1301" spans="2:10">
      <c r="C1301" s="40">
        <v>2.2200000000000002</v>
      </c>
      <c r="D1301" s="34">
        <v>175.6</v>
      </c>
      <c r="E1301" s="23">
        <v>96.39</v>
      </c>
      <c r="F1301" s="23">
        <v>24.26</v>
      </c>
      <c r="G1301" s="23">
        <v>513.1</v>
      </c>
      <c r="H1301" s="40">
        <v>3.774</v>
      </c>
      <c r="I1301" s="13">
        <f t="shared" si="20"/>
        <v>3.9732069249793898</v>
      </c>
      <c r="J1301" s="20"/>
    </row>
    <row r="1302" spans="2:10">
      <c r="B1302" s="47">
        <v>66</v>
      </c>
      <c r="C1302" s="39">
        <v>1.847</v>
      </c>
      <c r="D1302" s="37">
        <v>126.4</v>
      </c>
      <c r="E1302" s="38">
        <v>101.9</v>
      </c>
      <c r="F1302" s="38">
        <v>34.770000000000003</v>
      </c>
      <c r="G1302" s="38">
        <v>508.1</v>
      </c>
      <c r="H1302" s="39">
        <v>3.278</v>
      </c>
      <c r="I1302" s="13">
        <f t="shared" si="20"/>
        <v>2.9306873741731376</v>
      </c>
      <c r="J1302" s="20"/>
    </row>
    <row r="1303" spans="2:10">
      <c r="C1303" s="40">
        <v>1.8</v>
      </c>
      <c r="D1303" s="34">
        <v>152.6</v>
      </c>
      <c r="E1303" s="23">
        <v>102.2</v>
      </c>
      <c r="F1303" s="23">
        <v>34.869999999999997</v>
      </c>
      <c r="G1303" s="23">
        <v>512.29999999999995</v>
      </c>
      <c r="H1303" s="40">
        <v>4.6619999999999999</v>
      </c>
      <c r="I1303" s="13">
        <f t="shared" si="20"/>
        <v>2.9308861485517639</v>
      </c>
      <c r="J1303" s="20"/>
    </row>
    <row r="1304" spans="2:10">
      <c r="C1304" s="40">
        <v>1.679</v>
      </c>
      <c r="D1304" s="34">
        <v>161.4</v>
      </c>
      <c r="E1304" s="23">
        <v>101.1</v>
      </c>
      <c r="F1304" s="23">
        <v>33.28</v>
      </c>
      <c r="G1304" s="23">
        <v>506.5</v>
      </c>
      <c r="H1304" s="40">
        <v>4.6820000000000004</v>
      </c>
      <c r="I1304" s="13">
        <f t="shared" si="20"/>
        <v>3.0378605769230766</v>
      </c>
      <c r="J1304" s="20"/>
    </row>
    <row r="1305" spans="2:10">
      <c r="C1305" s="40">
        <v>1.476</v>
      </c>
      <c r="D1305" s="34">
        <v>165.7</v>
      </c>
      <c r="E1305" s="23">
        <v>102.3</v>
      </c>
      <c r="F1305" s="23">
        <v>33.19</v>
      </c>
      <c r="G1305" s="23">
        <v>507.5</v>
      </c>
      <c r="H1305" s="40">
        <v>4.407</v>
      </c>
      <c r="I1305" s="13">
        <f t="shared" si="20"/>
        <v>3.0822536908707443</v>
      </c>
      <c r="J1305" s="20"/>
    </row>
    <row r="1306" spans="2:10">
      <c r="C1306" s="40">
        <v>1.601</v>
      </c>
      <c r="D1306" s="34">
        <v>155.4</v>
      </c>
      <c r="E1306" s="23">
        <v>101.3</v>
      </c>
      <c r="F1306" s="23">
        <v>34.21</v>
      </c>
      <c r="G1306" s="23">
        <v>505.4</v>
      </c>
      <c r="H1306" s="40">
        <v>4.5839999999999996</v>
      </c>
      <c r="I1306" s="13">
        <f t="shared" si="20"/>
        <v>2.9611224788073662</v>
      </c>
      <c r="J1306" s="20"/>
    </row>
    <row r="1307" spans="2:10">
      <c r="C1307" s="40">
        <v>1.6890000000000001</v>
      </c>
      <c r="D1307" s="34">
        <v>150.19999999999999</v>
      </c>
      <c r="E1307" s="23">
        <v>99.82</v>
      </c>
      <c r="F1307" s="23">
        <v>34.29</v>
      </c>
      <c r="G1307" s="23">
        <v>504.4</v>
      </c>
      <c r="H1307" s="40">
        <v>4.484</v>
      </c>
      <c r="I1307" s="13">
        <f t="shared" si="20"/>
        <v>2.911052785068533</v>
      </c>
      <c r="J1307" s="20"/>
    </row>
    <row r="1308" spans="2:10">
      <c r="C1308" s="40">
        <v>1.7270000000000001</v>
      </c>
      <c r="D1308" s="34">
        <v>167.3</v>
      </c>
      <c r="E1308" s="23">
        <v>99.78</v>
      </c>
      <c r="F1308" s="23">
        <v>33.979999999999997</v>
      </c>
      <c r="G1308" s="23">
        <v>505.3</v>
      </c>
      <c r="H1308" s="40">
        <v>5.0810000000000004</v>
      </c>
      <c r="I1308" s="13">
        <f t="shared" si="20"/>
        <v>2.9364331959976462</v>
      </c>
      <c r="J1308" s="20"/>
    </row>
    <row r="1309" spans="2:10">
      <c r="C1309" s="40">
        <v>1.371</v>
      </c>
      <c r="D1309" s="34">
        <v>195.1</v>
      </c>
      <c r="E1309" s="23">
        <v>101.2</v>
      </c>
      <c r="F1309" s="23">
        <v>34.11</v>
      </c>
      <c r="G1309" s="23">
        <v>506.7</v>
      </c>
      <c r="H1309" s="40">
        <v>4.1870000000000003</v>
      </c>
      <c r="I1309" s="13">
        <f t="shared" si="20"/>
        <v>2.9668718850776901</v>
      </c>
      <c r="J1309" s="20"/>
    </row>
    <row r="1310" spans="2:10">
      <c r="C1310" s="40">
        <v>1.4339999999999999</v>
      </c>
      <c r="D1310" s="34">
        <v>215.5</v>
      </c>
      <c r="E1310" s="23">
        <v>101.3</v>
      </c>
      <c r="F1310" s="23">
        <v>34.78</v>
      </c>
      <c r="G1310" s="23">
        <v>507.9</v>
      </c>
      <c r="H1310" s="40">
        <v>4.6399999999999997</v>
      </c>
      <c r="I1310" s="13">
        <f t="shared" si="20"/>
        <v>2.9125934445083379</v>
      </c>
      <c r="J1310" s="20"/>
    </row>
    <row r="1311" spans="2:10">
      <c r="C1311" s="40">
        <v>1.8180000000000001</v>
      </c>
      <c r="D1311" s="34">
        <v>126.3</v>
      </c>
      <c r="E1311" s="23">
        <v>99.39</v>
      </c>
      <c r="F1311" s="23">
        <v>33.65</v>
      </c>
      <c r="G1311" s="23">
        <v>510</v>
      </c>
      <c r="H1311" s="40">
        <v>4.6820000000000004</v>
      </c>
      <c r="I1311" s="13">
        <f t="shared" si="20"/>
        <v>2.9536404160475485</v>
      </c>
      <c r="J1311" s="20"/>
    </row>
    <row r="1312" spans="2:10">
      <c r="C1312" s="40">
        <v>1.5740000000000001</v>
      </c>
      <c r="D1312" s="34">
        <v>126.6</v>
      </c>
      <c r="E1312" s="23">
        <v>99.42</v>
      </c>
      <c r="F1312" s="23">
        <v>34.450000000000003</v>
      </c>
      <c r="G1312" s="23">
        <v>507.4</v>
      </c>
      <c r="H1312" s="40">
        <v>4.53</v>
      </c>
      <c r="I1312" s="13">
        <f t="shared" si="20"/>
        <v>2.8859216255442668</v>
      </c>
      <c r="J1312" s="20"/>
    </row>
    <row r="1313" spans="2:10">
      <c r="C1313" s="40">
        <v>1.3959999999999999</v>
      </c>
      <c r="D1313" s="34">
        <v>162.30000000000001</v>
      </c>
      <c r="E1313" s="23">
        <v>101.5</v>
      </c>
      <c r="F1313" s="23">
        <v>35.24</v>
      </c>
      <c r="G1313" s="23">
        <v>508.2</v>
      </c>
      <c r="H1313" s="40">
        <v>4.4059999999999997</v>
      </c>
      <c r="I1313" s="13">
        <f t="shared" si="20"/>
        <v>2.880249716231555</v>
      </c>
      <c r="J1313" s="20"/>
    </row>
    <row r="1314" spans="2:10">
      <c r="C1314" s="40">
        <v>1.4119999999999999</v>
      </c>
      <c r="D1314" s="34">
        <v>195</v>
      </c>
      <c r="E1314" s="23">
        <v>100.3</v>
      </c>
      <c r="F1314" s="23">
        <v>34.42</v>
      </c>
      <c r="G1314" s="23">
        <v>504</v>
      </c>
      <c r="H1314" s="40">
        <v>4.7110000000000003</v>
      </c>
      <c r="I1314" s="13">
        <f t="shared" si="20"/>
        <v>2.9140034863451478</v>
      </c>
      <c r="J1314" s="20"/>
    </row>
    <row r="1315" spans="2:10">
      <c r="C1315" s="40">
        <v>1.1919999999999999</v>
      </c>
      <c r="D1315" s="34">
        <v>189</v>
      </c>
      <c r="E1315" s="23">
        <v>99.34</v>
      </c>
      <c r="F1315" s="23">
        <v>35.29</v>
      </c>
      <c r="G1315" s="23">
        <v>504.8</v>
      </c>
      <c r="H1315" s="40">
        <v>4.407</v>
      </c>
      <c r="I1315" s="13">
        <f t="shared" si="20"/>
        <v>2.8149617455369795</v>
      </c>
      <c r="J1315" s="20"/>
    </row>
    <row r="1316" spans="2:10">
      <c r="C1316" s="40">
        <v>1.7290000000000001</v>
      </c>
      <c r="D1316" s="34">
        <v>166.4</v>
      </c>
      <c r="E1316" s="23">
        <v>100.3</v>
      </c>
      <c r="F1316" s="23">
        <v>33.21</v>
      </c>
      <c r="G1316" s="23">
        <v>505.7</v>
      </c>
      <c r="H1316" s="40">
        <v>4.53</v>
      </c>
      <c r="I1316" s="13">
        <f t="shared" si="20"/>
        <v>3.020174646190906</v>
      </c>
      <c r="J1316" s="20"/>
    </row>
    <row r="1317" spans="2:10">
      <c r="C1317" s="40">
        <v>1.39</v>
      </c>
      <c r="D1317" s="34">
        <v>169.4</v>
      </c>
      <c r="E1317" s="23">
        <v>98.61</v>
      </c>
      <c r="F1317" s="23">
        <v>34.450000000000003</v>
      </c>
      <c r="G1317" s="23">
        <v>507.2</v>
      </c>
      <c r="H1317" s="40">
        <v>4.609</v>
      </c>
      <c r="I1317" s="13">
        <f t="shared" si="20"/>
        <v>2.8624092888243831</v>
      </c>
      <c r="J1317" s="20"/>
    </row>
    <row r="1318" spans="2:10">
      <c r="C1318" s="40">
        <v>1.673</v>
      </c>
      <c r="D1318" s="34">
        <v>167.3</v>
      </c>
      <c r="E1318" s="23">
        <v>99.34</v>
      </c>
      <c r="F1318" s="23">
        <v>34.67</v>
      </c>
      <c r="G1318" s="23">
        <v>509.2</v>
      </c>
      <c r="H1318" s="40">
        <v>4.6820000000000004</v>
      </c>
      <c r="I1318" s="13">
        <f t="shared" si="20"/>
        <v>2.8653014133256418</v>
      </c>
      <c r="J1318" s="20"/>
    </row>
    <row r="1319" spans="2:10">
      <c r="C1319" s="40">
        <v>1.5529999999999999</v>
      </c>
      <c r="D1319" s="34">
        <v>145.1</v>
      </c>
      <c r="E1319" s="23">
        <v>98.12</v>
      </c>
      <c r="F1319" s="23">
        <v>35.25</v>
      </c>
      <c r="G1319" s="23">
        <v>504.7</v>
      </c>
      <c r="H1319" s="40">
        <v>4.4980000000000002</v>
      </c>
      <c r="I1319" s="13">
        <f t="shared" si="20"/>
        <v>2.7835460992907803</v>
      </c>
      <c r="J1319" s="20"/>
    </row>
    <row r="1320" spans="2:10">
      <c r="C1320" s="40">
        <v>1.3540000000000001</v>
      </c>
      <c r="D1320" s="34">
        <v>120.4</v>
      </c>
      <c r="E1320" s="23">
        <v>100.3</v>
      </c>
      <c r="F1320" s="23">
        <v>33.89</v>
      </c>
      <c r="G1320" s="23">
        <v>506.5</v>
      </c>
      <c r="H1320" s="40">
        <v>4.484</v>
      </c>
      <c r="I1320" s="13">
        <f t="shared" si="20"/>
        <v>2.959575095898495</v>
      </c>
      <c r="J1320" s="20"/>
    </row>
    <row r="1321" spans="2:10">
      <c r="C1321" s="40">
        <v>1.75</v>
      </c>
      <c r="D1321" s="34">
        <v>161.69999999999999</v>
      </c>
      <c r="E1321" s="23">
        <v>101.4</v>
      </c>
      <c r="F1321" s="23">
        <v>35.81</v>
      </c>
      <c r="G1321" s="23">
        <v>512.29999999999995</v>
      </c>
      <c r="H1321" s="40">
        <v>4.548</v>
      </c>
      <c r="I1321" s="13">
        <f t="shared" si="20"/>
        <v>2.8316112817648702</v>
      </c>
      <c r="J1321" s="20"/>
    </row>
    <row r="1322" spans="2:10">
      <c r="B1322" s="47">
        <v>67</v>
      </c>
      <c r="C1322" s="39">
        <v>2.1309999999999998</v>
      </c>
      <c r="D1322" s="37">
        <v>126.6</v>
      </c>
      <c r="E1322" s="38">
        <v>97.74</v>
      </c>
      <c r="F1322" s="38">
        <v>21.03</v>
      </c>
      <c r="G1322" s="38">
        <v>484.9</v>
      </c>
      <c r="H1322" s="39">
        <v>4.6340000000000003</v>
      </c>
      <c r="I1322" s="13">
        <f t="shared" si="20"/>
        <v>4.6476462196861625</v>
      </c>
      <c r="J1322" s="20"/>
    </row>
    <row r="1323" spans="2:10">
      <c r="C1323" s="40">
        <v>1.9870000000000001</v>
      </c>
      <c r="D1323" s="34">
        <v>125.9</v>
      </c>
      <c r="E1323" s="23">
        <v>98.71</v>
      </c>
      <c r="F1323" s="23">
        <v>22.04</v>
      </c>
      <c r="G1323" s="23">
        <v>486</v>
      </c>
      <c r="H1323" s="40">
        <v>5.0739999999999998</v>
      </c>
      <c r="I1323" s="13">
        <f t="shared" si="20"/>
        <v>4.4786751361161521</v>
      </c>
      <c r="J1323" s="20"/>
    </row>
    <row r="1324" spans="2:10">
      <c r="C1324" s="40">
        <v>1.712</v>
      </c>
      <c r="D1324" s="34">
        <v>134</v>
      </c>
      <c r="E1324" s="23">
        <v>98.23</v>
      </c>
      <c r="F1324" s="23">
        <v>21.37</v>
      </c>
      <c r="G1324" s="23">
        <v>487.6</v>
      </c>
      <c r="H1324" s="40">
        <v>5.0640000000000001</v>
      </c>
      <c r="I1324" s="13">
        <f t="shared" si="20"/>
        <v>4.5966307908282635</v>
      </c>
      <c r="J1324" s="20"/>
    </row>
    <row r="1325" spans="2:10">
      <c r="C1325" s="40">
        <v>2.1070000000000002</v>
      </c>
      <c r="D1325" s="34">
        <v>139.19999999999999</v>
      </c>
      <c r="E1325" s="23">
        <v>97.38</v>
      </c>
      <c r="F1325" s="23">
        <v>21.45</v>
      </c>
      <c r="G1325" s="23">
        <v>485.9</v>
      </c>
      <c r="H1325" s="40">
        <v>3.9289999999999998</v>
      </c>
      <c r="I1325" s="13">
        <f t="shared" si="20"/>
        <v>4.5398601398601395</v>
      </c>
      <c r="J1325" s="20"/>
    </row>
    <row r="1326" spans="2:10">
      <c r="C1326" s="40">
        <v>2.1339999999999999</v>
      </c>
      <c r="D1326" s="34">
        <v>151.4</v>
      </c>
      <c r="E1326" s="23">
        <v>97.29</v>
      </c>
      <c r="F1326" s="23">
        <v>22.98</v>
      </c>
      <c r="G1326" s="23">
        <v>487</v>
      </c>
      <c r="H1326" s="40">
        <v>3.2320000000000002</v>
      </c>
      <c r="I1326" s="13">
        <f t="shared" si="20"/>
        <v>4.2336814621409919</v>
      </c>
      <c r="J1326" s="20"/>
    </row>
    <row r="1327" spans="2:10">
      <c r="C1327" s="40">
        <v>1.6859999999999999</v>
      </c>
      <c r="D1327" s="34">
        <v>133.9</v>
      </c>
      <c r="E1327" s="23">
        <v>97.1</v>
      </c>
      <c r="F1327" s="23">
        <v>21.39</v>
      </c>
      <c r="G1327" s="23">
        <v>485.7</v>
      </c>
      <c r="H1327" s="40">
        <v>3.573</v>
      </c>
      <c r="I1327" s="13">
        <f t="shared" si="20"/>
        <v>4.5395044413277228</v>
      </c>
      <c r="J1327" s="20"/>
    </row>
    <row r="1328" spans="2:10">
      <c r="C1328" s="40">
        <v>1.764</v>
      </c>
      <c r="D1328" s="34">
        <v>135.1</v>
      </c>
      <c r="E1328" s="23">
        <v>97.45</v>
      </c>
      <c r="F1328" s="23">
        <v>22.12</v>
      </c>
      <c r="G1328" s="23">
        <v>484.5</v>
      </c>
      <c r="H1328" s="40">
        <v>3.4489999999999998</v>
      </c>
      <c r="I1328" s="13">
        <f t="shared" si="20"/>
        <v>4.4055153707052437</v>
      </c>
      <c r="J1328" s="20"/>
    </row>
    <row r="1329" spans="2:10">
      <c r="C1329" s="40">
        <v>2.089</v>
      </c>
      <c r="D1329" s="34">
        <v>126.6</v>
      </c>
      <c r="E1329" s="23">
        <v>98.84</v>
      </c>
      <c r="F1329" s="23">
        <v>20.309999999999999</v>
      </c>
      <c r="G1329" s="23">
        <v>485.6</v>
      </c>
      <c r="H1329" s="40">
        <v>4.04</v>
      </c>
      <c r="I1329" s="13">
        <f t="shared" si="20"/>
        <v>4.8665681930083711</v>
      </c>
      <c r="J1329" s="20"/>
    </row>
    <row r="1330" spans="2:10">
      <c r="C1330" s="40">
        <v>1.6379999999999999</v>
      </c>
      <c r="D1330" s="34">
        <v>138.1</v>
      </c>
      <c r="E1330" s="23">
        <v>97.38</v>
      </c>
      <c r="F1330" s="23">
        <v>20.81</v>
      </c>
      <c r="G1330" s="23">
        <v>485.1</v>
      </c>
      <c r="H1330" s="40">
        <v>3.9660000000000002</v>
      </c>
      <c r="I1330" s="13">
        <f t="shared" si="20"/>
        <v>4.6794810187409901</v>
      </c>
      <c r="J1330" s="20"/>
    </row>
    <row r="1331" spans="2:10">
      <c r="C1331" s="40">
        <v>1.629</v>
      </c>
      <c r="D1331" s="34">
        <v>142.69999999999999</v>
      </c>
      <c r="E1331" s="23">
        <v>97.68</v>
      </c>
      <c r="F1331" s="23">
        <v>21.75</v>
      </c>
      <c r="G1331" s="23">
        <v>490</v>
      </c>
      <c r="H1331" s="40">
        <v>4.4390000000000001</v>
      </c>
      <c r="I1331" s="13">
        <f t="shared" si="20"/>
        <v>4.4910344827586206</v>
      </c>
      <c r="J1331" s="20"/>
    </row>
    <row r="1332" spans="2:10">
      <c r="C1332" s="40">
        <v>2.0630000000000002</v>
      </c>
      <c r="D1332" s="34">
        <v>156.80000000000001</v>
      </c>
      <c r="E1332" s="23">
        <v>99.07</v>
      </c>
      <c r="F1332" s="23">
        <v>20.62</v>
      </c>
      <c r="G1332" s="23">
        <v>490.7</v>
      </c>
      <c r="H1332" s="40">
        <v>3.802</v>
      </c>
      <c r="I1332" s="13">
        <f t="shared" si="20"/>
        <v>4.8045586808923373</v>
      </c>
      <c r="J1332" s="20"/>
    </row>
    <row r="1333" spans="2:10">
      <c r="C1333" s="40">
        <v>2.032</v>
      </c>
      <c r="D1333" s="34">
        <v>146.80000000000001</v>
      </c>
      <c r="E1333" s="23">
        <v>97.38</v>
      </c>
      <c r="F1333" s="23">
        <v>21.37</v>
      </c>
      <c r="G1333" s="23">
        <v>494.4</v>
      </c>
      <c r="H1333" s="40">
        <v>4.2610000000000001</v>
      </c>
      <c r="I1333" s="13">
        <f t="shared" si="20"/>
        <v>4.5568554047730458</v>
      </c>
      <c r="J1333" s="20"/>
    </row>
    <row r="1334" spans="2:10">
      <c r="C1334" s="40">
        <v>1.4039999999999999</v>
      </c>
      <c r="D1334" s="34">
        <v>133</v>
      </c>
      <c r="E1334" s="23">
        <v>98.22</v>
      </c>
      <c r="F1334" s="23">
        <v>21.67</v>
      </c>
      <c r="G1334" s="23">
        <v>487.6</v>
      </c>
      <c r="H1334" s="40">
        <v>3.4489999999999998</v>
      </c>
      <c r="I1334" s="13">
        <f t="shared" si="20"/>
        <v>4.5325334563913238</v>
      </c>
      <c r="J1334" s="20"/>
    </row>
    <row r="1335" spans="2:10">
      <c r="C1335" s="40">
        <v>1.2529999999999999</v>
      </c>
      <c r="D1335" s="34">
        <v>133.80000000000001</v>
      </c>
      <c r="E1335" s="23">
        <v>98.35</v>
      </c>
      <c r="F1335" s="23">
        <v>21.59</v>
      </c>
      <c r="G1335" s="23">
        <v>485.7</v>
      </c>
      <c r="H1335" s="40">
        <v>4.4390000000000001</v>
      </c>
      <c r="I1335" s="13">
        <f t="shared" si="20"/>
        <v>4.555349698934692</v>
      </c>
      <c r="J1335" s="20"/>
    </row>
    <row r="1336" spans="2:10">
      <c r="C1336" s="40">
        <v>1.7070000000000001</v>
      </c>
      <c r="D1336" s="34">
        <v>139.6</v>
      </c>
      <c r="E1336" s="23">
        <v>98.41</v>
      </c>
      <c r="F1336" s="23">
        <v>22.43</v>
      </c>
      <c r="G1336" s="23">
        <v>486.4</v>
      </c>
      <c r="H1336" s="40">
        <v>3.55</v>
      </c>
      <c r="I1336" s="13">
        <f t="shared" si="20"/>
        <v>4.3874275523851987</v>
      </c>
      <c r="J1336" s="20"/>
    </row>
    <row r="1337" spans="2:10">
      <c r="C1337" s="40">
        <v>1.204</v>
      </c>
      <c r="D1337" s="34">
        <v>125.9</v>
      </c>
      <c r="E1337" s="23">
        <v>97.62</v>
      </c>
      <c r="F1337" s="23">
        <v>22.36</v>
      </c>
      <c r="G1337" s="23">
        <v>486.3</v>
      </c>
      <c r="H1337" s="40">
        <v>4.8970000000000002</v>
      </c>
      <c r="I1337" s="13">
        <f t="shared" si="20"/>
        <v>4.3658318425760285</v>
      </c>
      <c r="J1337" s="20"/>
    </row>
    <row r="1338" spans="2:10">
      <c r="C1338" s="40">
        <v>1.946</v>
      </c>
      <c r="D1338" s="34">
        <v>123.2</v>
      </c>
      <c r="E1338" s="23">
        <v>97.87</v>
      </c>
      <c r="F1338" s="23">
        <v>21.15</v>
      </c>
      <c r="G1338" s="23">
        <v>486.2</v>
      </c>
      <c r="H1338" s="40">
        <v>5.0739999999999998</v>
      </c>
      <c r="I1338" s="13">
        <f t="shared" si="20"/>
        <v>4.6274231678487006</v>
      </c>
      <c r="J1338" s="20"/>
    </row>
    <row r="1339" spans="2:10">
      <c r="C1339" s="40">
        <v>2.0579999999999998</v>
      </c>
      <c r="D1339" s="34">
        <v>139.6</v>
      </c>
      <c r="E1339" s="23">
        <v>97.98</v>
      </c>
      <c r="F1339" s="23">
        <v>22.16</v>
      </c>
      <c r="G1339" s="23">
        <v>485.9</v>
      </c>
      <c r="H1339" s="40">
        <v>3.302</v>
      </c>
      <c r="I1339" s="13">
        <f t="shared" si="20"/>
        <v>4.4214801444043319</v>
      </c>
      <c r="J1339" s="20"/>
    </row>
    <row r="1340" spans="2:10">
      <c r="C1340" s="40">
        <v>1.712</v>
      </c>
      <c r="D1340" s="34">
        <v>122.8</v>
      </c>
      <c r="E1340" s="23">
        <v>97.24</v>
      </c>
      <c r="F1340" s="23">
        <v>21.73</v>
      </c>
      <c r="G1340" s="23">
        <v>488.2</v>
      </c>
      <c r="H1340" s="40">
        <v>4.4809999999999999</v>
      </c>
      <c r="I1340" s="13">
        <f t="shared" si="20"/>
        <v>4.4749194661757938</v>
      </c>
      <c r="J1340" s="20"/>
    </row>
    <row r="1341" spans="2:10">
      <c r="C1341" s="40">
        <v>1.4990000000000001</v>
      </c>
      <c r="D1341" s="34">
        <v>146</v>
      </c>
      <c r="E1341" s="23">
        <v>98.31</v>
      </c>
      <c r="F1341" s="23">
        <v>21.99</v>
      </c>
      <c r="G1341" s="23">
        <v>487</v>
      </c>
      <c r="H1341" s="40">
        <v>4.2610000000000001</v>
      </c>
      <c r="I1341" s="13">
        <f t="shared" si="20"/>
        <v>4.4706684856753069</v>
      </c>
      <c r="J1341" s="20"/>
    </row>
    <row r="1342" spans="2:10">
      <c r="B1342" s="47">
        <v>68</v>
      </c>
      <c r="C1342" s="39">
        <v>1.8879999999999999</v>
      </c>
      <c r="D1342" s="37">
        <v>124.5</v>
      </c>
      <c r="E1342" s="38">
        <v>81.94</v>
      </c>
      <c r="F1342" s="38">
        <v>22.57</v>
      </c>
      <c r="G1342" s="38">
        <v>524.9</v>
      </c>
      <c r="H1342" s="39">
        <v>5.133</v>
      </c>
      <c r="I1342" s="13">
        <f t="shared" si="20"/>
        <v>3.6304829419583515</v>
      </c>
      <c r="J1342" s="48"/>
    </row>
    <row r="1343" spans="2:10">
      <c r="C1343" s="40">
        <v>1.669</v>
      </c>
      <c r="D1343" s="34">
        <v>128.4</v>
      </c>
      <c r="E1343" s="23">
        <v>80.3</v>
      </c>
      <c r="F1343" s="23">
        <v>23.05</v>
      </c>
      <c r="G1343" s="23">
        <v>518.79999999999995</v>
      </c>
      <c r="H1343" s="40">
        <v>5.2270000000000003</v>
      </c>
      <c r="I1343" s="13">
        <f t="shared" si="20"/>
        <v>3.4837310195227764</v>
      </c>
      <c r="J1343" s="48"/>
    </row>
    <row r="1344" spans="2:10">
      <c r="C1344" s="40">
        <v>1.877</v>
      </c>
      <c r="D1344" s="34">
        <v>105.9</v>
      </c>
      <c r="E1344" s="23">
        <v>82.31</v>
      </c>
      <c r="F1344" s="23">
        <v>23.19</v>
      </c>
      <c r="G1344" s="23">
        <v>516.70000000000005</v>
      </c>
      <c r="H1344" s="40">
        <v>5.4790000000000001</v>
      </c>
      <c r="I1344" s="13">
        <f t="shared" si="20"/>
        <v>3.5493747304872789</v>
      </c>
      <c r="J1344" s="48"/>
    </row>
    <row r="1345" spans="3:10">
      <c r="C1345" s="40">
        <v>1.5229999999999999</v>
      </c>
      <c r="D1345" s="34">
        <v>118.1</v>
      </c>
      <c r="E1345" s="23">
        <v>83.63</v>
      </c>
      <c r="F1345" s="23">
        <v>23.41</v>
      </c>
      <c r="G1345" s="23">
        <v>511.9</v>
      </c>
      <c r="H1345" s="40">
        <v>4.9560000000000004</v>
      </c>
      <c r="I1345" s="13">
        <f t="shared" si="20"/>
        <v>3.5724049551473729</v>
      </c>
      <c r="J1345" s="48"/>
    </row>
    <row r="1346" spans="3:10">
      <c r="C1346" s="40">
        <v>1.909</v>
      </c>
      <c r="D1346" s="34">
        <v>121.2</v>
      </c>
      <c r="E1346" s="23">
        <v>82.56</v>
      </c>
      <c r="F1346" s="23">
        <v>22.93</v>
      </c>
      <c r="G1346" s="23">
        <v>512.29999999999995</v>
      </c>
      <c r="H1346" s="40">
        <v>4.516</v>
      </c>
      <c r="I1346" s="13">
        <f t="shared" si="20"/>
        <v>3.6005233318796339</v>
      </c>
      <c r="J1346" s="48"/>
    </row>
    <row r="1347" spans="3:10">
      <c r="C1347" s="40">
        <v>1.7709999999999999</v>
      </c>
      <c r="D1347" s="34">
        <v>126.5</v>
      </c>
      <c r="E1347" s="23">
        <v>83.98</v>
      </c>
      <c r="F1347" s="23">
        <v>22.21</v>
      </c>
      <c r="G1347" s="23">
        <v>513.70000000000005</v>
      </c>
      <c r="H1347" s="40">
        <v>4.7859999999999996</v>
      </c>
      <c r="I1347" s="13">
        <f t="shared" ref="I1347:I1410" si="21">E1347/F1347</f>
        <v>3.7811796488068437</v>
      </c>
      <c r="J1347" s="48"/>
    </row>
    <row r="1348" spans="3:10">
      <c r="C1348" s="40">
        <v>1.552</v>
      </c>
      <c r="D1348" s="34">
        <v>132.69999999999999</v>
      </c>
      <c r="E1348" s="23">
        <v>83.38</v>
      </c>
      <c r="F1348" s="23">
        <v>23.77</v>
      </c>
      <c r="G1348" s="23">
        <v>510.2</v>
      </c>
      <c r="H1348" s="40">
        <v>3.665</v>
      </c>
      <c r="I1348" s="13">
        <f t="shared" si="21"/>
        <v>3.5077829196466133</v>
      </c>
      <c r="J1348" s="48"/>
    </row>
    <row r="1349" spans="3:10">
      <c r="C1349" s="40">
        <v>1.8440000000000001</v>
      </c>
      <c r="D1349" s="34">
        <v>132.9</v>
      </c>
      <c r="E1349" s="23">
        <v>83.14</v>
      </c>
      <c r="F1349" s="23">
        <v>23.71</v>
      </c>
      <c r="G1349" s="23">
        <v>509.8</v>
      </c>
      <c r="H1349" s="40">
        <v>3.508</v>
      </c>
      <c r="I1349" s="13">
        <f t="shared" si="21"/>
        <v>3.5065373260227752</v>
      </c>
      <c r="J1349" s="48"/>
    </row>
    <row r="1350" spans="3:10">
      <c r="C1350" s="40">
        <v>1.335</v>
      </c>
      <c r="D1350" s="34">
        <v>140.6</v>
      </c>
      <c r="E1350" s="23">
        <v>84.35</v>
      </c>
      <c r="F1350" s="23">
        <v>23.75</v>
      </c>
      <c r="G1350" s="23">
        <v>510.6</v>
      </c>
      <c r="H1350" s="40">
        <v>3.665</v>
      </c>
      <c r="I1350" s="13">
        <f t="shared" si="21"/>
        <v>3.5515789473684207</v>
      </c>
      <c r="J1350" s="48"/>
    </row>
    <row r="1351" spans="3:10">
      <c r="C1351" s="40">
        <v>1.169</v>
      </c>
      <c r="D1351" s="34">
        <v>154.9</v>
      </c>
      <c r="E1351" s="23">
        <v>81.400000000000006</v>
      </c>
      <c r="F1351" s="23">
        <v>23.9</v>
      </c>
      <c r="G1351" s="23">
        <v>514.9</v>
      </c>
      <c r="H1351" s="40">
        <v>4.2069999999999999</v>
      </c>
      <c r="I1351" s="13">
        <f t="shared" si="21"/>
        <v>3.4058577405857746</v>
      </c>
      <c r="J1351" s="48"/>
    </row>
    <row r="1352" spans="3:10">
      <c r="C1352" s="40">
        <v>1.8080000000000001</v>
      </c>
      <c r="D1352" s="34">
        <v>130.9</v>
      </c>
      <c r="E1352" s="23">
        <v>81.7</v>
      </c>
      <c r="F1352" s="23">
        <v>23.94</v>
      </c>
      <c r="G1352" s="23">
        <v>518.29999999999995</v>
      </c>
      <c r="H1352" s="40">
        <v>4.0609999999999999</v>
      </c>
      <c r="I1352" s="13">
        <f t="shared" si="21"/>
        <v>3.4126984126984126</v>
      </c>
      <c r="J1352" s="48"/>
    </row>
    <row r="1353" spans="3:10">
      <c r="C1353" s="40">
        <v>1.502</v>
      </c>
      <c r="D1353" s="34">
        <v>143.4</v>
      </c>
      <c r="E1353" s="23">
        <v>82.72</v>
      </c>
      <c r="F1353" s="23">
        <v>25.32</v>
      </c>
      <c r="G1353" s="23">
        <v>518.70000000000005</v>
      </c>
      <c r="H1353" s="40">
        <v>4.5910000000000002</v>
      </c>
      <c r="I1353" s="13">
        <f t="shared" si="21"/>
        <v>3.2669826224328595</v>
      </c>
      <c r="J1353" s="48"/>
    </row>
    <row r="1354" spans="3:10">
      <c r="C1354" s="40">
        <v>1.6439999999999999</v>
      </c>
      <c r="D1354" s="34">
        <v>113.6</v>
      </c>
      <c r="E1354" s="23">
        <v>82.69</v>
      </c>
      <c r="F1354" s="23">
        <v>23.29</v>
      </c>
      <c r="G1354" s="23">
        <v>520.9</v>
      </c>
      <c r="H1354" s="40">
        <v>4.6020000000000003</v>
      </c>
      <c r="I1354" s="13">
        <f t="shared" si="21"/>
        <v>3.5504508372692141</v>
      </c>
      <c r="J1354" s="48"/>
    </row>
    <row r="1355" spans="3:10">
      <c r="C1355" s="40">
        <v>1.2629999999999999</v>
      </c>
      <c r="D1355" s="34">
        <v>127.6</v>
      </c>
      <c r="E1355" s="23">
        <v>82.55</v>
      </c>
      <c r="F1355" s="23">
        <v>24.76</v>
      </c>
      <c r="G1355" s="23">
        <v>524.70000000000005</v>
      </c>
      <c r="H1355" s="40">
        <v>4.1660000000000004</v>
      </c>
      <c r="I1355" s="13">
        <f t="shared" si="21"/>
        <v>3.334006462035541</v>
      </c>
      <c r="J1355" s="48"/>
    </row>
    <row r="1356" spans="3:10">
      <c r="C1356" s="40">
        <v>1.9059999999999999</v>
      </c>
      <c r="D1356" s="34">
        <v>119.3</v>
      </c>
      <c r="E1356" s="23">
        <v>83.04</v>
      </c>
      <c r="F1356" s="23">
        <v>25.31</v>
      </c>
      <c r="G1356" s="23">
        <v>524</v>
      </c>
      <c r="H1356" s="40">
        <v>3.8109999999999999</v>
      </c>
      <c r="I1356" s="13">
        <f t="shared" si="21"/>
        <v>3.2809166337416045</v>
      </c>
      <c r="J1356" s="48"/>
    </row>
    <row r="1357" spans="3:10">
      <c r="C1357" s="40">
        <v>1.8460000000000001</v>
      </c>
      <c r="D1357" s="34">
        <v>104.5</v>
      </c>
      <c r="E1357" s="23">
        <v>82.66</v>
      </c>
      <c r="F1357" s="23">
        <v>24.62</v>
      </c>
      <c r="G1357" s="23">
        <v>522.1</v>
      </c>
      <c r="H1357" s="40">
        <v>4.9359999999999999</v>
      </c>
      <c r="I1357" s="13">
        <f t="shared" si="21"/>
        <v>3.3574329813160029</v>
      </c>
      <c r="J1357" s="48"/>
    </row>
    <row r="1358" spans="3:10">
      <c r="C1358" s="40">
        <v>1.829</v>
      </c>
      <c r="D1358" s="34">
        <v>112.5</v>
      </c>
      <c r="E1358" s="23">
        <v>83.41</v>
      </c>
      <c r="F1358" s="23">
        <v>23.78</v>
      </c>
      <c r="G1358" s="23">
        <v>523.79999999999995</v>
      </c>
      <c r="H1358" s="40">
        <v>4.6660000000000004</v>
      </c>
      <c r="I1358" s="13">
        <f t="shared" si="21"/>
        <v>3.5075693860386878</v>
      </c>
      <c r="J1358" s="48"/>
    </row>
    <row r="1359" spans="3:10">
      <c r="C1359" s="40">
        <v>1.909</v>
      </c>
      <c r="D1359" s="34">
        <v>110</v>
      </c>
      <c r="E1359" s="23">
        <v>82.8</v>
      </c>
      <c r="F1359" s="23">
        <v>23.41</v>
      </c>
      <c r="G1359" s="23">
        <v>527.1</v>
      </c>
      <c r="H1359" s="40">
        <v>4.1719999999999997</v>
      </c>
      <c r="I1359" s="13">
        <f t="shared" si="21"/>
        <v>3.5369500213583938</v>
      </c>
      <c r="J1359" s="48"/>
    </row>
    <row r="1360" spans="3:10">
      <c r="C1360" s="40">
        <v>1.482</v>
      </c>
      <c r="D1360" s="34">
        <v>121.2</v>
      </c>
      <c r="E1360" s="23">
        <v>83.28</v>
      </c>
      <c r="F1360" s="23">
        <v>25.1</v>
      </c>
      <c r="G1360" s="23">
        <v>524.6</v>
      </c>
      <c r="H1360" s="40">
        <v>4.18</v>
      </c>
      <c r="I1360" s="13">
        <f t="shared" si="21"/>
        <v>3.3179282868525894</v>
      </c>
      <c r="J1360" s="48"/>
    </row>
    <row r="1361" spans="2:10">
      <c r="C1361" s="40">
        <v>1.6180000000000001</v>
      </c>
      <c r="D1361" s="34">
        <v>121</v>
      </c>
      <c r="E1361" s="23">
        <v>81.13</v>
      </c>
      <c r="F1361" s="23">
        <v>24.02</v>
      </c>
      <c r="G1361" s="23">
        <v>524.70000000000005</v>
      </c>
      <c r="H1361" s="40">
        <v>4.8319999999999999</v>
      </c>
      <c r="I1361" s="13">
        <f t="shared" si="21"/>
        <v>3.377601998334721</v>
      </c>
      <c r="J1361" s="48"/>
    </row>
    <row r="1362" spans="2:10">
      <c r="B1362" s="47">
        <v>69</v>
      </c>
      <c r="C1362" s="39">
        <v>2.141</v>
      </c>
      <c r="D1362" s="37">
        <v>125.9</v>
      </c>
      <c r="E1362" s="38">
        <v>86.2</v>
      </c>
      <c r="F1362" s="38">
        <v>20.079999999999998</v>
      </c>
      <c r="G1362" s="38">
        <v>569.1</v>
      </c>
      <c r="H1362" s="39">
        <v>3.48</v>
      </c>
      <c r="I1362" s="13">
        <f t="shared" si="21"/>
        <v>4.2928286852589643</v>
      </c>
      <c r="J1362" s="20"/>
    </row>
    <row r="1363" spans="2:10">
      <c r="C1363" s="40">
        <v>1.6359999999999999</v>
      </c>
      <c r="D1363" s="34">
        <v>128.6</v>
      </c>
      <c r="E1363" s="23">
        <v>85.83</v>
      </c>
      <c r="F1363" s="23">
        <v>21.24</v>
      </c>
      <c r="G1363" s="23">
        <v>570.70000000000005</v>
      </c>
      <c r="H1363" s="40">
        <v>4.383</v>
      </c>
      <c r="I1363" s="13">
        <f t="shared" si="21"/>
        <v>4.0409604519774014</v>
      </c>
      <c r="J1363" s="20"/>
    </row>
    <row r="1364" spans="2:10">
      <c r="C1364" s="40">
        <v>1.843</v>
      </c>
      <c r="D1364" s="34">
        <v>134.19999999999999</v>
      </c>
      <c r="E1364" s="23">
        <v>84.72</v>
      </c>
      <c r="F1364" s="23">
        <v>20.64</v>
      </c>
      <c r="G1364" s="23">
        <v>570.29999999999995</v>
      </c>
      <c r="H1364" s="40">
        <v>4.282</v>
      </c>
      <c r="I1364" s="13">
        <f t="shared" si="21"/>
        <v>4.1046511627906979</v>
      </c>
      <c r="J1364" s="20"/>
    </row>
    <row r="1365" spans="2:10">
      <c r="C1365" s="40">
        <v>1.4690000000000001</v>
      </c>
      <c r="D1365" s="34">
        <v>135.1</v>
      </c>
      <c r="E1365" s="23">
        <v>85.02</v>
      </c>
      <c r="F1365" s="23">
        <v>20.079999999999998</v>
      </c>
      <c r="G1365" s="23">
        <v>560</v>
      </c>
      <c r="H1365" s="40">
        <v>3.7869999999999999</v>
      </c>
      <c r="I1365" s="13">
        <f t="shared" si="21"/>
        <v>4.2340637450199203</v>
      </c>
      <c r="J1365" s="20"/>
    </row>
    <row r="1366" spans="2:10">
      <c r="C1366" s="40">
        <v>1.073</v>
      </c>
      <c r="D1366" s="34">
        <v>153.5</v>
      </c>
      <c r="E1366" s="23">
        <v>85.5</v>
      </c>
      <c r="F1366" s="23">
        <v>19.559999999999999</v>
      </c>
      <c r="G1366" s="23">
        <v>567</v>
      </c>
      <c r="H1366" s="40">
        <v>3.8530000000000002</v>
      </c>
      <c r="I1366" s="13">
        <f t="shared" si="21"/>
        <v>4.3711656441717794</v>
      </c>
      <c r="J1366" s="20"/>
    </row>
    <row r="1367" spans="2:10">
      <c r="C1367" s="40">
        <v>1.5760000000000001</v>
      </c>
      <c r="D1367" s="34">
        <v>149</v>
      </c>
      <c r="E1367" s="23">
        <v>86.18</v>
      </c>
      <c r="F1367" s="23">
        <v>21.02</v>
      </c>
      <c r="G1367" s="23">
        <v>569.1</v>
      </c>
      <c r="H1367" s="40">
        <v>4.5949999999999998</v>
      </c>
      <c r="I1367" s="13">
        <f t="shared" si="21"/>
        <v>4.0999048525214086</v>
      </c>
      <c r="J1367" s="20"/>
    </row>
    <row r="1368" spans="2:10">
      <c r="C1368" s="40">
        <v>2.0299999999999998</v>
      </c>
      <c r="D1368" s="34">
        <v>114.2</v>
      </c>
      <c r="E1368" s="23">
        <v>85.07</v>
      </c>
      <c r="F1368" s="23">
        <v>21.06</v>
      </c>
      <c r="G1368" s="23">
        <v>568.9</v>
      </c>
      <c r="H1368" s="40">
        <v>4.6429999999999998</v>
      </c>
      <c r="I1368" s="13">
        <f t="shared" si="21"/>
        <v>4.0394112060778724</v>
      </c>
      <c r="J1368" s="20"/>
    </row>
    <row r="1369" spans="2:10">
      <c r="C1369" s="40">
        <v>2.1789999999999998</v>
      </c>
      <c r="D1369" s="34">
        <v>110.1</v>
      </c>
      <c r="E1369" s="23">
        <v>85.36</v>
      </c>
      <c r="F1369" s="23">
        <v>19.22</v>
      </c>
      <c r="G1369" s="23">
        <v>567.4</v>
      </c>
      <c r="H1369" s="40">
        <v>4.8520000000000003</v>
      </c>
      <c r="I1369" s="13">
        <f t="shared" si="21"/>
        <v>4.4412070759625388</v>
      </c>
      <c r="J1369" s="20"/>
    </row>
    <row r="1370" spans="2:10">
      <c r="C1370" s="40">
        <v>2.028</v>
      </c>
      <c r="D1370" s="34">
        <v>105.2</v>
      </c>
      <c r="E1370" s="23">
        <v>86.37</v>
      </c>
      <c r="F1370" s="23">
        <v>19.68</v>
      </c>
      <c r="G1370" s="23">
        <v>567</v>
      </c>
      <c r="H1370" s="40">
        <v>3.94</v>
      </c>
      <c r="I1370" s="13">
        <f t="shared" si="21"/>
        <v>4.3887195121951219</v>
      </c>
      <c r="J1370" s="20"/>
    </row>
    <row r="1371" spans="2:10">
      <c r="C1371" s="40">
        <v>1.792</v>
      </c>
      <c r="D1371" s="34">
        <v>117.3</v>
      </c>
      <c r="E1371" s="23">
        <v>86.28</v>
      </c>
      <c r="F1371" s="23">
        <v>21.16</v>
      </c>
      <c r="G1371" s="23">
        <v>564.4</v>
      </c>
      <c r="H1371" s="40">
        <v>4.0350000000000001</v>
      </c>
      <c r="I1371" s="13">
        <f t="shared" si="21"/>
        <v>4.0775047258979207</v>
      </c>
      <c r="J1371" s="20"/>
    </row>
    <row r="1372" spans="2:10">
      <c r="C1372" s="40">
        <v>1.623</v>
      </c>
      <c r="D1372" s="34">
        <v>144.5</v>
      </c>
      <c r="E1372" s="23">
        <v>87.2</v>
      </c>
      <c r="F1372" s="23">
        <v>20.21</v>
      </c>
      <c r="G1372" s="23">
        <v>560.79999999999995</v>
      </c>
      <c r="H1372" s="40">
        <v>4.0750000000000002</v>
      </c>
      <c r="I1372" s="13">
        <f t="shared" si="21"/>
        <v>4.3146956952003954</v>
      </c>
      <c r="J1372" s="20"/>
    </row>
    <row r="1373" spans="2:10">
      <c r="C1373" s="40">
        <v>2.0870000000000002</v>
      </c>
      <c r="D1373" s="34">
        <v>150.69999999999999</v>
      </c>
      <c r="E1373" s="23">
        <v>85.24</v>
      </c>
      <c r="F1373" s="23">
        <v>19.95</v>
      </c>
      <c r="G1373" s="23">
        <v>563.5</v>
      </c>
      <c r="H1373" s="40">
        <v>3.61</v>
      </c>
      <c r="I1373" s="13">
        <f t="shared" si="21"/>
        <v>4.2726817042606511</v>
      </c>
      <c r="J1373" s="20"/>
    </row>
    <row r="1374" spans="2:10">
      <c r="C1374" s="40">
        <v>2.1179999999999999</v>
      </c>
      <c r="D1374" s="34">
        <v>134.5</v>
      </c>
      <c r="E1374" s="23">
        <v>85.39</v>
      </c>
      <c r="F1374" s="23">
        <v>20.440000000000001</v>
      </c>
      <c r="G1374" s="23">
        <v>564.6</v>
      </c>
      <c r="H1374" s="40">
        <v>3.7440000000000002</v>
      </c>
      <c r="I1374" s="13">
        <f t="shared" si="21"/>
        <v>4.1775929549902147</v>
      </c>
      <c r="J1374" s="20"/>
    </row>
    <row r="1375" spans="2:10">
      <c r="C1375" s="40">
        <v>2.04</v>
      </c>
      <c r="D1375" s="34">
        <v>128.6</v>
      </c>
      <c r="E1375" s="23">
        <v>87.47</v>
      </c>
      <c r="F1375" s="23">
        <v>20.28</v>
      </c>
      <c r="G1375" s="23">
        <v>556.5</v>
      </c>
      <c r="H1375" s="40">
        <v>4.5110000000000001</v>
      </c>
      <c r="I1375" s="13">
        <f t="shared" si="21"/>
        <v>4.3131163708086779</v>
      </c>
      <c r="J1375" s="20"/>
    </row>
    <row r="1376" spans="2:10">
      <c r="C1376" s="40">
        <v>1.8360000000000001</v>
      </c>
      <c r="D1376" s="34">
        <v>112</v>
      </c>
      <c r="E1376" s="23">
        <v>87.86</v>
      </c>
      <c r="F1376" s="23">
        <v>19.8</v>
      </c>
      <c r="G1376" s="23">
        <v>557</v>
      </c>
      <c r="H1376" s="40">
        <v>4.125</v>
      </c>
      <c r="I1376" s="13">
        <f t="shared" si="21"/>
        <v>4.4373737373737372</v>
      </c>
      <c r="J1376" s="20"/>
    </row>
    <row r="1377" spans="2:10">
      <c r="C1377" s="40">
        <v>2.0659999999999998</v>
      </c>
      <c r="D1377" s="34">
        <v>151.9</v>
      </c>
      <c r="E1377" s="23">
        <v>85.58</v>
      </c>
      <c r="F1377" s="23">
        <v>20.64</v>
      </c>
      <c r="G1377" s="23">
        <v>563.20000000000005</v>
      </c>
      <c r="H1377" s="40">
        <v>3.9409999999999998</v>
      </c>
      <c r="I1377" s="13">
        <f t="shared" si="21"/>
        <v>4.1463178294573639</v>
      </c>
      <c r="J1377" s="20"/>
    </row>
    <row r="1378" spans="2:10">
      <c r="C1378" s="40">
        <v>1.514</v>
      </c>
      <c r="D1378" s="34">
        <v>132</v>
      </c>
      <c r="E1378" s="23">
        <v>84.78</v>
      </c>
      <c r="F1378" s="23">
        <v>20.56</v>
      </c>
      <c r="G1378" s="23">
        <v>560.79999999999995</v>
      </c>
      <c r="H1378" s="40">
        <v>4.7839999999999998</v>
      </c>
      <c r="I1378" s="13">
        <f t="shared" si="21"/>
        <v>4.1235408560311289</v>
      </c>
      <c r="J1378" s="20"/>
    </row>
    <row r="1379" spans="2:10">
      <c r="C1379" s="40">
        <v>1.286</v>
      </c>
      <c r="D1379" s="34">
        <v>122</v>
      </c>
      <c r="E1379" s="23">
        <v>84.25</v>
      </c>
      <c r="F1379" s="23">
        <v>21.24</v>
      </c>
      <c r="G1379" s="23">
        <v>565.6</v>
      </c>
      <c r="H1379" s="40">
        <v>3.7970000000000002</v>
      </c>
      <c r="I1379" s="13">
        <f t="shared" si="21"/>
        <v>3.9665725047080982</v>
      </c>
      <c r="J1379" s="20"/>
    </row>
    <row r="1380" spans="2:10">
      <c r="C1380" s="40">
        <v>1.5489999999999999</v>
      </c>
      <c r="D1380" s="34">
        <v>164</v>
      </c>
      <c r="E1380" s="23">
        <v>83.99</v>
      </c>
      <c r="F1380" s="23">
        <v>20.87</v>
      </c>
      <c r="G1380" s="23">
        <v>564.70000000000005</v>
      </c>
      <c r="H1380" s="40">
        <v>5.0750000000000002</v>
      </c>
      <c r="I1380" s="13">
        <f t="shared" si="21"/>
        <v>4.0244369908960227</v>
      </c>
      <c r="J1380" s="20"/>
    </row>
    <row r="1381" spans="2:10">
      <c r="C1381" s="40">
        <v>2.097</v>
      </c>
      <c r="D1381" s="34">
        <v>141.5</v>
      </c>
      <c r="E1381" s="23">
        <v>85.53</v>
      </c>
      <c r="F1381" s="23">
        <v>20.89</v>
      </c>
      <c r="G1381" s="23">
        <v>564.6</v>
      </c>
      <c r="H1381" s="40">
        <v>3.9390000000000001</v>
      </c>
      <c r="I1381" s="13">
        <f t="shared" si="21"/>
        <v>4.0943034944949739</v>
      </c>
      <c r="J1381" s="20"/>
    </row>
    <row r="1382" spans="2:10">
      <c r="B1382" s="47">
        <v>70</v>
      </c>
      <c r="C1382" s="39">
        <v>2.1120000000000001</v>
      </c>
      <c r="D1382" s="37">
        <v>102.4</v>
      </c>
      <c r="E1382" s="38">
        <v>57.39</v>
      </c>
      <c r="F1382" s="38">
        <v>26.73</v>
      </c>
      <c r="G1382" s="38">
        <v>497.3</v>
      </c>
      <c r="H1382" s="39">
        <v>3.3780000000000001</v>
      </c>
      <c r="I1382" s="13">
        <f t="shared" si="21"/>
        <v>2.1470258136924802</v>
      </c>
      <c r="J1382" s="20"/>
    </row>
    <row r="1383" spans="2:10">
      <c r="C1383" s="40">
        <v>2.1629999999999998</v>
      </c>
      <c r="D1383" s="34">
        <v>81.2</v>
      </c>
      <c r="E1383" s="23">
        <v>57.58</v>
      </c>
      <c r="F1383" s="23">
        <v>27.45</v>
      </c>
      <c r="G1383" s="23">
        <v>495.3</v>
      </c>
      <c r="H1383" s="40">
        <v>3.371</v>
      </c>
      <c r="I1383" s="13">
        <f t="shared" si="21"/>
        <v>2.0976320582877959</v>
      </c>
      <c r="J1383" s="20"/>
    </row>
    <row r="1384" spans="2:10">
      <c r="C1384" s="40">
        <v>1.6759999999999999</v>
      </c>
      <c r="D1384" s="34">
        <v>75.099999999999994</v>
      </c>
      <c r="E1384" s="23">
        <v>58.96</v>
      </c>
      <c r="F1384" s="23">
        <v>27.33</v>
      </c>
      <c r="G1384" s="23">
        <v>496.4</v>
      </c>
      <c r="H1384" s="40">
        <v>3.0819999999999999</v>
      </c>
      <c r="I1384" s="13">
        <f t="shared" si="21"/>
        <v>2.1573362605195756</v>
      </c>
      <c r="J1384" s="20"/>
    </row>
    <row r="1385" spans="2:10">
      <c r="C1385" s="40">
        <v>1.91</v>
      </c>
      <c r="D1385" s="34">
        <v>98.5</v>
      </c>
      <c r="E1385" s="23">
        <v>58.38</v>
      </c>
      <c r="F1385" s="23">
        <v>28.01</v>
      </c>
      <c r="G1385" s="23">
        <v>493.6</v>
      </c>
      <c r="H1385" s="40">
        <v>3.423</v>
      </c>
      <c r="I1385" s="13">
        <f t="shared" si="21"/>
        <v>2.0842556229917886</v>
      </c>
      <c r="J1385" s="20"/>
    </row>
    <row r="1386" spans="2:10">
      <c r="C1386" s="40">
        <v>1.974</v>
      </c>
      <c r="D1386" s="34">
        <v>138</v>
      </c>
      <c r="E1386" s="23">
        <v>60.06</v>
      </c>
      <c r="F1386" s="23">
        <v>27.47</v>
      </c>
      <c r="G1386" s="23">
        <v>493.5</v>
      </c>
      <c r="H1386" s="40">
        <v>3.15</v>
      </c>
      <c r="I1386" s="13">
        <f t="shared" si="21"/>
        <v>2.186385147433564</v>
      </c>
      <c r="J1386" s="20"/>
    </row>
    <row r="1387" spans="2:10">
      <c r="C1387" s="40">
        <v>2.2639999999999998</v>
      </c>
      <c r="D1387" s="34">
        <v>131</v>
      </c>
      <c r="E1387" s="23">
        <v>59.61</v>
      </c>
      <c r="F1387" s="23">
        <v>29.62</v>
      </c>
      <c r="G1387" s="23">
        <v>492</v>
      </c>
      <c r="H1387" s="40">
        <v>3.6840000000000002</v>
      </c>
      <c r="I1387" s="13">
        <f t="shared" si="21"/>
        <v>2.0124915597569211</v>
      </c>
      <c r="J1387" s="48"/>
    </row>
    <row r="1388" spans="2:10">
      <c r="C1388" s="40">
        <v>2.0150000000000001</v>
      </c>
      <c r="D1388" s="34">
        <v>100.3</v>
      </c>
      <c r="E1388" s="23">
        <v>59.86</v>
      </c>
      <c r="F1388" s="23">
        <v>29.34</v>
      </c>
      <c r="G1388" s="23">
        <v>491.5</v>
      </c>
      <c r="H1388" s="40">
        <v>4.0199999999999996</v>
      </c>
      <c r="I1388" s="13">
        <f t="shared" si="21"/>
        <v>2.0402181322426722</v>
      </c>
      <c r="J1388" s="20"/>
    </row>
    <row r="1389" spans="2:10">
      <c r="C1389" s="40">
        <v>1.6990000000000001</v>
      </c>
      <c r="D1389" s="34">
        <v>81.2</v>
      </c>
      <c r="E1389" s="23">
        <v>61.25</v>
      </c>
      <c r="F1389" s="23">
        <v>28.47</v>
      </c>
      <c r="G1389" s="23">
        <v>492.6</v>
      </c>
      <c r="H1389" s="40">
        <v>3.4460000000000002</v>
      </c>
      <c r="I1389" s="13">
        <f t="shared" si="21"/>
        <v>2.1513874253600282</v>
      </c>
      <c r="J1389" s="20"/>
    </row>
    <row r="1390" spans="2:10">
      <c r="C1390" s="40">
        <v>2.0339999999999998</v>
      </c>
      <c r="D1390" s="34">
        <v>131</v>
      </c>
      <c r="E1390" s="23">
        <v>61.63</v>
      </c>
      <c r="F1390" s="23">
        <v>29.61</v>
      </c>
      <c r="G1390" s="23">
        <v>491.2</v>
      </c>
      <c r="H1390" s="40">
        <v>3.8340000000000001</v>
      </c>
      <c r="I1390" s="13">
        <f t="shared" si="21"/>
        <v>2.0813914218169538</v>
      </c>
      <c r="J1390" s="20"/>
    </row>
    <row r="1391" spans="2:10">
      <c r="C1391" s="40">
        <v>2.121</v>
      </c>
      <c r="D1391" s="34">
        <v>82.5</v>
      </c>
      <c r="E1391" s="23">
        <v>61</v>
      </c>
      <c r="F1391" s="23">
        <v>30.39</v>
      </c>
      <c r="G1391" s="23">
        <v>494.2</v>
      </c>
      <c r="H1391" s="40">
        <v>4.2329999999999997</v>
      </c>
      <c r="I1391" s="13">
        <f t="shared" si="21"/>
        <v>2.0072392234287593</v>
      </c>
      <c r="J1391" s="20"/>
    </row>
    <row r="1392" spans="2:10">
      <c r="C1392" s="40">
        <v>1.2270000000000001</v>
      </c>
      <c r="D1392" s="34">
        <v>76.400000000000006</v>
      </c>
      <c r="E1392" s="23">
        <v>60.75</v>
      </c>
      <c r="F1392" s="23">
        <v>28.52</v>
      </c>
      <c r="G1392" s="23">
        <v>490.9</v>
      </c>
      <c r="H1392" s="40">
        <v>3.9929999999999999</v>
      </c>
      <c r="I1392" s="13">
        <f t="shared" si="21"/>
        <v>2.130084151472651</v>
      </c>
      <c r="J1392" s="20"/>
    </row>
    <row r="1393" spans="2:10">
      <c r="C1393" s="40">
        <v>1.468</v>
      </c>
      <c r="D1393" s="34">
        <v>81.099999999999994</v>
      </c>
      <c r="E1393" s="23">
        <v>62.52</v>
      </c>
      <c r="F1393" s="23">
        <v>28.68</v>
      </c>
      <c r="G1393" s="23">
        <v>490.1</v>
      </c>
      <c r="H1393" s="40">
        <v>4.3179999999999996</v>
      </c>
      <c r="I1393" s="13">
        <f t="shared" si="21"/>
        <v>2.1799163179916321</v>
      </c>
      <c r="J1393" s="20"/>
    </row>
    <row r="1394" spans="2:10">
      <c r="C1394" s="40">
        <v>1.28</v>
      </c>
      <c r="D1394" s="34">
        <v>88</v>
      </c>
      <c r="E1394" s="23">
        <v>59.7</v>
      </c>
      <c r="F1394" s="23">
        <v>27.59</v>
      </c>
      <c r="G1394" s="23">
        <v>491.2</v>
      </c>
      <c r="H1394" s="40">
        <v>4.6870000000000003</v>
      </c>
      <c r="I1394" s="13">
        <f t="shared" si="21"/>
        <v>2.1638274737223635</v>
      </c>
      <c r="J1394" s="20"/>
    </row>
    <row r="1395" spans="2:10">
      <c r="C1395" s="40">
        <v>1.4930000000000001</v>
      </c>
      <c r="D1395" s="34">
        <v>102.4</v>
      </c>
      <c r="E1395" s="23">
        <v>62.04</v>
      </c>
      <c r="F1395" s="23">
        <v>28.98</v>
      </c>
      <c r="G1395" s="23">
        <v>493.6</v>
      </c>
      <c r="H1395" s="40">
        <v>3.3359999999999999</v>
      </c>
      <c r="I1395" s="13">
        <f t="shared" si="21"/>
        <v>2.1407867494824018</v>
      </c>
      <c r="J1395" s="20"/>
    </row>
    <row r="1396" spans="2:10">
      <c r="C1396" s="40">
        <v>1.5469999999999999</v>
      </c>
      <c r="D1396" s="34">
        <v>88.8</v>
      </c>
      <c r="E1396" s="23">
        <v>61.3</v>
      </c>
      <c r="F1396" s="23">
        <v>27.87</v>
      </c>
      <c r="G1396" s="23">
        <v>493</v>
      </c>
      <c r="H1396" s="40">
        <v>3.2839999999999998</v>
      </c>
      <c r="I1396" s="13">
        <f t="shared" si="21"/>
        <v>2.1994976677430929</v>
      </c>
      <c r="J1396" s="20"/>
    </row>
    <row r="1397" spans="2:10">
      <c r="C1397" s="40">
        <v>1.992</v>
      </c>
      <c r="D1397" s="34">
        <v>101.8</v>
      </c>
      <c r="E1397" s="23">
        <v>60.38</v>
      </c>
      <c r="F1397" s="23">
        <v>28.01</v>
      </c>
      <c r="G1397" s="23">
        <v>493.5</v>
      </c>
      <c r="H1397" s="40">
        <v>3.371</v>
      </c>
      <c r="I1397" s="13">
        <f t="shared" si="21"/>
        <v>2.1556586933238129</v>
      </c>
      <c r="J1397" s="20"/>
    </row>
    <row r="1398" spans="2:10">
      <c r="C1398" s="40">
        <v>2.0310000000000001</v>
      </c>
      <c r="D1398" s="34">
        <v>105.5</v>
      </c>
      <c r="E1398" s="23">
        <v>59.52</v>
      </c>
      <c r="F1398" s="23">
        <v>27.37</v>
      </c>
      <c r="G1398" s="23">
        <v>493</v>
      </c>
      <c r="H1398" s="40">
        <v>3.8340000000000001</v>
      </c>
      <c r="I1398" s="13">
        <f t="shared" si="21"/>
        <v>2.174643770551699</v>
      </c>
      <c r="J1398" s="20"/>
    </row>
    <row r="1399" spans="2:10">
      <c r="C1399" s="40">
        <v>2.2200000000000002</v>
      </c>
      <c r="D1399" s="34">
        <v>82.5</v>
      </c>
      <c r="E1399" s="23">
        <v>60.5</v>
      </c>
      <c r="F1399" s="23">
        <v>28.42</v>
      </c>
      <c r="G1399" s="23">
        <v>497.8</v>
      </c>
      <c r="H1399" s="40">
        <v>4.2329999999999997</v>
      </c>
      <c r="I1399" s="13">
        <f t="shared" si="21"/>
        <v>2.1287825475017592</v>
      </c>
      <c r="J1399" s="20"/>
    </row>
    <row r="1400" spans="2:10">
      <c r="C1400" s="40">
        <v>1.956</v>
      </c>
      <c r="D1400" s="34">
        <v>119.2</v>
      </c>
      <c r="E1400" s="23">
        <v>61.21</v>
      </c>
      <c r="F1400" s="23">
        <v>28.73</v>
      </c>
      <c r="G1400" s="23">
        <v>498.1</v>
      </c>
      <c r="H1400" s="40">
        <v>3.7919999999999998</v>
      </c>
      <c r="I1400" s="13">
        <f t="shared" si="21"/>
        <v>2.1305255830142706</v>
      </c>
      <c r="J1400" s="20"/>
    </row>
    <row r="1401" spans="2:10">
      <c r="C1401" s="40">
        <v>2.2330000000000001</v>
      </c>
      <c r="D1401" s="34">
        <v>98.2</v>
      </c>
      <c r="E1401" s="23">
        <v>60.68</v>
      </c>
      <c r="F1401" s="23">
        <v>28.66</v>
      </c>
      <c r="G1401" s="23">
        <v>499.1</v>
      </c>
      <c r="H1401" s="40">
        <v>3.64</v>
      </c>
      <c r="I1401" s="13">
        <f t="shared" si="21"/>
        <v>2.1172365666434052</v>
      </c>
      <c r="J1401" s="20"/>
    </row>
    <row r="1402" spans="2:10">
      <c r="B1402" s="47">
        <v>71</v>
      </c>
      <c r="C1402" s="39">
        <v>2.4009999999999998</v>
      </c>
      <c r="D1402" s="37">
        <v>108.9</v>
      </c>
      <c r="E1402" s="38">
        <v>86.76</v>
      </c>
      <c r="F1402" s="38">
        <v>23.41</v>
      </c>
      <c r="G1402" s="38">
        <v>521.4</v>
      </c>
      <c r="H1402" s="39">
        <v>3.355</v>
      </c>
      <c r="I1402" s="13">
        <f t="shared" si="21"/>
        <v>3.7061085006407519</v>
      </c>
      <c r="J1402" s="20"/>
    </row>
    <row r="1403" spans="2:10">
      <c r="C1403" s="40">
        <v>2.4620000000000002</v>
      </c>
      <c r="D1403" s="34">
        <v>98.5</v>
      </c>
      <c r="E1403" s="23">
        <v>85.7</v>
      </c>
      <c r="F1403" s="23">
        <v>24.89</v>
      </c>
      <c r="G1403" s="23">
        <v>522.29999999999995</v>
      </c>
      <c r="H1403" s="40">
        <v>3.1509999999999998</v>
      </c>
      <c r="I1403" s="13">
        <f t="shared" si="21"/>
        <v>3.4431498593812777</v>
      </c>
      <c r="J1403" s="20"/>
    </row>
    <row r="1404" spans="2:10">
      <c r="C1404" s="40">
        <v>1.9810000000000001</v>
      </c>
      <c r="D1404" s="34">
        <v>93.8</v>
      </c>
      <c r="E1404" s="23">
        <v>85.4</v>
      </c>
      <c r="F1404" s="23">
        <v>23.86</v>
      </c>
      <c r="G1404" s="23">
        <v>521.6</v>
      </c>
      <c r="H1404" s="40">
        <v>3.7589999999999999</v>
      </c>
      <c r="I1404" s="13">
        <f t="shared" si="21"/>
        <v>3.5792120704107298</v>
      </c>
      <c r="J1404" s="20"/>
    </row>
    <row r="1405" spans="2:10">
      <c r="C1405" s="40">
        <v>1.87</v>
      </c>
      <c r="D1405" s="34">
        <v>92.7</v>
      </c>
      <c r="E1405" s="23">
        <v>87.86</v>
      </c>
      <c r="F1405" s="23">
        <v>26.25</v>
      </c>
      <c r="G1405" s="23">
        <v>521.70000000000005</v>
      </c>
      <c r="H1405" s="40">
        <v>4.633</v>
      </c>
      <c r="I1405" s="13">
        <f t="shared" si="21"/>
        <v>3.3470476190476188</v>
      </c>
      <c r="J1405" s="20"/>
    </row>
    <row r="1406" spans="2:10">
      <c r="C1406" s="40">
        <v>1.885</v>
      </c>
      <c r="D1406" s="34">
        <v>99.9</v>
      </c>
      <c r="E1406" s="23">
        <v>86.24</v>
      </c>
      <c r="F1406" s="23">
        <v>25.24</v>
      </c>
      <c r="G1406" s="23">
        <v>524.1</v>
      </c>
      <c r="H1406" s="40">
        <v>3.16</v>
      </c>
      <c r="I1406" s="13">
        <f t="shared" si="21"/>
        <v>3.416798732171157</v>
      </c>
      <c r="J1406" s="20"/>
    </row>
    <row r="1407" spans="2:10">
      <c r="C1407" s="40">
        <v>1.7430000000000001</v>
      </c>
      <c r="D1407" s="34">
        <v>118.7</v>
      </c>
      <c r="E1407" s="23">
        <v>87.59</v>
      </c>
      <c r="F1407" s="23">
        <v>26.16</v>
      </c>
      <c r="G1407" s="23">
        <v>522.29999999999995</v>
      </c>
      <c r="H1407" s="40">
        <v>4.4279999999999999</v>
      </c>
      <c r="I1407" s="13">
        <f t="shared" si="21"/>
        <v>3.3482415902140672</v>
      </c>
      <c r="J1407" s="20"/>
    </row>
    <row r="1408" spans="2:10">
      <c r="C1408" s="40">
        <v>1.8160000000000001</v>
      </c>
      <c r="D1408" s="34">
        <v>110.8</v>
      </c>
      <c r="E1408" s="23">
        <v>85.02</v>
      </c>
      <c r="F1408" s="23">
        <v>26.11</v>
      </c>
      <c r="G1408" s="23">
        <v>523.1</v>
      </c>
      <c r="H1408" s="40">
        <v>4.0869999999999997</v>
      </c>
      <c r="I1408" s="13">
        <f t="shared" si="21"/>
        <v>3.2562236690923019</v>
      </c>
      <c r="J1408" s="20"/>
    </row>
    <row r="1409" spans="2:10">
      <c r="C1409" s="40">
        <v>2.0089999999999999</v>
      </c>
      <c r="D1409" s="34">
        <v>99.4</v>
      </c>
      <c r="E1409" s="23">
        <v>83.9</v>
      </c>
      <c r="F1409" s="23">
        <v>25.86</v>
      </c>
      <c r="G1409" s="23">
        <v>526.29999999999995</v>
      </c>
      <c r="H1409" s="40">
        <v>4.0090000000000003</v>
      </c>
      <c r="I1409" s="13">
        <f t="shared" si="21"/>
        <v>3.2443928847641148</v>
      </c>
      <c r="J1409" s="20"/>
    </row>
    <row r="1410" spans="2:10">
      <c r="C1410" s="40">
        <v>2.4409999999999998</v>
      </c>
      <c r="D1410" s="34">
        <v>100.4</v>
      </c>
      <c r="E1410" s="23">
        <v>83.08</v>
      </c>
      <c r="F1410" s="23">
        <v>25.16</v>
      </c>
      <c r="G1410" s="23">
        <v>526.70000000000005</v>
      </c>
      <c r="H1410" s="40">
        <v>4.8289999999999997</v>
      </c>
      <c r="I1410" s="13">
        <f t="shared" si="21"/>
        <v>3.3020667726550079</v>
      </c>
      <c r="J1410" s="20"/>
    </row>
    <row r="1411" spans="2:10">
      <c r="C1411" s="40">
        <v>2.1259999999999999</v>
      </c>
      <c r="D1411" s="34">
        <v>117.7</v>
      </c>
      <c r="E1411" s="23">
        <v>82.14</v>
      </c>
      <c r="F1411" s="23">
        <v>26.2</v>
      </c>
      <c r="G1411" s="23">
        <v>526.9</v>
      </c>
      <c r="H1411" s="40">
        <v>3.6709999999999998</v>
      </c>
      <c r="I1411" s="13">
        <f t="shared" ref="I1411:I1474" si="22">E1411/F1411</f>
        <v>3.1351145038167938</v>
      </c>
      <c r="J1411" s="20"/>
    </row>
    <row r="1412" spans="2:10">
      <c r="C1412" s="40">
        <v>2.0830000000000002</v>
      </c>
      <c r="D1412" s="34">
        <v>106.4</v>
      </c>
      <c r="E1412" s="23">
        <v>83.85</v>
      </c>
      <c r="F1412" s="23">
        <v>25.54</v>
      </c>
      <c r="G1412" s="23">
        <v>536.4</v>
      </c>
      <c r="H1412" s="40">
        <v>4.343</v>
      </c>
      <c r="I1412" s="13">
        <f t="shared" si="22"/>
        <v>3.2830853563038369</v>
      </c>
      <c r="J1412" s="20"/>
    </row>
    <row r="1413" spans="2:10">
      <c r="C1413" s="40">
        <v>2.3370000000000002</v>
      </c>
      <c r="D1413" s="34">
        <v>89.2</v>
      </c>
      <c r="E1413" s="23">
        <v>83.94</v>
      </c>
      <c r="F1413" s="23">
        <v>25.96</v>
      </c>
      <c r="G1413" s="23">
        <v>538.20000000000005</v>
      </c>
      <c r="H1413" s="40">
        <v>4.2789999999999999</v>
      </c>
      <c r="I1413" s="13">
        <f t="shared" si="22"/>
        <v>3.2334360554699537</v>
      </c>
      <c r="J1413" s="20"/>
    </row>
    <row r="1414" spans="2:10">
      <c r="C1414" s="40">
        <v>1.7789999999999999</v>
      </c>
      <c r="D1414" s="34">
        <v>99.1</v>
      </c>
      <c r="E1414" s="23">
        <v>83.67</v>
      </c>
      <c r="F1414" s="23">
        <v>27.56</v>
      </c>
      <c r="G1414" s="23">
        <v>530.6</v>
      </c>
      <c r="H1414" s="40">
        <v>3.081</v>
      </c>
      <c r="I1414" s="13">
        <f t="shared" si="22"/>
        <v>3.0359216255442671</v>
      </c>
      <c r="J1414" s="20"/>
    </row>
    <row r="1415" spans="2:10">
      <c r="C1415" s="40">
        <v>1.9990000000000001</v>
      </c>
      <c r="D1415" s="34">
        <v>90.8</v>
      </c>
      <c r="E1415" s="23">
        <v>84.78</v>
      </c>
      <c r="F1415" s="23">
        <v>27.42</v>
      </c>
      <c r="G1415" s="23">
        <v>524.9</v>
      </c>
      <c r="H1415" s="40">
        <v>4.7629999999999999</v>
      </c>
      <c r="I1415" s="13">
        <f t="shared" si="22"/>
        <v>3.0919037199124726</v>
      </c>
      <c r="J1415" s="20"/>
    </row>
    <row r="1416" spans="2:10">
      <c r="C1416" s="40">
        <v>2.121</v>
      </c>
      <c r="D1416" s="34">
        <v>95.6</v>
      </c>
      <c r="E1416" s="23">
        <v>84.81</v>
      </c>
      <c r="F1416" s="23">
        <v>26.07</v>
      </c>
      <c r="G1416" s="23">
        <v>523.1</v>
      </c>
      <c r="H1416" s="40">
        <v>4.5819999999999999</v>
      </c>
      <c r="I1416" s="13">
        <f t="shared" si="22"/>
        <v>3.2531645569620253</v>
      </c>
      <c r="J1416" s="20"/>
    </row>
    <row r="1417" spans="2:10">
      <c r="C1417" s="40">
        <v>2.3660000000000001</v>
      </c>
      <c r="D1417" s="34">
        <v>118.8</v>
      </c>
      <c r="E1417" s="23">
        <v>81.459999999999994</v>
      </c>
      <c r="F1417" s="23">
        <v>27.75</v>
      </c>
      <c r="G1417" s="23">
        <v>523.4</v>
      </c>
      <c r="H1417" s="40">
        <v>4.633</v>
      </c>
      <c r="I1417" s="13">
        <f t="shared" si="22"/>
        <v>2.9354954954954953</v>
      </c>
      <c r="J1417" s="20"/>
    </row>
    <row r="1418" spans="2:10">
      <c r="C1418" s="40">
        <v>1.8640000000000001</v>
      </c>
      <c r="D1418" s="34">
        <v>102.5</v>
      </c>
      <c r="E1418" s="23">
        <v>81.5</v>
      </c>
      <c r="F1418" s="23">
        <v>25.94</v>
      </c>
      <c r="G1418" s="23">
        <v>525</v>
      </c>
      <c r="H1418" s="40">
        <v>3.5510000000000002</v>
      </c>
      <c r="I1418" s="13">
        <f t="shared" si="22"/>
        <v>3.141865844255975</v>
      </c>
      <c r="J1418" s="20"/>
    </row>
    <row r="1419" spans="2:10">
      <c r="C1419" s="40">
        <v>2.2210000000000001</v>
      </c>
      <c r="D1419" s="34">
        <v>97.5</v>
      </c>
      <c r="E1419" s="23">
        <v>83.09</v>
      </c>
      <c r="F1419" s="23">
        <v>26.07</v>
      </c>
      <c r="G1419" s="23">
        <v>524.79999999999995</v>
      </c>
      <c r="H1419" s="40">
        <v>3.806</v>
      </c>
      <c r="I1419" s="13">
        <f t="shared" si="22"/>
        <v>3.1871883390870734</v>
      </c>
      <c r="J1419" s="20"/>
    </row>
    <row r="1420" spans="2:10">
      <c r="C1420" s="40">
        <v>1.6910000000000001</v>
      </c>
      <c r="D1420" s="34">
        <v>108.6</v>
      </c>
      <c r="E1420" s="23">
        <v>83.37</v>
      </c>
      <c r="F1420" s="23">
        <v>25.51</v>
      </c>
      <c r="G1420" s="23">
        <v>524.4</v>
      </c>
      <c r="H1420" s="40">
        <v>4.5949999999999998</v>
      </c>
      <c r="I1420" s="13">
        <f t="shared" si="22"/>
        <v>3.2681301450411602</v>
      </c>
      <c r="J1420" s="20"/>
    </row>
    <row r="1421" spans="2:10">
      <c r="C1421" s="40">
        <v>1.615</v>
      </c>
      <c r="D1421" s="34">
        <v>117.8</v>
      </c>
      <c r="E1421" s="23">
        <v>84.51</v>
      </c>
      <c r="F1421" s="23">
        <v>25.85</v>
      </c>
      <c r="G1421" s="23">
        <v>525.29999999999995</v>
      </c>
      <c r="H1421" s="40">
        <v>3.3220000000000001</v>
      </c>
      <c r="I1421" s="13">
        <f t="shared" si="22"/>
        <v>3.2692456479690524</v>
      </c>
      <c r="J1421" s="20"/>
    </row>
    <row r="1422" spans="2:10">
      <c r="B1422" s="47">
        <v>72</v>
      </c>
      <c r="C1422" s="39">
        <v>2.2040000000000002</v>
      </c>
      <c r="D1422" s="37">
        <v>124.7</v>
      </c>
      <c r="E1422" s="38">
        <v>91.76</v>
      </c>
      <c r="F1422" s="38">
        <v>30.85</v>
      </c>
      <c r="G1422" s="38">
        <v>530.70000000000005</v>
      </c>
      <c r="H1422" s="39">
        <v>5.48</v>
      </c>
      <c r="I1422" s="13">
        <f t="shared" si="22"/>
        <v>2.974392220421394</v>
      </c>
      <c r="J1422" s="20"/>
    </row>
    <row r="1423" spans="2:10">
      <c r="C1423" s="40">
        <v>2.1949999999999998</v>
      </c>
      <c r="D1423" s="34">
        <v>111.2</v>
      </c>
      <c r="E1423" s="23">
        <v>91.8</v>
      </c>
      <c r="F1423" s="23">
        <v>30.9</v>
      </c>
      <c r="G1423" s="23">
        <v>529</v>
      </c>
      <c r="H1423" s="40">
        <v>4.0199999999999996</v>
      </c>
      <c r="I1423" s="13">
        <f t="shared" si="22"/>
        <v>2.970873786407767</v>
      </c>
      <c r="J1423" s="20"/>
    </row>
    <row r="1424" spans="2:10">
      <c r="C1424" s="40">
        <v>2.1880000000000002</v>
      </c>
      <c r="D1424" s="34">
        <v>103.3</v>
      </c>
      <c r="E1424" s="23">
        <v>92.09</v>
      </c>
      <c r="F1424" s="23">
        <v>30.79</v>
      </c>
      <c r="G1424" s="23">
        <v>528.6</v>
      </c>
      <c r="H1424" s="40">
        <v>4.83</v>
      </c>
      <c r="I1424" s="13">
        <f t="shared" si="22"/>
        <v>2.9909061383566096</v>
      </c>
      <c r="J1424" s="20"/>
    </row>
    <row r="1425" spans="3:10">
      <c r="C1425" s="40">
        <v>2.2029999999999998</v>
      </c>
      <c r="D1425" s="34">
        <v>120.5</v>
      </c>
      <c r="E1425" s="23">
        <v>91.84</v>
      </c>
      <c r="F1425" s="23">
        <v>30.84</v>
      </c>
      <c r="G1425" s="23">
        <v>532.29999999999995</v>
      </c>
      <c r="H1425" s="40">
        <v>4.6399999999999997</v>
      </c>
      <c r="I1425" s="13">
        <f t="shared" si="22"/>
        <v>2.9779507133592737</v>
      </c>
      <c r="J1425" s="20"/>
    </row>
    <row r="1426" spans="3:10">
      <c r="C1426" s="40">
        <v>2.206</v>
      </c>
      <c r="D1426" s="34">
        <v>117.2</v>
      </c>
      <c r="E1426" s="23">
        <v>91.77</v>
      </c>
      <c r="F1426" s="23">
        <v>30.96</v>
      </c>
      <c r="G1426" s="23">
        <v>532.4</v>
      </c>
      <c r="H1426" s="40">
        <v>4.08</v>
      </c>
      <c r="I1426" s="13">
        <f t="shared" si="22"/>
        <v>2.9641472868217051</v>
      </c>
      <c r="J1426" s="20"/>
    </row>
    <row r="1427" spans="3:10">
      <c r="C1427" s="40">
        <v>2</v>
      </c>
      <c r="D1427" s="34">
        <v>116.5</v>
      </c>
      <c r="E1427" s="23">
        <v>91.69</v>
      </c>
      <c r="F1427" s="23">
        <v>30.63</v>
      </c>
      <c r="G1427" s="23">
        <v>532.6</v>
      </c>
      <c r="H1427" s="40">
        <v>4.1500000000000004</v>
      </c>
      <c r="I1427" s="13">
        <f t="shared" si="22"/>
        <v>2.9934704538034609</v>
      </c>
      <c r="J1427" s="20"/>
    </row>
    <row r="1428" spans="3:10">
      <c r="C1428" s="40">
        <v>2.1989999999999998</v>
      </c>
      <c r="D1428" s="34">
        <v>104.5</v>
      </c>
      <c r="E1428" s="23">
        <v>91.62</v>
      </c>
      <c r="F1428" s="23">
        <v>30.88</v>
      </c>
      <c r="G1428" s="23">
        <v>532.4</v>
      </c>
      <c r="H1428" s="40">
        <v>4.57</v>
      </c>
      <c r="I1428" s="13">
        <f t="shared" si="22"/>
        <v>2.9669689119170988</v>
      </c>
      <c r="J1428" s="20"/>
    </row>
    <row r="1429" spans="3:10">
      <c r="C1429" s="40">
        <v>2.2040000000000002</v>
      </c>
      <c r="D1429" s="34">
        <v>120.5</v>
      </c>
      <c r="E1429" s="23">
        <v>91.94</v>
      </c>
      <c r="F1429" s="23">
        <v>30.81</v>
      </c>
      <c r="G1429" s="23">
        <v>536.6</v>
      </c>
      <c r="H1429" s="40">
        <v>4.25</v>
      </c>
      <c r="I1429" s="13">
        <f t="shared" si="22"/>
        <v>2.9840960727036676</v>
      </c>
      <c r="J1429" s="20"/>
    </row>
    <row r="1430" spans="3:10">
      <c r="C1430" s="40">
        <v>2.206</v>
      </c>
      <c r="D1430" s="34">
        <v>114.7</v>
      </c>
      <c r="E1430" s="23">
        <v>91.83</v>
      </c>
      <c r="F1430" s="23">
        <v>30.64</v>
      </c>
      <c r="G1430" s="23">
        <v>532.5</v>
      </c>
      <c r="H1430" s="40">
        <v>4.45</v>
      </c>
      <c r="I1430" s="13">
        <f t="shared" si="22"/>
        <v>2.9970626631853783</v>
      </c>
      <c r="J1430" s="20"/>
    </row>
    <row r="1431" spans="3:10">
      <c r="C1431" s="40">
        <v>2.2029999999999998</v>
      </c>
      <c r="D1431" s="34">
        <v>107.6</v>
      </c>
      <c r="E1431" s="23">
        <v>91.76</v>
      </c>
      <c r="F1431" s="23">
        <v>30.97</v>
      </c>
      <c r="G1431" s="23">
        <v>530.70000000000005</v>
      </c>
      <c r="H1431" s="40">
        <v>4.47</v>
      </c>
      <c r="I1431" s="13">
        <f t="shared" si="22"/>
        <v>2.9628672909267038</v>
      </c>
      <c r="J1431" s="20"/>
    </row>
    <row r="1432" spans="3:10">
      <c r="C1432" s="40">
        <v>2.1960000000000002</v>
      </c>
      <c r="D1432" s="34">
        <v>123.2</v>
      </c>
      <c r="E1432" s="23">
        <v>91.62</v>
      </c>
      <c r="F1432" s="23">
        <v>30.46</v>
      </c>
      <c r="G1432" s="23">
        <v>527.70000000000005</v>
      </c>
      <c r="H1432" s="40">
        <v>4.83</v>
      </c>
      <c r="I1432" s="13">
        <f t="shared" si="22"/>
        <v>3.0078791858174654</v>
      </c>
      <c r="J1432" s="20"/>
    </row>
    <row r="1433" spans="3:10">
      <c r="C1433" s="40">
        <v>2.1890000000000001</v>
      </c>
      <c r="D1433" s="34">
        <v>110.3</v>
      </c>
      <c r="E1433" s="23">
        <v>91.84</v>
      </c>
      <c r="F1433" s="23">
        <v>30.77</v>
      </c>
      <c r="G1433" s="23">
        <v>529.70000000000005</v>
      </c>
      <c r="H1433" s="40">
        <v>4.8600000000000003</v>
      </c>
      <c r="I1433" s="13">
        <f t="shared" si="22"/>
        <v>2.9847253818654536</v>
      </c>
      <c r="J1433" s="20"/>
    </row>
    <row r="1434" spans="3:10">
      <c r="C1434" s="40">
        <v>2.1709999999999998</v>
      </c>
      <c r="D1434" s="34">
        <v>112</v>
      </c>
      <c r="E1434" s="23">
        <v>91.71</v>
      </c>
      <c r="F1434" s="23">
        <v>30.56</v>
      </c>
      <c r="G1434" s="23">
        <v>527.20000000000005</v>
      </c>
      <c r="H1434" s="40">
        <v>5.13</v>
      </c>
      <c r="I1434" s="13">
        <f t="shared" si="22"/>
        <v>3.0009816753926701</v>
      </c>
      <c r="J1434" s="20"/>
    </row>
    <row r="1435" spans="3:10">
      <c r="C1435" s="40">
        <v>2.1890000000000001</v>
      </c>
      <c r="D1435" s="34">
        <v>107</v>
      </c>
      <c r="E1435" s="23">
        <v>91.62</v>
      </c>
      <c r="F1435" s="23">
        <v>30.88</v>
      </c>
      <c r="G1435" s="23">
        <v>527.29999999999995</v>
      </c>
      <c r="H1435" s="40">
        <v>4.46</v>
      </c>
      <c r="I1435" s="13">
        <f t="shared" si="22"/>
        <v>2.9669689119170988</v>
      </c>
      <c r="J1435" s="20"/>
    </row>
    <row r="1436" spans="3:10">
      <c r="C1436" s="40">
        <v>2.1880000000000002</v>
      </c>
      <c r="D1436" s="34">
        <v>133.4</v>
      </c>
      <c r="E1436" s="23">
        <v>92.01</v>
      </c>
      <c r="F1436" s="23">
        <v>30.63</v>
      </c>
      <c r="G1436" s="23">
        <v>526.29999999999995</v>
      </c>
      <c r="H1436" s="40">
        <v>3.8780000000000001</v>
      </c>
      <c r="I1436" s="13">
        <f t="shared" si="22"/>
        <v>3.0039177277179236</v>
      </c>
      <c r="J1436" s="20"/>
    </row>
    <row r="1437" spans="3:10">
      <c r="C1437" s="40">
        <v>2.1949999999999998</v>
      </c>
      <c r="D1437" s="34">
        <v>131.4</v>
      </c>
      <c r="E1437" s="23">
        <v>92.04</v>
      </c>
      <c r="F1437" s="23">
        <v>30.49</v>
      </c>
      <c r="G1437" s="23">
        <v>525.5</v>
      </c>
      <c r="H1437" s="40">
        <v>3.78</v>
      </c>
      <c r="I1437" s="13">
        <f t="shared" si="22"/>
        <v>3.0186946539849133</v>
      </c>
      <c r="J1437" s="20"/>
    </row>
    <row r="1438" spans="3:10">
      <c r="C1438" s="40">
        <v>2.206</v>
      </c>
      <c r="D1438" s="34">
        <v>125.7</v>
      </c>
      <c r="E1438" s="23">
        <v>92.07</v>
      </c>
      <c r="F1438" s="23">
        <v>30.36</v>
      </c>
      <c r="G1438" s="23">
        <v>527.4</v>
      </c>
      <c r="H1438" s="40">
        <v>4.0199999999999996</v>
      </c>
      <c r="I1438" s="13">
        <f t="shared" si="22"/>
        <v>3.0326086956521738</v>
      </c>
      <c r="J1438" s="20"/>
    </row>
    <row r="1439" spans="3:10">
      <c r="C1439" s="40">
        <v>2.19</v>
      </c>
      <c r="D1439" s="34">
        <v>123.8</v>
      </c>
      <c r="E1439" s="23">
        <v>92.3</v>
      </c>
      <c r="F1439" s="23">
        <v>30.54</v>
      </c>
      <c r="G1439" s="23">
        <v>528</v>
      </c>
      <c r="H1439" s="40">
        <v>4.01</v>
      </c>
      <c r="I1439" s="13">
        <f t="shared" si="22"/>
        <v>3.0222658808120499</v>
      </c>
      <c r="J1439" s="20"/>
    </row>
    <row r="1440" spans="3:10">
      <c r="C1440" s="40">
        <v>2.2040000000000002</v>
      </c>
      <c r="D1440" s="34">
        <v>112.8</v>
      </c>
      <c r="E1440" s="23">
        <v>92.05</v>
      </c>
      <c r="F1440" s="23">
        <v>30.99</v>
      </c>
      <c r="G1440" s="23">
        <v>527.79999999999995</v>
      </c>
      <c r="H1440" s="40">
        <v>4.16</v>
      </c>
      <c r="I1440" s="13">
        <f t="shared" si="22"/>
        <v>2.9703130041949017</v>
      </c>
      <c r="J1440" s="20"/>
    </row>
    <row r="1441" spans="2:10">
      <c r="C1441" s="40">
        <v>2.206</v>
      </c>
      <c r="D1441" s="34">
        <v>107.7</v>
      </c>
      <c r="E1441" s="23">
        <v>91.66</v>
      </c>
      <c r="F1441" s="23">
        <v>30.84</v>
      </c>
      <c r="G1441" s="23">
        <v>528.6</v>
      </c>
      <c r="H1441" s="40">
        <v>4.42</v>
      </c>
      <c r="I1441" s="13">
        <f t="shared" si="22"/>
        <v>2.9721141374837874</v>
      </c>
      <c r="J1441" s="20"/>
    </row>
    <row r="1442" spans="2:10">
      <c r="B1442" s="47">
        <v>73</v>
      </c>
      <c r="C1442" s="39">
        <v>2.2200000000000002</v>
      </c>
      <c r="D1442" s="37">
        <v>173.4</v>
      </c>
      <c r="E1442" s="38">
        <v>95.99</v>
      </c>
      <c r="F1442" s="38">
        <v>24.1</v>
      </c>
      <c r="G1442" s="38">
        <v>524.9</v>
      </c>
      <c r="H1442" s="39">
        <v>5.8970000000000002</v>
      </c>
      <c r="I1442" s="13">
        <f t="shared" si="22"/>
        <v>3.9829875518672195</v>
      </c>
      <c r="J1442" s="20"/>
    </row>
    <row r="1443" spans="2:10">
      <c r="C1443" s="40">
        <v>2.1349999999999998</v>
      </c>
      <c r="D1443" s="34">
        <v>179.8</v>
      </c>
      <c r="E1443" s="23">
        <v>96.5</v>
      </c>
      <c r="F1443" s="23">
        <v>23.54</v>
      </c>
      <c r="G1443" s="23">
        <v>536.1</v>
      </c>
      <c r="H1443" s="40">
        <v>6.1609999999999996</v>
      </c>
      <c r="I1443" s="13">
        <f t="shared" si="22"/>
        <v>4.0994052676295665</v>
      </c>
      <c r="J1443" s="20"/>
    </row>
    <row r="1444" spans="2:10">
      <c r="C1444" s="40">
        <v>2.2759999999999998</v>
      </c>
      <c r="D1444" s="34">
        <v>176.1</v>
      </c>
      <c r="E1444" s="23">
        <v>96.46</v>
      </c>
      <c r="F1444" s="23">
        <v>23.91</v>
      </c>
      <c r="G1444" s="23">
        <v>533.70000000000005</v>
      </c>
      <c r="H1444" s="40">
        <v>6.3479999999999999</v>
      </c>
      <c r="I1444" s="13">
        <f t="shared" si="22"/>
        <v>4.0342952739439566</v>
      </c>
      <c r="J1444" s="20"/>
    </row>
    <row r="1445" spans="2:10">
      <c r="C1445" s="40">
        <v>2.2149999999999999</v>
      </c>
      <c r="D1445" s="34">
        <v>174.5</v>
      </c>
      <c r="E1445" s="23">
        <v>96.57</v>
      </c>
      <c r="F1445" s="23">
        <v>23.92</v>
      </c>
      <c r="G1445" s="23">
        <v>525.29999999999995</v>
      </c>
      <c r="H1445" s="40">
        <v>5.5419999999999998</v>
      </c>
      <c r="I1445" s="13">
        <f t="shared" si="22"/>
        <v>4.0372073578595309</v>
      </c>
      <c r="J1445" s="20"/>
    </row>
    <row r="1446" spans="2:10">
      <c r="C1446" s="40">
        <v>2.2200000000000002</v>
      </c>
      <c r="D1446" s="34">
        <v>180.9</v>
      </c>
      <c r="E1446" s="23">
        <v>96.74</v>
      </c>
      <c r="F1446" s="23">
        <v>24.09</v>
      </c>
      <c r="G1446" s="23">
        <v>528</v>
      </c>
      <c r="H1446" s="40">
        <v>5.4649999999999999</v>
      </c>
      <c r="I1446" s="13">
        <f t="shared" si="22"/>
        <v>4.0157741801577416</v>
      </c>
      <c r="J1446" s="20"/>
    </row>
    <row r="1447" spans="2:10">
      <c r="C1447" s="40">
        <v>2.1379999999999999</v>
      </c>
      <c r="D1447" s="34">
        <v>174.6</v>
      </c>
      <c r="E1447" s="23">
        <v>96.5</v>
      </c>
      <c r="F1447" s="23">
        <v>24.87</v>
      </c>
      <c r="G1447" s="23">
        <v>527.6</v>
      </c>
      <c r="H1447" s="40">
        <v>5.4240000000000004</v>
      </c>
      <c r="I1447" s="13">
        <f t="shared" si="22"/>
        <v>3.8801769199839162</v>
      </c>
      <c r="J1447" s="20"/>
    </row>
    <row r="1448" spans="2:10">
      <c r="C1448" s="40">
        <v>2.1349999999999998</v>
      </c>
      <c r="D1448" s="34">
        <v>175.5</v>
      </c>
      <c r="E1448" s="23">
        <v>96.53</v>
      </c>
      <c r="F1448" s="23">
        <v>23.95</v>
      </c>
      <c r="G1448" s="23">
        <v>527.1</v>
      </c>
      <c r="H1448" s="40">
        <v>5.4279999999999999</v>
      </c>
      <c r="I1448" s="13">
        <f t="shared" si="22"/>
        <v>4.0304801670146135</v>
      </c>
      <c r="J1448" s="20"/>
    </row>
    <row r="1449" spans="2:10">
      <c r="C1449" s="40">
        <v>2.2879999999999998</v>
      </c>
      <c r="D1449" s="34">
        <v>138.4</v>
      </c>
      <c r="E1449" s="23">
        <v>97</v>
      </c>
      <c r="F1449" s="23">
        <v>23.73</v>
      </c>
      <c r="G1449" s="23">
        <v>524.6</v>
      </c>
      <c r="H1449" s="40">
        <v>5.5650000000000004</v>
      </c>
      <c r="I1449" s="13">
        <f t="shared" si="22"/>
        <v>4.0876527602191315</v>
      </c>
      <c r="J1449" s="20"/>
    </row>
    <row r="1450" spans="2:10">
      <c r="C1450" s="40">
        <v>2.2549999999999999</v>
      </c>
      <c r="D1450" s="34">
        <v>125.5</v>
      </c>
      <c r="E1450" s="23">
        <v>96.46</v>
      </c>
      <c r="F1450" s="23">
        <v>24.47</v>
      </c>
      <c r="G1450" s="23">
        <v>518.6</v>
      </c>
      <c r="H1450" s="40">
        <v>5.4889999999999999</v>
      </c>
      <c r="I1450" s="13">
        <f t="shared" si="22"/>
        <v>3.9419697588884346</v>
      </c>
      <c r="J1450" s="20"/>
    </row>
    <row r="1451" spans="2:10">
      <c r="C1451" s="40">
        <v>2.2149999999999999</v>
      </c>
      <c r="D1451" s="34">
        <v>128.19999999999999</v>
      </c>
      <c r="E1451" s="23">
        <v>96.53</v>
      </c>
      <c r="F1451" s="23">
        <v>24.29</v>
      </c>
      <c r="G1451" s="23">
        <v>538.29999999999995</v>
      </c>
      <c r="H1451" s="40">
        <v>5.4279999999999999</v>
      </c>
      <c r="I1451" s="13">
        <f t="shared" si="22"/>
        <v>3.9740634005763691</v>
      </c>
      <c r="J1451" s="20"/>
    </row>
    <row r="1452" spans="2:10">
      <c r="C1452" s="40">
        <v>2.1749999999999998</v>
      </c>
      <c r="D1452" s="34">
        <v>147.69999999999999</v>
      </c>
      <c r="E1452" s="23">
        <v>96.57</v>
      </c>
      <c r="F1452" s="23">
        <v>23.71</v>
      </c>
      <c r="G1452" s="23">
        <v>541.9</v>
      </c>
      <c r="H1452" s="40">
        <v>5.4640000000000004</v>
      </c>
      <c r="I1452" s="13">
        <f t="shared" si="22"/>
        <v>4.0729649936735548</v>
      </c>
      <c r="J1452" s="20"/>
    </row>
    <row r="1453" spans="2:10">
      <c r="C1453" s="40">
        <v>2.12</v>
      </c>
      <c r="D1453" s="34">
        <v>178</v>
      </c>
      <c r="E1453" s="23">
        <v>96.97</v>
      </c>
      <c r="F1453" s="23">
        <v>23.52</v>
      </c>
      <c r="G1453" s="23">
        <v>524.29999999999995</v>
      </c>
      <c r="H1453" s="40">
        <v>5.1950000000000003</v>
      </c>
      <c r="I1453" s="13">
        <f t="shared" si="22"/>
        <v>4.1228741496598635</v>
      </c>
      <c r="J1453" s="20"/>
    </row>
    <row r="1454" spans="2:10">
      <c r="C1454" s="40">
        <v>2.145</v>
      </c>
      <c r="D1454" s="34">
        <v>180.6</v>
      </c>
      <c r="E1454" s="23">
        <v>96.97</v>
      </c>
      <c r="F1454" s="23">
        <v>23.53</v>
      </c>
      <c r="G1454" s="23">
        <v>521.6</v>
      </c>
      <c r="H1454" s="40">
        <v>5.4770000000000003</v>
      </c>
      <c r="I1454" s="13">
        <f t="shared" si="22"/>
        <v>4.1211219719507008</v>
      </c>
      <c r="J1454" s="20"/>
    </row>
    <row r="1455" spans="2:10">
      <c r="C1455" s="40">
        <v>2.1480000000000001</v>
      </c>
      <c r="D1455" s="34">
        <v>186.6</v>
      </c>
      <c r="E1455" s="23">
        <v>92.66</v>
      </c>
      <c r="F1455" s="23">
        <v>24.28</v>
      </c>
      <c r="G1455" s="23">
        <v>517.70000000000005</v>
      </c>
      <c r="H1455" s="40">
        <v>5.4640000000000004</v>
      </c>
      <c r="I1455" s="13">
        <f t="shared" si="22"/>
        <v>3.8163097199341016</v>
      </c>
      <c r="J1455" s="20"/>
    </row>
    <row r="1456" spans="2:10">
      <c r="C1456" s="40">
        <v>2.0979999999999999</v>
      </c>
      <c r="D1456" s="34">
        <v>179.6</v>
      </c>
      <c r="E1456" s="23">
        <v>97.03</v>
      </c>
      <c r="F1456" s="23">
        <v>24.09</v>
      </c>
      <c r="G1456" s="23">
        <v>520.70000000000005</v>
      </c>
      <c r="H1456" s="40">
        <v>5.2930000000000001</v>
      </c>
      <c r="I1456" s="13">
        <f t="shared" si="22"/>
        <v>4.0278123702781237</v>
      </c>
      <c r="J1456" s="20"/>
    </row>
    <row r="1457" spans="2:10">
      <c r="C1457" s="40">
        <v>2.1190000000000002</v>
      </c>
      <c r="D1457" s="34">
        <v>173.4</v>
      </c>
      <c r="E1457" s="23">
        <v>97.19</v>
      </c>
      <c r="F1457" s="23">
        <v>23.93</v>
      </c>
      <c r="G1457" s="23">
        <v>521.5</v>
      </c>
      <c r="H1457" s="40">
        <v>5.4870000000000001</v>
      </c>
      <c r="I1457" s="13">
        <f t="shared" si="22"/>
        <v>4.0614291684078561</v>
      </c>
      <c r="J1457" s="20"/>
    </row>
    <row r="1458" spans="2:10">
      <c r="C1458" s="40">
        <v>2.2360000000000002</v>
      </c>
      <c r="D1458" s="34">
        <v>164.1</v>
      </c>
      <c r="E1458" s="23">
        <v>97.27</v>
      </c>
      <c r="F1458" s="23">
        <v>24.1</v>
      </c>
      <c r="G1458" s="23">
        <v>523.70000000000005</v>
      </c>
      <c r="H1458" s="40">
        <v>5.5609999999999999</v>
      </c>
      <c r="I1458" s="13">
        <f t="shared" si="22"/>
        <v>4.0360995850622405</v>
      </c>
      <c r="J1458" s="20"/>
    </row>
    <row r="1459" spans="2:10">
      <c r="C1459" s="40">
        <v>2.2549999999999999</v>
      </c>
      <c r="D1459" s="34">
        <v>174.2</v>
      </c>
      <c r="E1459" s="23">
        <v>96.71</v>
      </c>
      <c r="F1459" s="23">
        <v>23.8</v>
      </c>
      <c r="G1459" s="23">
        <v>522</v>
      </c>
      <c r="H1459" s="40">
        <v>5.4279999999999999</v>
      </c>
      <c r="I1459" s="13">
        <f t="shared" si="22"/>
        <v>4.0634453781512603</v>
      </c>
      <c r="J1459" s="20"/>
    </row>
    <row r="1460" spans="2:10">
      <c r="C1460" s="40">
        <v>2.2759999999999998</v>
      </c>
      <c r="D1460" s="34">
        <v>192.8</v>
      </c>
      <c r="E1460" s="23">
        <v>96.76</v>
      </c>
      <c r="F1460" s="23">
        <v>23.83</v>
      </c>
      <c r="G1460" s="23">
        <v>521.5</v>
      </c>
      <c r="H1460" s="40">
        <v>5.5419999999999998</v>
      </c>
      <c r="I1460" s="13">
        <f t="shared" si="22"/>
        <v>4.060428031892573</v>
      </c>
      <c r="J1460" s="20"/>
    </row>
    <row r="1461" spans="2:10">
      <c r="C1461" s="40">
        <v>2.2200000000000002</v>
      </c>
      <c r="D1461" s="34">
        <v>178</v>
      </c>
      <c r="E1461" s="23">
        <v>96.79</v>
      </c>
      <c r="F1461" s="23">
        <v>23.69</v>
      </c>
      <c r="G1461" s="23">
        <v>520.6</v>
      </c>
      <c r="H1461" s="40">
        <v>5.4649999999999999</v>
      </c>
      <c r="I1461" s="13">
        <f t="shared" si="22"/>
        <v>4.085690164626425</v>
      </c>
      <c r="J1461" s="20"/>
    </row>
    <row r="1462" spans="2:10">
      <c r="B1462" s="47">
        <v>74</v>
      </c>
      <c r="C1462" s="39">
        <v>1.627</v>
      </c>
      <c r="D1462" s="37">
        <v>136.80000000000001</v>
      </c>
      <c r="E1462" s="38">
        <v>98.16</v>
      </c>
      <c r="F1462" s="38">
        <v>33.6</v>
      </c>
      <c r="G1462" s="38">
        <v>506.9</v>
      </c>
      <c r="H1462" s="39">
        <v>3.07</v>
      </c>
      <c r="I1462" s="13">
        <f t="shared" si="22"/>
        <v>2.9214285714285713</v>
      </c>
      <c r="J1462" s="20"/>
    </row>
    <row r="1463" spans="2:10">
      <c r="C1463" s="40">
        <v>1.631</v>
      </c>
      <c r="D1463" s="34">
        <v>95.2</v>
      </c>
      <c r="E1463" s="23">
        <v>97.35</v>
      </c>
      <c r="F1463" s="23">
        <v>33.44</v>
      </c>
      <c r="G1463" s="23">
        <v>502.2</v>
      </c>
      <c r="H1463" s="40">
        <v>3.61</v>
      </c>
      <c r="I1463" s="13">
        <f t="shared" si="22"/>
        <v>2.9111842105263159</v>
      </c>
      <c r="J1463" s="20"/>
    </row>
    <row r="1464" spans="2:10">
      <c r="C1464" s="40">
        <v>1.5780000000000001</v>
      </c>
      <c r="D1464" s="34">
        <v>128.9</v>
      </c>
      <c r="E1464" s="23">
        <v>97.51</v>
      </c>
      <c r="F1464" s="23">
        <v>33.57</v>
      </c>
      <c r="G1464" s="23">
        <v>498.4</v>
      </c>
      <c r="H1464" s="40">
        <v>2.86</v>
      </c>
      <c r="I1464" s="13">
        <f t="shared" si="22"/>
        <v>2.9046767947572238</v>
      </c>
      <c r="J1464" s="20"/>
    </row>
    <row r="1465" spans="2:10">
      <c r="C1465" s="40">
        <v>1.595</v>
      </c>
      <c r="D1465" s="34">
        <v>121</v>
      </c>
      <c r="E1465" s="23">
        <v>97.67</v>
      </c>
      <c r="F1465" s="23">
        <v>33.69</v>
      </c>
      <c r="G1465" s="23">
        <v>498</v>
      </c>
      <c r="H1465" s="40">
        <v>3.31</v>
      </c>
      <c r="I1465" s="13">
        <f t="shared" si="22"/>
        <v>2.8990798456515288</v>
      </c>
      <c r="J1465" s="20"/>
    </row>
    <row r="1466" spans="2:10">
      <c r="C1466" s="40">
        <v>1.649</v>
      </c>
      <c r="D1466" s="34">
        <v>135.6</v>
      </c>
      <c r="E1466" s="23">
        <v>98.29</v>
      </c>
      <c r="F1466" s="23">
        <v>33.32</v>
      </c>
      <c r="G1466" s="23">
        <v>492.5</v>
      </c>
      <c r="H1466" s="40">
        <v>2.72</v>
      </c>
      <c r="I1466" s="13">
        <f t="shared" si="22"/>
        <v>2.9498799519807926</v>
      </c>
      <c r="J1466" s="20"/>
    </row>
    <row r="1467" spans="2:10">
      <c r="C1467" s="40">
        <v>1.62</v>
      </c>
      <c r="D1467" s="34">
        <v>113.7</v>
      </c>
      <c r="E1467" s="23">
        <v>97.96</v>
      </c>
      <c r="F1467" s="23">
        <v>33.35</v>
      </c>
      <c r="G1467" s="23">
        <v>484.7</v>
      </c>
      <c r="H1467" s="40">
        <v>3.01</v>
      </c>
      <c r="I1467" s="13">
        <f t="shared" si="22"/>
        <v>2.9373313343328333</v>
      </c>
      <c r="J1467" s="20"/>
    </row>
    <row r="1468" spans="2:10">
      <c r="C1468" s="40">
        <v>1.639</v>
      </c>
      <c r="D1468" s="34">
        <v>75.2</v>
      </c>
      <c r="E1468" s="23">
        <v>97.8</v>
      </c>
      <c r="F1468" s="23">
        <v>33.5</v>
      </c>
      <c r="G1468" s="23">
        <v>488.7</v>
      </c>
      <c r="H1468" s="40">
        <v>3.69</v>
      </c>
      <c r="I1468" s="13">
        <f t="shared" si="22"/>
        <v>2.9194029850746266</v>
      </c>
      <c r="J1468" s="20"/>
    </row>
    <row r="1469" spans="2:10">
      <c r="C1469" s="40">
        <v>1.6559999999999999</v>
      </c>
      <c r="D1469" s="34">
        <v>106.8</v>
      </c>
      <c r="E1469" s="23">
        <v>97.58</v>
      </c>
      <c r="F1469" s="23">
        <v>33.58</v>
      </c>
      <c r="G1469" s="23">
        <v>497.9</v>
      </c>
      <c r="H1469" s="40">
        <v>3.69</v>
      </c>
      <c r="I1469" s="13">
        <f t="shared" si="22"/>
        <v>2.9058963668850506</v>
      </c>
      <c r="J1469" s="20"/>
    </row>
    <row r="1470" spans="2:10">
      <c r="C1470" s="40">
        <v>1.603</v>
      </c>
      <c r="D1470" s="34">
        <v>105.4</v>
      </c>
      <c r="E1470" s="23">
        <v>97.25</v>
      </c>
      <c r="F1470" s="23">
        <v>33.44</v>
      </c>
      <c r="G1470" s="23">
        <v>490.6</v>
      </c>
      <c r="H1470" s="40">
        <v>3.72</v>
      </c>
      <c r="I1470" s="13">
        <f t="shared" si="22"/>
        <v>2.9081937799043063</v>
      </c>
      <c r="J1470" s="20"/>
    </row>
    <row r="1471" spans="2:10">
      <c r="C1471" s="40">
        <v>1.591</v>
      </c>
      <c r="D1471" s="34">
        <v>105.2</v>
      </c>
      <c r="E1471" s="23">
        <v>98.1</v>
      </c>
      <c r="F1471" s="23">
        <v>33.86</v>
      </c>
      <c r="G1471" s="23">
        <v>484.7</v>
      </c>
      <c r="H1471" s="40">
        <v>3.56</v>
      </c>
      <c r="I1471" s="13">
        <f t="shared" si="22"/>
        <v>2.8972238629651503</v>
      </c>
      <c r="J1471" s="20"/>
    </row>
    <row r="1472" spans="2:10">
      <c r="C1472" s="40">
        <v>1.607</v>
      </c>
      <c r="D1472" s="34">
        <v>100</v>
      </c>
      <c r="E1472" s="23">
        <v>98.23</v>
      </c>
      <c r="F1472" s="23">
        <v>33.9</v>
      </c>
      <c r="G1472" s="23">
        <v>487.2</v>
      </c>
      <c r="H1472" s="40">
        <v>2.93</v>
      </c>
      <c r="I1472" s="13">
        <f t="shared" si="22"/>
        <v>2.8976401179941007</v>
      </c>
      <c r="J1472" s="20"/>
    </row>
    <row r="1473" spans="2:10">
      <c r="C1473" s="40">
        <v>1.6220000000000001</v>
      </c>
      <c r="D1473" s="34">
        <v>102.5</v>
      </c>
      <c r="E1473" s="23">
        <v>97.51</v>
      </c>
      <c r="F1473" s="23">
        <v>33.28</v>
      </c>
      <c r="G1473" s="23">
        <v>490.9</v>
      </c>
      <c r="H1473" s="40">
        <v>2.68</v>
      </c>
      <c r="I1473" s="13">
        <f t="shared" si="22"/>
        <v>2.9299879807692308</v>
      </c>
      <c r="J1473" s="20"/>
    </row>
    <row r="1474" spans="2:10">
      <c r="C1474" s="40">
        <v>1.5920000000000001</v>
      </c>
      <c r="D1474" s="34">
        <v>105.2</v>
      </c>
      <c r="E1474" s="23">
        <v>97.87</v>
      </c>
      <c r="F1474" s="23">
        <v>33.409999999999997</v>
      </c>
      <c r="G1474" s="23">
        <v>497.9</v>
      </c>
      <c r="H1474" s="40">
        <v>2.92</v>
      </c>
      <c r="I1474" s="13">
        <f t="shared" si="22"/>
        <v>2.9293624663274471</v>
      </c>
      <c r="J1474" s="20"/>
    </row>
    <row r="1475" spans="2:10">
      <c r="C1475" s="40">
        <v>1.58</v>
      </c>
      <c r="D1475" s="34">
        <v>100.9</v>
      </c>
      <c r="E1475" s="23">
        <v>97.82</v>
      </c>
      <c r="F1475" s="23">
        <v>33.36</v>
      </c>
      <c r="G1475" s="23">
        <v>502.2</v>
      </c>
      <c r="H1475" s="40">
        <v>3.35</v>
      </c>
      <c r="I1475" s="13">
        <f t="shared" ref="I1475:I1538" si="23">E1475/F1475</f>
        <v>2.9322541966426856</v>
      </c>
      <c r="J1475" s="20"/>
    </row>
    <row r="1476" spans="2:10">
      <c r="C1476" s="40">
        <v>1.6080000000000001</v>
      </c>
      <c r="D1476" s="34">
        <v>105.9</v>
      </c>
      <c r="E1476" s="23">
        <v>97.67</v>
      </c>
      <c r="F1476" s="23">
        <v>33.24</v>
      </c>
      <c r="G1476" s="23">
        <v>508.8</v>
      </c>
      <c r="H1476" s="40">
        <v>2.69</v>
      </c>
      <c r="I1476" s="13">
        <f t="shared" si="23"/>
        <v>2.938327316486161</v>
      </c>
      <c r="J1476" s="20"/>
    </row>
    <row r="1477" spans="2:10">
      <c r="C1477" s="40">
        <v>1.62</v>
      </c>
      <c r="D1477" s="34">
        <v>93.8</v>
      </c>
      <c r="E1477" s="23">
        <v>97.04</v>
      </c>
      <c r="F1477" s="23">
        <v>33.590000000000003</v>
      </c>
      <c r="G1477" s="23">
        <v>496.1</v>
      </c>
      <c r="H1477" s="40">
        <v>2.72</v>
      </c>
      <c r="I1477" s="13">
        <f t="shared" si="23"/>
        <v>2.888955046144686</v>
      </c>
      <c r="J1477" s="20"/>
    </row>
    <row r="1478" spans="2:10">
      <c r="C1478" s="40">
        <v>1.601</v>
      </c>
      <c r="D1478" s="34">
        <v>90.2</v>
      </c>
      <c r="E1478" s="23">
        <v>97</v>
      </c>
      <c r="F1478" s="23">
        <v>33.86</v>
      </c>
      <c r="G1478" s="23">
        <v>505.8</v>
      </c>
      <c r="H1478" s="40">
        <v>2.2799999999999998</v>
      </c>
      <c r="I1478" s="13">
        <f t="shared" si="23"/>
        <v>2.8647371529828707</v>
      </c>
      <c r="J1478" s="20"/>
    </row>
    <row r="1479" spans="2:10">
      <c r="C1479" s="40">
        <v>1.657</v>
      </c>
      <c r="D1479" s="34">
        <v>132.9</v>
      </c>
      <c r="E1479" s="23">
        <v>97.31</v>
      </c>
      <c r="F1479" s="23">
        <v>34.020000000000003</v>
      </c>
      <c r="G1479" s="23">
        <v>508.8</v>
      </c>
      <c r="H1479" s="40">
        <v>2.2599999999999998</v>
      </c>
      <c r="I1479" s="13">
        <f t="shared" si="23"/>
        <v>2.8603762492651379</v>
      </c>
      <c r="J1479" s="20"/>
    </row>
    <row r="1480" spans="2:10">
      <c r="C1480" s="40">
        <v>1.645</v>
      </c>
      <c r="D1480" s="34">
        <v>96</v>
      </c>
      <c r="E1480" s="23">
        <v>97.42</v>
      </c>
      <c r="F1480" s="23">
        <v>33.799999999999997</v>
      </c>
      <c r="G1480" s="23">
        <v>506.9</v>
      </c>
      <c r="H1480" s="40">
        <v>2.63</v>
      </c>
      <c r="I1480" s="13">
        <f t="shared" si="23"/>
        <v>2.8822485207100597</v>
      </c>
      <c r="J1480" s="20"/>
    </row>
    <row r="1481" spans="2:10">
      <c r="C1481" s="40">
        <v>1.67</v>
      </c>
      <c r="D1481" s="34">
        <v>91</v>
      </c>
      <c r="E1481" s="23">
        <v>97.65</v>
      </c>
      <c r="F1481" s="23">
        <v>33.520000000000003</v>
      </c>
      <c r="G1481" s="23">
        <v>502.6</v>
      </c>
      <c r="H1481" s="40">
        <v>2.78</v>
      </c>
      <c r="I1481" s="13">
        <f t="shared" si="23"/>
        <v>2.9131861575178997</v>
      </c>
      <c r="J1481" s="20"/>
    </row>
    <row r="1482" spans="2:10">
      <c r="B1482" s="47">
        <v>75</v>
      </c>
      <c r="C1482" s="39">
        <v>2.984</v>
      </c>
      <c r="D1482" s="37">
        <v>112.4</v>
      </c>
      <c r="E1482" s="38">
        <v>76.260000000000005</v>
      </c>
      <c r="F1482" s="38">
        <v>26.32</v>
      </c>
      <c r="G1482" s="38">
        <v>501</v>
      </c>
      <c r="H1482" s="39">
        <v>3.0760000000000001</v>
      </c>
      <c r="I1482" s="13">
        <f t="shared" si="23"/>
        <v>2.8974164133738602</v>
      </c>
      <c r="J1482" s="20"/>
    </row>
    <row r="1483" spans="2:10">
      <c r="C1483" s="40">
        <v>3.089</v>
      </c>
      <c r="D1483" s="34">
        <v>130.4</v>
      </c>
      <c r="E1483" s="23">
        <v>76.31</v>
      </c>
      <c r="F1483" s="23">
        <v>26.48</v>
      </c>
      <c r="G1483" s="23">
        <v>504.4</v>
      </c>
      <c r="H1483" s="40">
        <v>3.3660000000000001</v>
      </c>
      <c r="I1483" s="13">
        <f t="shared" si="23"/>
        <v>2.8817975830815712</v>
      </c>
      <c r="J1483" s="20"/>
    </row>
    <row r="1484" spans="2:10">
      <c r="C1484" s="40">
        <v>3.0459999999999998</v>
      </c>
      <c r="D1484" s="34">
        <v>109.8</v>
      </c>
      <c r="E1484" s="23">
        <v>76.66</v>
      </c>
      <c r="F1484" s="23">
        <v>26.64</v>
      </c>
      <c r="G1484" s="23">
        <v>499.2</v>
      </c>
      <c r="H1484" s="40">
        <v>2.544</v>
      </c>
      <c r="I1484" s="13">
        <f t="shared" si="23"/>
        <v>2.8776276276276276</v>
      </c>
      <c r="J1484" s="20"/>
    </row>
    <row r="1485" spans="2:10">
      <c r="C1485" s="40">
        <v>2.9809999999999999</v>
      </c>
      <c r="D1485" s="34">
        <v>134.30000000000001</v>
      </c>
      <c r="E1485" s="23">
        <v>76.709999999999994</v>
      </c>
      <c r="F1485" s="23">
        <v>26.94</v>
      </c>
      <c r="G1485" s="23">
        <v>499.8</v>
      </c>
      <c r="H1485" s="40">
        <v>2.992</v>
      </c>
      <c r="I1485" s="13">
        <f t="shared" si="23"/>
        <v>2.847438752783964</v>
      </c>
      <c r="J1485" s="20"/>
    </row>
    <row r="1486" spans="2:10">
      <c r="C1486" s="40">
        <v>3.081</v>
      </c>
      <c r="D1486" s="34">
        <v>101.1</v>
      </c>
      <c r="E1486" s="23">
        <v>76.569999999999993</v>
      </c>
      <c r="F1486" s="23">
        <v>26.43</v>
      </c>
      <c r="G1486" s="23">
        <v>500.2</v>
      </c>
      <c r="H1486" s="40">
        <v>3.3330000000000002</v>
      </c>
      <c r="I1486" s="13">
        <f t="shared" si="23"/>
        <v>2.8970866439651908</v>
      </c>
      <c r="J1486" s="20"/>
    </row>
    <row r="1487" spans="2:10">
      <c r="C1487" s="40">
        <v>2.9980000000000002</v>
      </c>
      <c r="D1487" s="34">
        <v>98</v>
      </c>
      <c r="E1487" s="23">
        <v>76.459999999999994</v>
      </c>
      <c r="F1487" s="23">
        <v>26.24</v>
      </c>
      <c r="G1487" s="23">
        <v>500.4</v>
      </c>
      <c r="H1487" s="40">
        <v>2.5539999999999998</v>
      </c>
      <c r="I1487" s="13">
        <f t="shared" si="23"/>
        <v>2.9138719512195119</v>
      </c>
      <c r="J1487" s="20"/>
    </row>
    <row r="1488" spans="2:10">
      <c r="C1488" s="40">
        <v>2.871</v>
      </c>
      <c r="D1488" s="34">
        <v>91.2</v>
      </c>
      <c r="E1488" s="23">
        <v>77.069999999999993</v>
      </c>
      <c r="F1488" s="23">
        <v>26.15</v>
      </c>
      <c r="G1488" s="23">
        <v>506.8</v>
      </c>
      <c r="H1488" s="40">
        <v>3.125</v>
      </c>
      <c r="I1488" s="13">
        <f t="shared" si="23"/>
        <v>2.9472275334608029</v>
      </c>
      <c r="J1488" s="20"/>
    </row>
    <row r="1489" spans="2:10">
      <c r="C1489" s="40">
        <v>3.1440000000000001</v>
      </c>
      <c r="D1489" s="34">
        <v>98.8</v>
      </c>
      <c r="E1489" s="23">
        <v>76.569999999999993</v>
      </c>
      <c r="F1489" s="23">
        <v>26.34</v>
      </c>
      <c r="G1489" s="23">
        <v>504.5</v>
      </c>
      <c r="H1489" s="40">
        <v>2.9929999999999999</v>
      </c>
      <c r="I1489" s="13">
        <f t="shared" si="23"/>
        <v>2.9069855732725891</v>
      </c>
      <c r="J1489" s="20"/>
    </row>
    <row r="1490" spans="2:10">
      <c r="C1490" s="40">
        <v>2.9980000000000002</v>
      </c>
      <c r="D1490" s="34">
        <v>90.6</v>
      </c>
      <c r="E1490" s="23">
        <v>76.400000000000006</v>
      </c>
      <c r="F1490" s="23">
        <v>26.72</v>
      </c>
      <c r="G1490" s="23">
        <v>504.8</v>
      </c>
      <c r="H1490" s="40">
        <v>3.1349999999999998</v>
      </c>
      <c r="I1490" s="13">
        <f t="shared" si="23"/>
        <v>2.8592814371257487</v>
      </c>
      <c r="J1490" s="20"/>
    </row>
    <row r="1491" spans="2:10">
      <c r="C1491" s="40">
        <v>2.8319999999999999</v>
      </c>
      <c r="D1491" s="34">
        <v>91.1</v>
      </c>
      <c r="E1491" s="23">
        <v>77.08</v>
      </c>
      <c r="F1491" s="23">
        <v>26.62</v>
      </c>
      <c r="G1491" s="23">
        <v>509.8</v>
      </c>
      <c r="H1491" s="40">
        <v>2.8079999999999998</v>
      </c>
      <c r="I1491" s="13">
        <f t="shared" si="23"/>
        <v>2.8955672426746806</v>
      </c>
      <c r="J1491" s="20"/>
    </row>
    <row r="1492" spans="2:10">
      <c r="C1492" s="40">
        <v>2.63</v>
      </c>
      <c r="D1492" s="34">
        <v>112.4</v>
      </c>
      <c r="E1492" s="23">
        <v>77.02</v>
      </c>
      <c r="F1492" s="23">
        <v>26.55</v>
      </c>
      <c r="G1492" s="23">
        <v>507.2</v>
      </c>
      <c r="H1492" s="40">
        <v>3.3490000000000002</v>
      </c>
      <c r="I1492" s="13">
        <f t="shared" si="23"/>
        <v>2.9009416195856872</v>
      </c>
      <c r="J1492" s="20"/>
    </row>
    <row r="1493" spans="2:10">
      <c r="C1493" s="40">
        <v>2.871</v>
      </c>
      <c r="D1493" s="34">
        <v>92.7</v>
      </c>
      <c r="E1493" s="23">
        <v>76.42</v>
      </c>
      <c r="F1493" s="23">
        <v>26.62</v>
      </c>
      <c r="G1493" s="23">
        <v>503.9</v>
      </c>
      <c r="H1493" s="40">
        <v>3.125</v>
      </c>
      <c r="I1493" s="13">
        <f t="shared" si="23"/>
        <v>2.8707738542449284</v>
      </c>
      <c r="J1493" s="20"/>
    </row>
    <row r="1494" spans="2:10">
      <c r="C1494" s="40">
        <v>2.7610000000000001</v>
      </c>
      <c r="D1494" s="34">
        <v>103.3</v>
      </c>
      <c r="E1494" s="23">
        <v>76.73</v>
      </c>
      <c r="F1494" s="23">
        <v>26.82</v>
      </c>
      <c r="G1494" s="23">
        <v>504.4</v>
      </c>
      <c r="H1494" s="40">
        <v>2.1520000000000001</v>
      </c>
      <c r="I1494" s="13">
        <f t="shared" si="23"/>
        <v>2.8609246830723341</v>
      </c>
      <c r="J1494" s="20"/>
    </row>
    <row r="1495" spans="2:10">
      <c r="C1495" s="40">
        <v>2.8809999999999998</v>
      </c>
      <c r="D1495" s="34">
        <v>100.8</v>
      </c>
      <c r="E1495" s="23">
        <v>76.23</v>
      </c>
      <c r="F1495" s="23">
        <v>26.27</v>
      </c>
      <c r="G1495" s="23">
        <v>501.9</v>
      </c>
      <c r="H1495" s="40">
        <v>2.4329999999999998</v>
      </c>
      <c r="I1495" s="13">
        <f t="shared" si="23"/>
        <v>2.901789113056719</v>
      </c>
      <c r="J1495" s="20"/>
    </row>
    <row r="1496" spans="2:10">
      <c r="C1496" s="40">
        <v>2.8980000000000001</v>
      </c>
      <c r="D1496" s="34">
        <v>111.4</v>
      </c>
      <c r="E1496" s="23">
        <v>76.72</v>
      </c>
      <c r="F1496" s="23">
        <v>26.67</v>
      </c>
      <c r="G1496" s="23">
        <v>499.2</v>
      </c>
      <c r="H1496" s="40">
        <v>2.016</v>
      </c>
      <c r="I1496" s="13">
        <f t="shared" si="23"/>
        <v>2.8766404199475062</v>
      </c>
      <c r="J1496" s="20"/>
    </row>
    <row r="1497" spans="2:10">
      <c r="C1497" s="40">
        <v>3.069</v>
      </c>
      <c r="D1497" s="34">
        <v>86.7</v>
      </c>
      <c r="E1497" s="23">
        <v>76.64</v>
      </c>
      <c r="F1497" s="23">
        <v>26.78</v>
      </c>
      <c r="G1497" s="23">
        <v>499.1</v>
      </c>
      <c r="H1497" s="40">
        <v>2.2280000000000002</v>
      </c>
      <c r="I1497" s="13">
        <f t="shared" si="23"/>
        <v>2.8618371919342791</v>
      </c>
      <c r="J1497" s="20"/>
    </row>
    <row r="1498" spans="2:10">
      <c r="C1498" s="40">
        <v>2.8319999999999999</v>
      </c>
      <c r="D1498" s="34">
        <v>99.3</v>
      </c>
      <c r="E1498" s="23">
        <v>76.73</v>
      </c>
      <c r="F1498" s="23">
        <v>26.24</v>
      </c>
      <c r="G1498" s="23">
        <v>499.9</v>
      </c>
      <c r="H1498" s="40">
        <v>3.177</v>
      </c>
      <c r="I1498" s="13">
        <f t="shared" si="23"/>
        <v>2.9241615853658538</v>
      </c>
      <c r="J1498" s="20"/>
    </row>
    <row r="1499" spans="2:10">
      <c r="C1499" s="40">
        <v>2.7480000000000002</v>
      </c>
      <c r="D1499" s="34">
        <v>101.1</v>
      </c>
      <c r="E1499" s="23">
        <v>76.73</v>
      </c>
      <c r="F1499" s="23">
        <v>26.15</v>
      </c>
      <c r="G1499" s="23">
        <v>501.2</v>
      </c>
      <c r="H1499" s="40">
        <v>2.919</v>
      </c>
      <c r="I1499" s="13">
        <f t="shared" si="23"/>
        <v>2.9342256214149143</v>
      </c>
      <c r="J1499" s="20"/>
    </row>
    <row r="1500" spans="2:10">
      <c r="C1500" s="40">
        <v>2.9529999999999998</v>
      </c>
      <c r="D1500" s="34">
        <v>78.099999999999994</v>
      </c>
      <c r="E1500" s="23">
        <v>76.94</v>
      </c>
      <c r="F1500" s="23">
        <v>26.63</v>
      </c>
      <c r="G1500" s="23">
        <v>501.5</v>
      </c>
      <c r="H1500" s="40">
        <v>2.585</v>
      </c>
      <c r="I1500" s="13">
        <f t="shared" si="23"/>
        <v>2.8892226811866317</v>
      </c>
      <c r="J1500" s="20"/>
    </row>
    <row r="1501" spans="2:10">
      <c r="C1501" s="40">
        <v>3.069</v>
      </c>
      <c r="D1501" s="34">
        <v>99.1</v>
      </c>
      <c r="E1501" s="23">
        <v>76.260000000000005</v>
      </c>
      <c r="F1501" s="23">
        <v>26.31</v>
      </c>
      <c r="G1501" s="23">
        <v>503.7</v>
      </c>
      <c r="H1501" s="40">
        <v>3.1669999999999998</v>
      </c>
      <c r="I1501" s="13">
        <f t="shared" si="23"/>
        <v>2.8985176738882559</v>
      </c>
      <c r="J1501" s="20"/>
    </row>
    <row r="1502" spans="2:10">
      <c r="B1502" s="47">
        <v>76</v>
      </c>
      <c r="C1502" s="39">
        <v>2.544</v>
      </c>
      <c r="D1502" s="37">
        <v>124</v>
      </c>
      <c r="E1502" s="38">
        <v>94.16</v>
      </c>
      <c r="F1502" s="38">
        <v>41.77</v>
      </c>
      <c r="G1502" s="38">
        <v>565.70000000000005</v>
      </c>
      <c r="H1502" s="39">
        <v>3.0409999999999999</v>
      </c>
      <c r="I1502" s="13">
        <f t="shared" si="23"/>
        <v>2.2542494613358866</v>
      </c>
      <c r="J1502" s="20"/>
    </row>
    <row r="1503" spans="2:10">
      <c r="C1503" s="40">
        <v>2.5150000000000001</v>
      </c>
      <c r="D1503" s="34">
        <v>112.5</v>
      </c>
      <c r="E1503" s="23">
        <v>94.23</v>
      </c>
      <c r="F1503" s="23">
        <v>41.4</v>
      </c>
      <c r="G1503" s="23">
        <v>572.5</v>
      </c>
      <c r="H1503" s="40">
        <v>2.99</v>
      </c>
      <c r="I1503" s="13">
        <f t="shared" si="23"/>
        <v>2.2760869565217394</v>
      </c>
      <c r="J1503" s="20"/>
    </row>
    <row r="1504" spans="2:10">
      <c r="C1504" s="40">
        <v>2.5859999999999999</v>
      </c>
      <c r="D1504" s="34">
        <v>127.2</v>
      </c>
      <c r="E1504" s="23">
        <v>94.54</v>
      </c>
      <c r="F1504" s="23">
        <v>41.22</v>
      </c>
      <c r="G1504" s="23">
        <v>571</v>
      </c>
      <c r="H1504" s="40">
        <v>2.9689999999999999</v>
      </c>
      <c r="I1504" s="13">
        <f t="shared" si="23"/>
        <v>2.2935468219311015</v>
      </c>
      <c r="J1504" s="20"/>
    </row>
    <row r="1505" spans="3:10">
      <c r="C1505" s="40">
        <v>2.6379999999999999</v>
      </c>
      <c r="D1505" s="34">
        <v>97.1</v>
      </c>
      <c r="E1505" s="23">
        <v>94.78</v>
      </c>
      <c r="F1505" s="23">
        <v>41.24</v>
      </c>
      <c r="G1505" s="23">
        <v>575.4</v>
      </c>
      <c r="H1505" s="40">
        <v>3.03</v>
      </c>
      <c r="I1505" s="13">
        <f t="shared" si="23"/>
        <v>2.298254122211445</v>
      </c>
      <c r="J1505" s="20"/>
    </row>
    <row r="1506" spans="3:10">
      <c r="C1506" s="40">
        <v>2.3530000000000002</v>
      </c>
      <c r="D1506" s="34">
        <v>127.2</v>
      </c>
      <c r="E1506" s="23">
        <v>94.9</v>
      </c>
      <c r="F1506" s="23">
        <v>41.09</v>
      </c>
      <c r="G1506" s="23">
        <v>574.9</v>
      </c>
      <c r="H1506" s="40">
        <v>3.1509999999999998</v>
      </c>
      <c r="I1506" s="13">
        <f t="shared" si="23"/>
        <v>2.3095643708931615</v>
      </c>
      <c r="J1506" s="20"/>
    </row>
    <row r="1507" spans="3:10">
      <c r="C1507" s="40">
        <v>2.206</v>
      </c>
      <c r="D1507" s="34">
        <v>113.3</v>
      </c>
      <c r="E1507" s="23">
        <v>94.76</v>
      </c>
      <c r="F1507" s="23">
        <v>41.28</v>
      </c>
      <c r="G1507" s="23">
        <v>565.29999999999995</v>
      </c>
      <c r="H1507" s="40">
        <v>3.9430000000000001</v>
      </c>
      <c r="I1507" s="13">
        <f t="shared" si="23"/>
        <v>2.2955426356589146</v>
      </c>
      <c r="J1507" s="20"/>
    </row>
    <row r="1508" spans="3:10">
      <c r="C1508" s="40">
        <v>2.383</v>
      </c>
      <c r="D1508" s="34">
        <v>84.8</v>
      </c>
      <c r="E1508" s="23">
        <v>94.84</v>
      </c>
      <c r="F1508" s="23">
        <v>41.44</v>
      </c>
      <c r="G1508" s="23">
        <v>578.20000000000005</v>
      </c>
      <c r="H1508" s="40">
        <v>3.7160000000000002</v>
      </c>
      <c r="I1508" s="13">
        <f t="shared" si="23"/>
        <v>2.288610038610039</v>
      </c>
      <c r="J1508" s="20"/>
    </row>
    <row r="1509" spans="3:10">
      <c r="C1509" s="40">
        <v>2.4049999999999998</v>
      </c>
      <c r="D1509" s="34">
        <v>71.400000000000006</v>
      </c>
      <c r="E1509" s="23">
        <v>94.9</v>
      </c>
      <c r="F1509" s="23">
        <v>41.43</v>
      </c>
      <c r="G1509" s="23">
        <v>573.1</v>
      </c>
      <c r="H1509" s="40">
        <v>4.3330000000000002</v>
      </c>
      <c r="I1509" s="13">
        <f t="shared" si="23"/>
        <v>2.2906106685976346</v>
      </c>
      <c r="J1509" s="20"/>
    </row>
    <row r="1510" spans="3:10">
      <c r="C1510" s="40">
        <v>2.2690000000000001</v>
      </c>
      <c r="D1510" s="34">
        <v>70</v>
      </c>
      <c r="E1510" s="23">
        <v>94.06</v>
      </c>
      <c r="F1510" s="23">
        <v>41.4</v>
      </c>
      <c r="G1510" s="23">
        <v>577.20000000000005</v>
      </c>
      <c r="H1510" s="40">
        <v>4.5709999999999997</v>
      </c>
      <c r="I1510" s="13">
        <f t="shared" si="23"/>
        <v>2.2719806763285026</v>
      </c>
      <c r="J1510" s="20"/>
    </row>
    <row r="1511" spans="3:10">
      <c r="C1511" s="40">
        <v>2.1440000000000001</v>
      </c>
      <c r="D1511" s="34">
        <v>97.1</v>
      </c>
      <c r="E1511" s="23">
        <v>94.03</v>
      </c>
      <c r="F1511" s="23">
        <v>41.21</v>
      </c>
      <c r="G1511" s="23">
        <v>582.9</v>
      </c>
      <c r="H1511" s="40">
        <v>4.1360000000000001</v>
      </c>
      <c r="I1511" s="13">
        <f t="shared" si="23"/>
        <v>2.281727735986411</v>
      </c>
      <c r="J1511" s="20"/>
    </row>
    <row r="1512" spans="3:10">
      <c r="C1512" s="40">
        <v>2.4020000000000001</v>
      </c>
      <c r="D1512" s="34">
        <v>87.9</v>
      </c>
      <c r="E1512" s="23">
        <v>94.33</v>
      </c>
      <c r="F1512" s="23">
        <v>40.99</v>
      </c>
      <c r="G1512" s="23">
        <v>584.5</v>
      </c>
      <c r="H1512" s="40">
        <v>4.3940000000000001</v>
      </c>
      <c r="I1512" s="13">
        <f t="shared" si="23"/>
        <v>2.3012929982922663</v>
      </c>
      <c r="J1512" s="20"/>
    </row>
    <row r="1513" spans="3:10">
      <c r="C1513" s="40">
        <v>2.4169999999999998</v>
      </c>
      <c r="D1513" s="34">
        <v>110.9</v>
      </c>
      <c r="E1513" s="23">
        <v>94.39</v>
      </c>
      <c r="F1513" s="23">
        <v>40.799999999999997</v>
      </c>
      <c r="G1513" s="23">
        <v>580</v>
      </c>
      <c r="H1513" s="40">
        <v>3.984</v>
      </c>
      <c r="I1513" s="13">
        <f t="shared" si="23"/>
        <v>2.3134803921568627</v>
      </c>
      <c r="J1513" s="20"/>
    </row>
    <row r="1514" spans="3:10">
      <c r="C1514" s="40">
        <v>2.2690000000000001</v>
      </c>
      <c r="D1514" s="34">
        <v>97</v>
      </c>
      <c r="E1514" s="23">
        <v>94.63</v>
      </c>
      <c r="F1514" s="23">
        <v>40.76</v>
      </c>
      <c r="G1514" s="23">
        <v>582.4</v>
      </c>
      <c r="H1514" s="40">
        <v>4.3310000000000004</v>
      </c>
      <c r="I1514" s="13">
        <f t="shared" si="23"/>
        <v>2.3216388616290482</v>
      </c>
      <c r="J1514" s="20"/>
    </row>
    <row r="1515" spans="3:10">
      <c r="C1515" s="40">
        <v>2.4049999999999998</v>
      </c>
      <c r="D1515" s="34">
        <v>121.6</v>
      </c>
      <c r="E1515" s="23">
        <v>94.58</v>
      </c>
      <c r="F1515" s="23">
        <v>41.34</v>
      </c>
      <c r="G1515" s="23">
        <v>584.5</v>
      </c>
      <c r="H1515" s="40">
        <v>3.9340000000000002</v>
      </c>
      <c r="I1515" s="13">
        <f t="shared" si="23"/>
        <v>2.2878567972907593</v>
      </c>
      <c r="J1515" s="20"/>
    </row>
    <row r="1516" spans="3:10">
      <c r="C1516" s="40">
        <v>2.383</v>
      </c>
      <c r="D1516" s="34">
        <v>144</v>
      </c>
      <c r="E1516" s="23">
        <v>93.97</v>
      </c>
      <c r="F1516" s="23">
        <v>40.96</v>
      </c>
      <c r="G1516" s="23">
        <v>580.70000000000005</v>
      </c>
      <c r="H1516" s="40">
        <v>2.952</v>
      </c>
      <c r="I1516" s="13">
        <f t="shared" si="23"/>
        <v>2.294189453125</v>
      </c>
      <c r="J1516" s="20"/>
    </row>
    <row r="1517" spans="3:10">
      <c r="C1517" s="40">
        <v>2.5289999999999999</v>
      </c>
      <c r="D1517" s="34">
        <v>117.8</v>
      </c>
      <c r="E1517" s="23">
        <v>93.92</v>
      </c>
      <c r="F1517" s="23">
        <v>40.770000000000003</v>
      </c>
      <c r="G1517" s="23">
        <v>574.4</v>
      </c>
      <c r="H1517" s="40">
        <v>3.0409999999999999</v>
      </c>
      <c r="I1517" s="13">
        <f t="shared" si="23"/>
        <v>2.3036546480255087</v>
      </c>
      <c r="J1517" s="20"/>
    </row>
    <row r="1518" spans="3:10">
      <c r="C1518" s="40">
        <v>2.492</v>
      </c>
      <c r="D1518" s="34">
        <v>114.5</v>
      </c>
      <c r="E1518" s="23">
        <v>94.9</v>
      </c>
      <c r="F1518" s="23">
        <v>40.76</v>
      </c>
      <c r="G1518" s="23">
        <v>573</v>
      </c>
      <c r="H1518" s="40">
        <v>2.98</v>
      </c>
      <c r="I1518" s="13">
        <f t="shared" si="23"/>
        <v>2.328263002944063</v>
      </c>
      <c r="J1518" s="20"/>
    </row>
    <row r="1519" spans="3:10">
      <c r="C1519" s="40">
        <v>2.0880000000000001</v>
      </c>
      <c r="D1519" s="34">
        <v>115.9</v>
      </c>
      <c r="E1519" s="23">
        <v>94.66</v>
      </c>
      <c r="F1519" s="23">
        <v>41.3</v>
      </c>
      <c r="G1519" s="23">
        <v>569.4</v>
      </c>
      <c r="H1519" s="40">
        <v>3.1190000000000002</v>
      </c>
      <c r="I1519" s="13">
        <f t="shared" si="23"/>
        <v>2.2920096852300245</v>
      </c>
      <c r="J1519" s="20"/>
    </row>
    <row r="1520" spans="3:10">
      <c r="C1520" s="40">
        <v>2.6360000000000001</v>
      </c>
      <c r="D1520" s="34">
        <v>111</v>
      </c>
      <c r="E1520" s="23">
        <v>94.71</v>
      </c>
      <c r="F1520" s="23">
        <v>41.33</v>
      </c>
      <c r="G1520" s="23">
        <v>572.4</v>
      </c>
      <c r="H1520" s="40">
        <v>3.4180000000000001</v>
      </c>
      <c r="I1520" s="13">
        <f t="shared" si="23"/>
        <v>2.2915557706266636</v>
      </c>
      <c r="J1520" s="20"/>
    </row>
    <row r="1521" spans="2:10">
      <c r="C1521" s="40">
        <v>2.4180000000000001</v>
      </c>
      <c r="D1521" s="34">
        <v>112.5</v>
      </c>
      <c r="E1521" s="23">
        <v>94.77</v>
      </c>
      <c r="F1521" s="23">
        <v>41.74</v>
      </c>
      <c r="G1521" s="23">
        <v>575</v>
      </c>
      <c r="H1521" s="40">
        <v>3.5169999999999999</v>
      </c>
      <c r="I1521" s="13">
        <f t="shared" si="23"/>
        <v>2.2704839482510777</v>
      </c>
      <c r="J1521" s="20"/>
    </row>
    <row r="1522" spans="2:10">
      <c r="B1522" s="47">
        <v>77</v>
      </c>
      <c r="C1522" s="39">
        <v>2.302</v>
      </c>
      <c r="D1522" s="37">
        <v>137</v>
      </c>
      <c r="E1522" s="38">
        <v>98.91</v>
      </c>
      <c r="F1522" s="38">
        <v>26.41</v>
      </c>
      <c r="G1522" s="38">
        <v>526.9</v>
      </c>
      <c r="H1522" s="39">
        <v>5.9660000000000002</v>
      </c>
      <c r="I1522" s="13">
        <f t="shared" si="23"/>
        <v>3.7451722832260508</v>
      </c>
      <c r="J1522" s="20"/>
    </row>
    <row r="1523" spans="2:10">
      <c r="C1523" s="40">
        <v>2.2450000000000001</v>
      </c>
      <c r="D1523" s="34">
        <v>168</v>
      </c>
      <c r="E1523" s="23">
        <v>98.69</v>
      </c>
      <c r="F1523" s="23">
        <v>26.52</v>
      </c>
      <c r="G1523" s="23">
        <v>527.70000000000005</v>
      </c>
      <c r="H1523" s="40">
        <v>5.9470000000000001</v>
      </c>
      <c r="I1523" s="13">
        <f t="shared" si="23"/>
        <v>3.7213423831070891</v>
      </c>
      <c r="J1523" s="20"/>
    </row>
    <row r="1524" spans="2:10">
      <c r="C1524" s="40">
        <v>2.2599999999999998</v>
      </c>
      <c r="D1524" s="34">
        <v>140</v>
      </c>
      <c r="E1524" s="23">
        <v>98.62</v>
      </c>
      <c r="F1524" s="23">
        <v>26.23</v>
      </c>
      <c r="G1524" s="23">
        <v>527.6</v>
      </c>
      <c r="H1524" s="40">
        <v>5.4850000000000003</v>
      </c>
      <c r="I1524" s="13">
        <f t="shared" si="23"/>
        <v>3.759817003431186</v>
      </c>
      <c r="J1524" s="20"/>
    </row>
    <row r="1525" spans="2:10">
      <c r="C1525" s="40">
        <v>2.2959999999999998</v>
      </c>
      <c r="D1525" s="34">
        <v>123.3</v>
      </c>
      <c r="E1525" s="23">
        <v>98.42</v>
      </c>
      <c r="F1525" s="23">
        <v>26</v>
      </c>
      <c r="G1525" s="23">
        <v>526.5</v>
      </c>
      <c r="H1525" s="40">
        <v>5.8959999999999999</v>
      </c>
      <c r="I1525" s="13">
        <f t="shared" si="23"/>
        <v>3.7853846153846153</v>
      </c>
      <c r="J1525" s="20"/>
    </row>
    <row r="1526" spans="2:10">
      <c r="C1526" s="40">
        <v>2.2709999999999999</v>
      </c>
      <c r="D1526" s="34">
        <v>169</v>
      </c>
      <c r="E1526" s="23">
        <v>98.1</v>
      </c>
      <c r="F1526" s="23">
        <v>26.96</v>
      </c>
      <c r="G1526" s="23">
        <v>520.6</v>
      </c>
      <c r="H1526" s="40">
        <v>5.4980000000000002</v>
      </c>
      <c r="I1526" s="13">
        <f t="shared" si="23"/>
        <v>3.6387240356083081</v>
      </c>
      <c r="J1526" s="20"/>
    </row>
    <row r="1527" spans="2:10">
      <c r="C1527" s="40">
        <v>2.2970000000000002</v>
      </c>
      <c r="D1527" s="34">
        <v>143.69999999999999</v>
      </c>
      <c r="E1527" s="23">
        <v>98.52</v>
      </c>
      <c r="F1527" s="23">
        <v>26.23</v>
      </c>
      <c r="G1527" s="23">
        <v>526.4</v>
      </c>
      <c r="H1527" s="40">
        <v>5.9640000000000004</v>
      </c>
      <c r="I1527" s="13">
        <f t="shared" si="23"/>
        <v>3.7560045749142201</v>
      </c>
      <c r="J1527" s="20"/>
    </row>
    <row r="1528" spans="2:10">
      <c r="C1528" s="40">
        <v>2.2959999999999998</v>
      </c>
      <c r="D1528" s="34">
        <v>139.6</v>
      </c>
      <c r="E1528" s="23">
        <v>99.05</v>
      </c>
      <c r="F1528" s="23">
        <v>26.31</v>
      </c>
      <c r="G1528" s="23">
        <v>534.6</v>
      </c>
      <c r="H1528" s="40">
        <v>5.8949999999999996</v>
      </c>
      <c r="I1528" s="13">
        <f t="shared" si="23"/>
        <v>3.7647282402128468</v>
      </c>
      <c r="J1528" s="20"/>
    </row>
    <row r="1529" spans="2:10">
      <c r="C1529" s="40">
        <v>2.3140000000000001</v>
      </c>
      <c r="D1529" s="34">
        <v>155.80000000000001</v>
      </c>
      <c r="E1529" s="23">
        <v>98.18</v>
      </c>
      <c r="F1529" s="23">
        <v>26.77</v>
      </c>
      <c r="G1529" s="23">
        <v>536.29999999999995</v>
      </c>
      <c r="H1529" s="40">
        <v>5.5730000000000004</v>
      </c>
      <c r="I1529" s="13">
        <f t="shared" si="23"/>
        <v>3.6675382891296229</v>
      </c>
      <c r="J1529" s="20"/>
    </row>
    <row r="1530" spans="2:10">
      <c r="C1530" s="40">
        <v>2.319</v>
      </c>
      <c r="D1530" s="34">
        <v>143.19999999999999</v>
      </c>
      <c r="E1530" s="23">
        <v>98.73</v>
      </c>
      <c r="F1530" s="23">
        <v>26.81</v>
      </c>
      <c r="G1530" s="23">
        <v>533.70000000000005</v>
      </c>
      <c r="H1530" s="40">
        <v>5.9470000000000001</v>
      </c>
      <c r="I1530" s="13">
        <f t="shared" si="23"/>
        <v>3.6825811264453567</v>
      </c>
      <c r="J1530" s="20"/>
    </row>
    <row r="1531" spans="2:10">
      <c r="C1531" s="40">
        <v>2.327</v>
      </c>
      <c r="D1531" s="34">
        <v>123</v>
      </c>
      <c r="E1531" s="23">
        <v>98.64</v>
      </c>
      <c r="F1531" s="23">
        <v>27.04</v>
      </c>
      <c r="G1531" s="23">
        <v>526.1</v>
      </c>
      <c r="H1531" s="40">
        <v>5.9660000000000002</v>
      </c>
      <c r="I1531" s="13">
        <f t="shared" si="23"/>
        <v>3.6479289940828403</v>
      </c>
      <c r="J1531" s="20"/>
    </row>
    <row r="1532" spans="2:10">
      <c r="C1532" s="40">
        <v>2.3410000000000002</v>
      </c>
      <c r="D1532" s="34">
        <v>103.7</v>
      </c>
      <c r="E1532" s="23">
        <v>98.98</v>
      </c>
      <c r="F1532" s="23">
        <v>26.86</v>
      </c>
      <c r="G1532" s="23">
        <v>520.5</v>
      </c>
      <c r="H1532" s="40">
        <v>6.0919999999999996</v>
      </c>
      <c r="I1532" s="13">
        <f t="shared" si="23"/>
        <v>3.6850335070737157</v>
      </c>
      <c r="J1532" s="20"/>
    </row>
    <row r="1533" spans="2:10">
      <c r="C1533" s="40">
        <v>2.3490000000000002</v>
      </c>
      <c r="D1533" s="34">
        <v>125.9</v>
      </c>
      <c r="E1533" s="23">
        <v>98.68</v>
      </c>
      <c r="F1533" s="23">
        <v>26.36</v>
      </c>
      <c r="G1533" s="23">
        <v>530.1</v>
      </c>
      <c r="H1533" s="40">
        <v>6.0289999999999999</v>
      </c>
      <c r="I1533" s="13">
        <f t="shared" si="23"/>
        <v>3.7435508345978761</v>
      </c>
      <c r="J1533" s="20"/>
    </row>
    <row r="1534" spans="2:10">
      <c r="C1534" s="40">
        <v>2.3780000000000001</v>
      </c>
      <c r="D1534" s="34">
        <v>140</v>
      </c>
      <c r="E1534" s="23">
        <v>98.63</v>
      </c>
      <c r="F1534" s="23">
        <v>26.04</v>
      </c>
      <c r="G1534" s="23">
        <v>534.4</v>
      </c>
      <c r="H1534" s="40">
        <v>6.4569999999999999</v>
      </c>
      <c r="I1534" s="13">
        <f t="shared" si="23"/>
        <v>3.7876344086021505</v>
      </c>
      <c r="J1534" s="20"/>
    </row>
    <row r="1535" spans="2:10">
      <c r="C1535" s="40">
        <v>2.38</v>
      </c>
      <c r="D1535" s="34">
        <v>143.69999999999999</v>
      </c>
      <c r="E1535" s="23">
        <v>98.58</v>
      </c>
      <c r="F1535" s="23">
        <v>26.41</v>
      </c>
      <c r="G1535" s="23">
        <v>535.9</v>
      </c>
      <c r="H1535" s="40">
        <v>6.2670000000000003</v>
      </c>
      <c r="I1535" s="13">
        <f t="shared" si="23"/>
        <v>3.7326770162817113</v>
      </c>
      <c r="J1535" s="20"/>
    </row>
    <row r="1536" spans="2:10">
      <c r="C1536" s="40">
        <v>2.359</v>
      </c>
      <c r="D1536" s="34">
        <v>187.6</v>
      </c>
      <c r="E1536" s="23">
        <v>98.77</v>
      </c>
      <c r="F1536" s="23">
        <v>26.78</v>
      </c>
      <c r="G1536" s="23">
        <v>536.9</v>
      </c>
      <c r="H1536" s="40">
        <v>6.4710000000000001</v>
      </c>
      <c r="I1536" s="13">
        <f t="shared" si="23"/>
        <v>3.6882001493651977</v>
      </c>
      <c r="J1536" s="20"/>
    </row>
    <row r="1537" spans="2:10">
      <c r="C1537" s="40">
        <v>2.3650000000000002</v>
      </c>
      <c r="D1537" s="34">
        <v>195.9</v>
      </c>
      <c r="E1537" s="23">
        <v>98.8</v>
      </c>
      <c r="F1537" s="23">
        <v>26.33</v>
      </c>
      <c r="G1537" s="23">
        <v>552.1</v>
      </c>
      <c r="H1537" s="40">
        <v>5.8689999999999998</v>
      </c>
      <c r="I1537" s="13">
        <f t="shared" si="23"/>
        <v>3.7523737181921764</v>
      </c>
      <c r="J1537" s="20"/>
    </row>
    <row r="1538" spans="2:10">
      <c r="C1538" s="40">
        <v>2.323</v>
      </c>
      <c r="D1538" s="34">
        <v>125.9</v>
      </c>
      <c r="E1538" s="23">
        <v>98.6</v>
      </c>
      <c r="F1538" s="23">
        <v>26.7</v>
      </c>
      <c r="G1538" s="23">
        <v>527.79999999999995</v>
      </c>
      <c r="H1538" s="40">
        <v>5.524</v>
      </c>
      <c r="I1538" s="13">
        <f t="shared" si="23"/>
        <v>3.6928838951310858</v>
      </c>
      <c r="J1538" s="20"/>
    </row>
    <row r="1539" spans="2:10">
      <c r="C1539" s="40">
        <v>2.286</v>
      </c>
      <c r="D1539" s="34">
        <v>143.1</v>
      </c>
      <c r="E1539" s="23">
        <v>98.4</v>
      </c>
      <c r="F1539" s="23">
        <v>26.89</v>
      </c>
      <c r="G1539" s="23">
        <v>531.70000000000005</v>
      </c>
      <c r="H1539" s="40">
        <v>6.0789999999999997</v>
      </c>
      <c r="I1539" s="13">
        <f t="shared" ref="I1539:I1602" si="24">E1539/F1539</f>
        <v>3.6593529193008556</v>
      </c>
      <c r="J1539" s="20"/>
    </row>
    <row r="1540" spans="2:10">
      <c r="C1540" s="40">
        <v>2.2639999999999998</v>
      </c>
      <c r="D1540" s="34">
        <v>155.9</v>
      </c>
      <c r="E1540" s="23">
        <v>98.47</v>
      </c>
      <c r="F1540" s="23">
        <v>26.88</v>
      </c>
      <c r="G1540" s="23">
        <v>533.70000000000005</v>
      </c>
      <c r="H1540" s="40">
        <v>5.9619999999999997</v>
      </c>
      <c r="I1540" s="13">
        <f t="shared" si="24"/>
        <v>3.6633184523809526</v>
      </c>
      <c r="J1540" s="20"/>
    </row>
    <row r="1541" spans="2:10">
      <c r="C1541" s="40">
        <v>2.2799999999999998</v>
      </c>
      <c r="D1541" s="34">
        <v>156.4</v>
      </c>
      <c r="E1541" s="23">
        <v>98.27</v>
      </c>
      <c r="F1541" s="23">
        <v>26.37</v>
      </c>
      <c r="G1541" s="23">
        <v>537.70000000000005</v>
      </c>
      <c r="H1541" s="40">
        <v>5.68</v>
      </c>
      <c r="I1541" s="13">
        <f t="shared" si="24"/>
        <v>3.7265832385286308</v>
      </c>
      <c r="J1541" s="20"/>
    </row>
    <row r="1542" spans="2:10">
      <c r="B1542" s="47">
        <v>78</v>
      </c>
      <c r="C1542" s="39">
        <v>2.1309999999999998</v>
      </c>
      <c r="D1542" s="37">
        <v>122.1</v>
      </c>
      <c r="E1542" s="38">
        <v>112.4</v>
      </c>
      <c r="F1542" s="38">
        <v>33.9</v>
      </c>
      <c r="G1542" s="38">
        <v>512.6</v>
      </c>
      <c r="H1542" s="39">
        <v>3.9289999999999998</v>
      </c>
      <c r="I1542" s="13">
        <f t="shared" si="24"/>
        <v>3.3156342182890857</v>
      </c>
      <c r="J1542" s="20"/>
    </row>
    <row r="1543" spans="2:10">
      <c r="C1543" s="40">
        <v>2.141</v>
      </c>
      <c r="D1543" s="34">
        <v>113.3</v>
      </c>
      <c r="E1543" s="23">
        <v>111.8</v>
      </c>
      <c r="F1543" s="23">
        <v>33.57</v>
      </c>
      <c r="G1543" s="23">
        <v>511.5</v>
      </c>
      <c r="H1543" s="40">
        <v>3.7370000000000001</v>
      </c>
      <c r="I1543" s="13">
        <f t="shared" si="24"/>
        <v>3.3303544831694967</v>
      </c>
      <c r="J1543" s="20"/>
    </row>
    <row r="1544" spans="2:10">
      <c r="C1544" s="40">
        <v>2.11</v>
      </c>
      <c r="D1544" s="34">
        <v>129.30000000000001</v>
      </c>
      <c r="E1544" s="23">
        <v>112.6</v>
      </c>
      <c r="F1544" s="23">
        <v>33.83</v>
      </c>
      <c r="G1544" s="23">
        <v>510.9</v>
      </c>
      <c r="H1544" s="40">
        <v>3.802</v>
      </c>
      <c r="I1544" s="13">
        <f t="shared" si="24"/>
        <v>3.3284067395802541</v>
      </c>
      <c r="J1544" s="20"/>
    </row>
    <row r="1545" spans="2:10">
      <c r="C1545" s="40">
        <v>2.0920000000000001</v>
      </c>
      <c r="D1545" s="34">
        <v>141.30000000000001</v>
      </c>
      <c r="E1545" s="23">
        <v>112.4</v>
      </c>
      <c r="F1545" s="23">
        <v>33.72</v>
      </c>
      <c r="G1545" s="23">
        <v>511.6</v>
      </c>
      <c r="H1545" s="40">
        <v>4.0359999999999996</v>
      </c>
      <c r="I1545" s="13">
        <f t="shared" si="24"/>
        <v>3.3333333333333335</v>
      </c>
      <c r="J1545" s="20"/>
    </row>
    <row r="1546" spans="2:10">
      <c r="C1546" s="40">
        <v>2.0939999999999999</v>
      </c>
      <c r="D1546" s="34">
        <v>146.4</v>
      </c>
      <c r="E1546" s="23">
        <v>112.2</v>
      </c>
      <c r="F1546" s="23">
        <v>33.25</v>
      </c>
      <c r="G1546" s="23">
        <v>511.7</v>
      </c>
      <c r="H1546" s="40">
        <v>4.0519999999999996</v>
      </c>
      <c r="I1546" s="13">
        <f t="shared" si="24"/>
        <v>3.3744360902255641</v>
      </c>
      <c r="J1546" s="20"/>
    </row>
    <row r="1547" spans="2:10">
      <c r="C1547" s="40">
        <v>2.0760000000000001</v>
      </c>
      <c r="D1547" s="34">
        <v>146.9</v>
      </c>
      <c r="E1547" s="23">
        <v>111.7</v>
      </c>
      <c r="F1547" s="23">
        <v>33.42</v>
      </c>
      <c r="G1547" s="23">
        <v>512.5</v>
      </c>
      <c r="H1547" s="40">
        <v>3.9849999999999999</v>
      </c>
      <c r="I1547" s="13">
        <f t="shared" si="24"/>
        <v>3.3423099940155594</v>
      </c>
      <c r="J1547" s="20"/>
    </row>
    <row r="1548" spans="2:10">
      <c r="C1548" s="40">
        <v>2.0579999999999998</v>
      </c>
      <c r="D1548" s="34">
        <v>132.5</v>
      </c>
      <c r="E1548" s="23">
        <v>111.9</v>
      </c>
      <c r="F1548" s="23">
        <v>33.04</v>
      </c>
      <c r="G1548" s="23">
        <v>512</v>
      </c>
      <c r="H1548" s="40">
        <v>3.8919999999999999</v>
      </c>
      <c r="I1548" s="13">
        <f t="shared" si="24"/>
        <v>3.3868038740920099</v>
      </c>
      <c r="J1548" s="20"/>
    </row>
    <row r="1549" spans="2:10">
      <c r="C1549" s="40">
        <v>2.0190000000000001</v>
      </c>
      <c r="D1549" s="34">
        <v>112.9</v>
      </c>
      <c r="E1549" s="23">
        <v>111.8</v>
      </c>
      <c r="F1549" s="23">
        <v>32.94</v>
      </c>
      <c r="G1549" s="23">
        <v>510.8</v>
      </c>
      <c r="H1549" s="40">
        <v>4.0069999999999997</v>
      </c>
      <c r="I1549" s="13">
        <f t="shared" si="24"/>
        <v>3.3940497874924107</v>
      </c>
      <c r="J1549" s="20"/>
    </row>
    <row r="1550" spans="2:10">
      <c r="C1550" s="40">
        <v>2.0339999999999998</v>
      </c>
      <c r="D1550" s="34">
        <v>125.1</v>
      </c>
      <c r="E1550" s="23">
        <v>112</v>
      </c>
      <c r="F1550" s="23">
        <v>33.31</v>
      </c>
      <c r="G1550" s="23">
        <v>511.3</v>
      </c>
      <c r="H1550" s="40">
        <v>4.0519999999999996</v>
      </c>
      <c r="I1550" s="13">
        <f t="shared" si="24"/>
        <v>3.3623536475532871</v>
      </c>
      <c r="J1550" s="20"/>
    </row>
    <row r="1551" spans="2:10">
      <c r="C1551" s="40">
        <v>2.0430000000000001</v>
      </c>
      <c r="D1551" s="34">
        <v>108.9</v>
      </c>
      <c r="E1551" s="23">
        <v>112.3</v>
      </c>
      <c r="F1551" s="23">
        <v>33.42</v>
      </c>
      <c r="G1551" s="23">
        <v>511.8</v>
      </c>
      <c r="H1551" s="40">
        <v>3.8940000000000001</v>
      </c>
      <c r="I1551" s="13">
        <f t="shared" si="24"/>
        <v>3.3602633153800117</v>
      </c>
      <c r="J1551" s="20"/>
    </row>
    <row r="1552" spans="2:10">
      <c r="C1552" s="40">
        <v>2.04</v>
      </c>
      <c r="D1552" s="34">
        <v>100.9</v>
      </c>
      <c r="E1552" s="23">
        <v>112.4</v>
      </c>
      <c r="F1552" s="23">
        <v>33.75</v>
      </c>
      <c r="G1552" s="23">
        <v>510.7</v>
      </c>
      <c r="H1552" s="40">
        <v>3.7360000000000002</v>
      </c>
      <c r="I1552" s="13">
        <f t="shared" si="24"/>
        <v>3.3303703703703706</v>
      </c>
      <c r="J1552" s="20"/>
    </row>
    <row r="1553" spans="2:10">
      <c r="C1553" s="40">
        <v>2.0939999999999999</v>
      </c>
      <c r="D1553" s="34">
        <v>92.7</v>
      </c>
      <c r="E1553" s="23">
        <v>112</v>
      </c>
      <c r="F1553" s="23">
        <v>33.68</v>
      </c>
      <c r="G1553" s="23">
        <v>513.20000000000005</v>
      </c>
      <c r="H1553" s="40">
        <v>3.988</v>
      </c>
      <c r="I1553" s="13">
        <f t="shared" si="24"/>
        <v>3.3254156769596199</v>
      </c>
      <c r="J1553" s="20"/>
    </row>
    <row r="1554" spans="2:10">
      <c r="C1554" s="40">
        <v>2.117</v>
      </c>
      <c r="D1554" s="34">
        <v>121</v>
      </c>
      <c r="E1554" s="23">
        <v>111.9</v>
      </c>
      <c r="F1554" s="23">
        <v>33.64</v>
      </c>
      <c r="G1554" s="23">
        <v>510.3</v>
      </c>
      <c r="H1554" s="40">
        <v>3.931</v>
      </c>
      <c r="I1554" s="13">
        <f t="shared" si="24"/>
        <v>3.3263971462544593</v>
      </c>
      <c r="J1554" s="20"/>
    </row>
    <row r="1555" spans="2:10">
      <c r="C1555" s="40">
        <v>2.1070000000000002</v>
      </c>
      <c r="D1555" s="34">
        <v>119.7</v>
      </c>
      <c r="E1555" s="23">
        <v>111.3</v>
      </c>
      <c r="F1555" s="23">
        <v>34.08</v>
      </c>
      <c r="G1555" s="23">
        <v>511.2</v>
      </c>
      <c r="H1555" s="40">
        <v>4.0110000000000001</v>
      </c>
      <c r="I1555" s="13">
        <f t="shared" si="24"/>
        <v>3.2658450704225355</v>
      </c>
      <c r="J1555" s="20"/>
    </row>
    <row r="1556" spans="2:10">
      <c r="C1556" s="40">
        <v>2.1179999999999999</v>
      </c>
      <c r="D1556" s="34">
        <v>135</v>
      </c>
      <c r="E1556" s="23">
        <v>111.2</v>
      </c>
      <c r="F1556" s="23">
        <v>33.82</v>
      </c>
      <c r="G1556" s="23">
        <v>510.3</v>
      </c>
      <c r="H1556" s="40">
        <v>3.9740000000000002</v>
      </c>
      <c r="I1556" s="13">
        <f t="shared" si="24"/>
        <v>3.2879952690715553</v>
      </c>
      <c r="J1556" s="20"/>
    </row>
    <row r="1557" spans="2:10">
      <c r="C1557" s="40">
        <v>2.1</v>
      </c>
      <c r="D1557" s="34">
        <v>101.4</v>
      </c>
      <c r="E1557" s="23">
        <v>111.8</v>
      </c>
      <c r="F1557" s="23">
        <v>33.71</v>
      </c>
      <c r="G1557" s="23">
        <v>512.6</v>
      </c>
      <c r="H1557" s="40">
        <v>3.988</v>
      </c>
      <c r="I1557" s="13">
        <f t="shared" si="24"/>
        <v>3.3165232868584988</v>
      </c>
      <c r="J1557" s="20"/>
    </row>
    <row r="1558" spans="2:10">
      <c r="C1558" s="40">
        <v>2.1269999999999998</v>
      </c>
      <c r="D1558" s="34">
        <v>113.3</v>
      </c>
      <c r="E1558" s="23">
        <v>112.1</v>
      </c>
      <c r="F1558" s="23">
        <v>33.450000000000003</v>
      </c>
      <c r="G1558" s="23">
        <v>512.29999999999995</v>
      </c>
      <c r="H1558" s="40">
        <v>3.9540000000000002</v>
      </c>
      <c r="I1558" s="13">
        <f t="shared" si="24"/>
        <v>3.3512705530642748</v>
      </c>
      <c r="J1558" s="20"/>
    </row>
    <row r="1559" spans="2:10">
      <c r="C1559" s="40">
        <v>2.137</v>
      </c>
      <c r="D1559" s="34">
        <v>121.9</v>
      </c>
      <c r="E1559" s="23">
        <v>112</v>
      </c>
      <c r="F1559" s="23">
        <v>33.22</v>
      </c>
      <c r="G1559" s="23">
        <v>510.9</v>
      </c>
      <c r="H1559" s="40">
        <v>3.9849999999999999</v>
      </c>
      <c r="I1559" s="13">
        <f t="shared" si="24"/>
        <v>3.371462974111981</v>
      </c>
      <c r="J1559" s="20"/>
    </row>
    <row r="1560" spans="2:10">
      <c r="C1560" s="40">
        <v>2.113</v>
      </c>
      <c r="D1560" s="34">
        <v>146.4</v>
      </c>
      <c r="E1560" s="23">
        <v>112.4</v>
      </c>
      <c r="F1560" s="23">
        <v>33</v>
      </c>
      <c r="G1560" s="23">
        <v>511.5</v>
      </c>
      <c r="H1560" s="40">
        <v>3.7370000000000001</v>
      </c>
      <c r="I1560" s="13">
        <f t="shared" si="24"/>
        <v>3.4060606060606062</v>
      </c>
      <c r="J1560" s="20"/>
    </row>
    <row r="1561" spans="2:10">
      <c r="C1561" s="40">
        <v>2.1619999999999999</v>
      </c>
      <c r="D1561" s="34">
        <v>152.69999999999999</v>
      </c>
      <c r="E1561" s="23">
        <v>112.5</v>
      </c>
      <c r="F1561" s="23">
        <v>33.46</v>
      </c>
      <c r="G1561" s="23">
        <v>510.4</v>
      </c>
      <c r="H1561" s="40">
        <v>3.746</v>
      </c>
      <c r="I1561" s="13">
        <f t="shared" si="24"/>
        <v>3.3622235505080691</v>
      </c>
      <c r="J1561" s="20"/>
    </row>
    <row r="1562" spans="2:10">
      <c r="B1562" s="47">
        <v>79</v>
      </c>
      <c r="C1562" s="39">
        <v>2.4350000000000001</v>
      </c>
      <c r="D1562" s="37">
        <v>152.5</v>
      </c>
      <c r="E1562" s="38">
        <v>90.93</v>
      </c>
      <c r="F1562" s="38">
        <v>32.18</v>
      </c>
      <c r="G1562" s="38">
        <v>569.70000000000005</v>
      </c>
      <c r="H1562" s="39">
        <v>3.6840000000000002</v>
      </c>
      <c r="I1562" s="13">
        <f t="shared" si="24"/>
        <v>2.8256681168427598</v>
      </c>
      <c r="J1562" s="20"/>
    </row>
    <row r="1563" spans="2:10">
      <c r="C1563" s="40">
        <v>2.5870000000000002</v>
      </c>
      <c r="D1563" s="34">
        <v>159.1</v>
      </c>
      <c r="E1563" s="23">
        <v>91.18</v>
      </c>
      <c r="F1563" s="23">
        <v>32.24</v>
      </c>
      <c r="G1563" s="23">
        <v>573.5</v>
      </c>
      <c r="H1563" s="40">
        <v>3.9710000000000001</v>
      </c>
      <c r="I1563" s="13">
        <f t="shared" si="24"/>
        <v>2.828163771712159</v>
      </c>
      <c r="J1563" s="20"/>
    </row>
    <row r="1564" spans="2:10">
      <c r="C1564" s="40">
        <v>2.577</v>
      </c>
      <c r="D1564" s="34">
        <v>162.5</v>
      </c>
      <c r="E1564" s="23">
        <v>91.8</v>
      </c>
      <c r="F1564" s="23">
        <v>32.31</v>
      </c>
      <c r="G1564" s="23">
        <v>574.70000000000005</v>
      </c>
      <c r="H1564" s="40">
        <v>3.9340000000000002</v>
      </c>
      <c r="I1564" s="13">
        <f t="shared" si="24"/>
        <v>2.8412256267409468</v>
      </c>
      <c r="J1564" s="20"/>
    </row>
    <row r="1565" spans="2:10">
      <c r="C1565" s="40">
        <v>2.5219999999999998</v>
      </c>
      <c r="D1565" s="34">
        <v>159.9</v>
      </c>
      <c r="E1565" s="23">
        <v>91.75</v>
      </c>
      <c r="F1565" s="23">
        <v>32.130000000000003</v>
      </c>
      <c r="G1565" s="23">
        <v>575</v>
      </c>
      <c r="H1565" s="40">
        <v>3.9849999999999999</v>
      </c>
      <c r="I1565" s="13">
        <f t="shared" si="24"/>
        <v>2.8555866791160907</v>
      </c>
      <c r="J1565" s="20"/>
    </row>
    <row r="1566" spans="2:10">
      <c r="C1566" s="40">
        <v>2.5179999999999998</v>
      </c>
      <c r="D1566" s="34">
        <v>156.6</v>
      </c>
      <c r="E1566" s="23">
        <v>91.38</v>
      </c>
      <c r="F1566" s="23">
        <v>32.06</v>
      </c>
      <c r="G1566" s="23">
        <v>570.79999999999995</v>
      </c>
      <c r="H1566" s="40">
        <v>4.4870000000000001</v>
      </c>
      <c r="I1566" s="13">
        <f t="shared" si="24"/>
        <v>2.8502807236431686</v>
      </c>
      <c r="J1566" s="20"/>
    </row>
    <row r="1567" spans="2:10">
      <c r="C1567" s="40">
        <v>2.552</v>
      </c>
      <c r="D1567" s="34">
        <v>177.1</v>
      </c>
      <c r="E1567" s="23">
        <v>91.73</v>
      </c>
      <c r="F1567" s="23">
        <v>32.270000000000003</v>
      </c>
      <c r="G1567" s="23">
        <v>573</v>
      </c>
      <c r="H1567" s="40">
        <v>4.516</v>
      </c>
      <c r="I1567" s="13">
        <f t="shared" si="24"/>
        <v>2.8425782460489617</v>
      </c>
      <c r="J1567" s="20"/>
    </row>
    <row r="1568" spans="2:10">
      <c r="C1568" s="40">
        <v>2.5870000000000002</v>
      </c>
      <c r="D1568" s="34">
        <v>158.5</v>
      </c>
      <c r="E1568" s="23">
        <v>91.3</v>
      </c>
      <c r="F1568" s="23">
        <v>31.81</v>
      </c>
      <c r="G1568" s="23">
        <v>573.20000000000005</v>
      </c>
      <c r="H1568" s="40">
        <v>4.4720000000000004</v>
      </c>
      <c r="I1568" s="13">
        <f t="shared" si="24"/>
        <v>2.8701666142722413</v>
      </c>
      <c r="J1568" s="20"/>
    </row>
    <row r="1569" spans="2:10">
      <c r="C1569" s="40">
        <v>2.5990000000000002</v>
      </c>
      <c r="D1569" s="34">
        <v>143.9</v>
      </c>
      <c r="E1569" s="23">
        <v>91.47</v>
      </c>
      <c r="F1569" s="23">
        <v>32.340000000000003</v>
      </c>
      <c r="G1569" s="23">
        <v>577</v>
      </c>
      <c r="H1569" s="40">
        <v>4.3819999999999997</v>
      </c>
      <c r="I1569" s="13">
        <f t="shared" si="24"/>
        <v>2.8283858998144709</v>
      </c>
      <c r="J1569" s="20"/>
    </row>
    <row r="1570" spans="2:10">
      <c r="C1570" s="40">
        <v>2.601</v>
      </c>
      <c r="D1570" s="34">
        <v>143.6</v>
      </c>
      <c r="E1570" s="23">
        <v>91.75</v>
      </c>
      <c r="F1570" s="23">
        <v>32.51</v>
      </c>
      <c r="G1570" s="23">
        <v>572.20000000000005</v>
      </c>
      <c r="H1570" s="40">
        <v>4.6470000000000002</v>
      </c>
      <c r="I1570" s="13">
        <f t="shared" si="24"/>
        <v>2.8222085512150108</v>
      </c>
      <c r="J1570" s="20"/>
    </row>
    <row r="1571" spans="2:10">
      <c r="C1571" s="40">
        <v>2.552</v>
      </c>
      <c r="D1571" s="34">
        <v>161.9</v>
      </c>
      <c r="E1571" s="23">
        <v>91.97</v>
      </c>
      <c r="F1571" s="23">
        <v>32.06</v>
      </c>
      <c r="G1571" s="23">
        <v>576.70000000000005</v>
      </c>
      <c r="H1571" s="40">
        <v>4.5759999999999996</v>
      </c>
      <c r="I1571" s="13">
        <f t="shared" si="24"/>
        <v>2.8686837180286959</v>
      </c>
      <c r="J1571" s="20"/>
    </row>
    <row r="1572" spans="2:10">
      <c r="C1572" s="40">
        <v>2.548</v>
      </c>
      <c r="D1572" s="34">
        <v>164.7</v>
      </c>
      <c r="E1572" s="23">
        <v>97.1</v>
      </c>
      <c r="F1572" s="23">
        <v>32.15</v>
      </c>
      <c r="G1572" s="23">
        <v>574.70000000000005</v>
      </c>
      <c r="H1572" s="40">
        <v>4.8280000000000003</v>
      </c>
      <c r="I1572" s="13">
        <f t="shared" si="24"/>
        <v>3.020217729393468</v>
      </c>
      <c r="J1572" s="20"/>
    </row>
    <row r="1573" spans="2:10">
      <c r="C1573" s="40">
        <v>2.5</v>
      </c>
      <c r="D1573" s="34">
        <v>187.9</v>
      </c>
      <c r="E1573" s="23">
        <v>91.71</v>
      </c>
      <c r="F1573" s="23">
        <v>32.68</v>
      </c>
      <c r="G1573" s="23">
        <v>563.5</v>
      </c>
      <c r="H1573" s="40">
        <v>4.3650000000000002</v>
      </c>
      <c r="I1573" s="13">
        <f t="shared" si="24"/>
        <v>2.8063035495716031</v>
      </c>
      <c r="J1573" s="20"/>
    </row>
    <row r="1574" spans="2:10">
      <c r="C1574" s="40">
        <v>2.5219999999999998</v>
      </c>
      <c r="D1574" s="34">
        <v>188</v>
      </c>
      <c r="E1574" s="23">
        <v>92.07</v>
      </c>
      <c r="F1574" s="23">
        <v>32.159999999999997</v>
      </c>
      <c r="G1574" s="23">
        <v>565.29999999999995</v>
      </c>
      <c r="H1574" s="40">
        <v>4.3819999999999997</v>
      </c>
      <c r="I1574" s="13">
        <f t="shared" si="24"/>
        <v>2.8628731343283582</v>
      </c>
      <c r="J1574" s="20"/>
    </row>
    <row r="1575" spans="2:10">
      <c r="C1575" s="40">
        <v>2.4870000000000001</v>
      </c>
      <c r="D1575" s="34">
        <v>199.8</v>
      </c>
      <c r="E1575" s="23">
        <v>91.75</v>
      </c>
      <c r="F1575" s="23">
        <v>32.270000000000003</v>
      </c>
      <c r="G1575" s="23">
        <v>566.70000000000005</v>
      </c>
      <c r="H1575" s="40">
        <v>4.4720000000000004</v>
      </c>
      <c r="I1575" s="13">
        <f t="shared" si="24"/>
        <v>2.8431980167338082</v>
      </c>
      <c r="J1575" s="20"/>
    </row>
    <row r="1576" spans="2:10">
      <c r="C1576" s="40">
        <v>2.4590000000000001</v>
      </c>
      <c r="D1576" s="34">
        <v>162</v>
      </c>
      <c r="E1576" s="23">
        <v>91.83</v>
      </c>
      <c r="F1576" s="23">
        <v>32.56</v>
      </c>
      <c r="G1576" s="23">
        <v>567</v>
      </c>
      <c r="H1576" s="40">
        <v>4.59</v>
      </c>
      <c r="I1576" s="13">
        <f t="shared" si="24"/>
        <v>2.8203316953316953</v>
      </c>
      <c r="J1576" s="20"/>
    </row>
    <row r="1577" spans="2:10">
      <c r="C1577" s="40">
        <v>2.4510000000000001</v>
      </c>
      <c r="D1577" s="34">
        <v>166.2</v>
      </c>
      <c r="E1577" s="23">
        <v>91.69</v>
      </c>
      <c r="F1577" s="23">
        <v>32.33</v>
      </c>
      <c r="G1577" s="23">
        <v>570.4</v>
      </c>
      <c r="H1577" s="40">
        <v>4.5259999999999998</v>
      </c>
      <c r="I1577" s="13">
        <f t="shared" si="24"/>
        <v>2.8360655737704921</v>
      </c>
      <c r="J1577" s="20"/>
    </row>
    <row r="1578" spans="2:10">
      <c r="C1578" s="40">
        <v>2.492</v>
      </c>
      <c r="D1578" s="34">
        <v>184.4</v>
      </c>
      <c r="E1578" s="23">
        <v>91.61</v>
      </c>
      <c r="F1578" s="23">
        <v>32.729999999999997</v>
      </c>
      <c r="G1578" s="23">
        <v>572.9</v>
      </c>
      <c r="H1578" s="40">
        <v>4.2549999999999999</v>
      </c>
      <c r="I1578" s="13">
        <f t="shared" si="24"/>
        <v>2.7989611976779716</v>
      </c>
      <c r="J1578" s="20"/>
    </row>
    <row r="1579" spans="2:10">
      <c r="C1579" s="40">
        <v>2.5179999999999998</v>
      </c>
      <c r="D1579" s="34">
        <v>192.2</v>
      </c>
      <c r="E1579" s="23">
        <v>91.47</v>
      </c>
      <c r="F1579" s="23">
        <v>32.21</v>
      </c>
      <c r="G1579" s="23">
        <v>572</v>
      </c>
      <c r="H1579" s="40">
        <v>4.1790000000000003</v>
      </c>
      <c r="I1579" s="13">
        <f t="shared" si="24"/>
        <v>2.8398013039428749</v>
      </c>
      <c r="J1579" s="20"/>
    </row>
    <row r="1580" spans="2:10">
      <c r="C1580" s="40">
        <v>2.5529999999999999</v>
      </c>
      <c r="D1580" s="34">
        <v>159.9</v>
      </c>
      <c r="E1580" s="23">
        <v>91.54</v>
      </c>
      <c r="F1580" s="23">
        <v>32.380000000000003</v>
      </c>
      <c r="G1580" s="23">
        <v>574.79999999999995</v>
      </c>
      <c r="H1580" s="40">
        <v>4.3819999999999997</v>
      </c>
      <c r="I1580" s="13">
        <f t="shared" si="24"/>
        <v>2.827053736874614</v>
      </c>
      <c r="J1580" s="20"/>
    </row>
    <row r="1581" spans="2:10">
      <c r="C1581" s="40">
        <v>2.5840000000000001</v>
      </c>
      <c r="D1581" s="34">
        <v>153</v>
      </c>
      <c r="E1581" s="23">
        <v>91.4</v>
      </c>
      <c r="F1581" s="23">
        <v>32.549999999999997</v>
      </c>
      <c r="G1581" s="23">
        <v>574</v>
      </c>
      <c r="H1581" s="40">
        <v>4.4269999999999996</v>
      </c>
      <c r="I1581" s="13">
        <f t="shared" si="24"/>
        <v>2.8079877112135181</v>
      </c>
      <c r="J1581" s="20"/>
    </row>
    <row r="1582" spans="2:10">
      <c r="B1582" s="47">
        <v>80</v>
      </c>
      <c r="C1582" s="39">
        <v>2.41</v>
      </c>
      <c r="D1582" s="37">
        <v>138.6</v>
      </c>
      <c r="E1582" s="38">
        <v>91.26</v>
      </c>
      <c r="F1582" s="38">
        <v>35.770000000000003</v>
      </c>
      <c r="G1582" s="38">
        <v>532.70000000000005</v>
      </c>
      <c r="H1582" s="39">
        <v>4.6680000000000001</v>
      </c>
      <c r="I1582" s="13">
        <f t="shared" si="24"/>
        <v>2.551299972043612</v>
      </c>
      <c r="J1582" s="20"/>
    </row>
    <row r="1583" spans="2:10">
      <c r="C1583" s="40">
        <v>2.2570000000000001</v>
      </c>
      <c r="D1583" s="34">
        <v>144.1</v>
      </c>
      <c r="E1583" s="23">
        <v>90.52</v>
      </c>
      <c r="F1583" s="23">
        <v>35.9</v>
      </c>
      <c r="G1583" s="23">
        <v>535.6</v>
      </c>
      <c r="H1583" s="40">
        <v>4.125</v>
      </c>
      <c r="I1583" s="13">
        <f t="shared" si="24"/>
        <v>2.5214484679665738</v>
      </c>
      <c r="J1583" s="20"/>
    </row>
    <row r="1584" spans="2:10">
      <c r="C1584" s="40">
        <v>2.2269999999999999</v>
      </c>
      <c r="D1584" s="34">
        <v>138.1</v>
      </c>
      <c r="E1584" s="23">
        <v>90.7</v>
      </c>
      <c r="F1584" s="23">
        <v>35.79</v>
      </c>
      <c r="G1584" s="23">
        <v>532.5</v>
      </c>
      <c r="H1584" s="40">
        <v>4.3559999999999999</v>
      </c>
      <c r="I1584" s="13">
        <f t="shared" si="24"/>
        <v>2.5342274378317966</v>
      </c>
      <c r="J1584" s="20"/>
    </row>
    <row r="1585" spans="3:10">
      <c r="C1585" s="40">
        <v>2.1909999999999998</v>
      </c>
      <c r="D1585" s="34">
        <v>155.80000000000001</v>
      </c>
      <c r="E1585" s="23">
        <v>90.51</v>
      </c>
      <c r="F1585" s="23">
        <v>35.340000000000003</v>
      </c>
      <c r="G1585" s="23">
        <v>529.9</v>
      </c>
      <c r="H1585" s="40">
        <v>4.28</v>
      </c>
      <c r="I1585" s="13">
        <f t="shared" si="24"/>
        <v>2.5611205432937179</v>
      </c>
      <c r="J1585" s="20"/>
    </row>
    <row r="1586" spans="3:10">
      <c r="C1586" s="40">
        <v>2.2429999999999999</v>
      </c>
      <c r="D1586" s="34">
        <v>134.19999999999999</v>
      </c>
      <c r="E1586" s="23">
        <v>91.4</v>
      </c>
      <c r="F1586" s="23">
        <v>35.69</v>
      </c>
      <c r="G1586" s="23">
        <v>529.20000000000005</v>
      </c>
      <c r="H1586" s="40">
        <v>3.6680000000000001</v>
      </c>
      <c r="I1586" s="13">
        <f t="shared" si="24"/>
        <v>2.5609414401793225</v>
      </c>
      <c r="J1586" s="20"/>
    </row>
    <row r="1587" spans="3:10">
      <c r="C1587" s="40">
        <v>2.306</v>
      </c>
      <c r="D1587" s="34">
        <v>144.19999999999999</v>
      </c>
      <c r="E1587" s="23">
        <v>91.47</v>
      </c>
      <c r="F1587" s="23">
        <v>35.19</v>
      </c>
      <c r="G1587" s="23">
        <v>530.6</v>
      </c>
      <c r="H1587" s="40">
        <v>3.581</v>
      </c>
      <c r="I1587" s="13">
        <f t="shared" si="24"/>
        <v>2.5993179880647914</v>
      </c>
      <c r="J1587" s="20"/>
    </row>
    <row r="1588" spans="3:10">
      <c r="C1588" s="40">
        <v>2.1789999999999998</v>
      </c>
      <c r="D1588" s="34">
        <v>138.6</v>
      </c>
      <c r="E1588" s="23">
        <v>91.46</v>
      </c>
      <c r="F1588" s="23">
        <v>35.630000000000003</v>
      </c>
      <c r="G1588" s="23">
        <v>534.4</v>
      </c>
      <c r="H1588" s="40">
        <v>4.1970000000000001</v>
      </c>
      <c r="I1588" s="13">
        <f t="shared" si="24"/>
        <v>2.5669379736177373</v>
      </c>
      <c r="J1588" s="20"/>
    </row>
    <row r="1589" spans="3:10">
      <c r="C1589" s="40">
        <v>2.113</v>
      </c>
      <c r="D1589" s="34">
        <v>143.9</v>
      </c>
      <c r="E1589" s="23">
        <v>91.4</v>
      </c>
      <c r="F1589" s="23">
        <v>35.700000000000003</v>
      </c>
      <c r="G1589" s="23">
        <v>534.70000000000005</v>
      </c>
      <c r="H1589" s="40">
        <v>3.8130000000000002</v>
      </c>
      <c r="I1589" s="13">
        <f t="shared" si="24"/>
        <v>2.5602240896358541</v>
      </c>
      <c r="J1589" s="20"/>
    </row>
    <row r="1590" spans="3:10">
      <c r="C1590" s="40">
        <v>2.0110000000000001</v>
      </c>
      <c r="D1590" s="34">
        <v>136.80000000000001</v>
      </c>
      <c r="E1590" s="23">
        <v>90.81</v>
      </c>
      <c r="F1590" s="23">
        <v>35.92</v>
      </c>
      <c r="G1590" s="23">
        <v>537.29999999999995</v>
      </c>
      <c r="H1590" s="40">
        <v>4.01</v>
      </c>
      <c r="I1590" s="13">
        <f t="shared" si="24"/>
        <v>2.5281180400890868</v>
      </c>
      <c r="J1590" s="20"/>
    </row>
    <row r="1591" spans="3:10">
      <c r="C1591" s="40">
        <v>1.9710000000000001</v>
      </c>
      <c r="D1591" s="34">
        <v>138</v>
      </c>
      <c r="E1591" s="23">
        <v>90.57</v>
      </c>
      <c r="F1591" s="23">
        <v>35.25</v>
      </c>
      <c r="G1591" s="23">
        <v>544.70000000000005</v>
      </c>
      <c r="H1591" s="40">
        <v>4.0999999999999996</v>
      </c>
      <c r="I1591" s="13">
        <f t="shared" si="24"/>
        <v>2.5693617021276594</v>
      </c>
      <c r="J1591" s="20"/>
    </row>
    <row r="1592" spans="3:10">
      <c r="C1592" s="40">
        <v>2.113</v>
      </c>
      <c r="D1592" s="34">
        <v>144.69999999999999</v>
      </c>
      <c r="E1592" s="23">
        <v>91.46</v>
      </c>
      <c r="F1592" s="23">
        <v>35.76</v>
      </c>
      <c r="G1592" s="23">
        <v>539.79999999999995</v>
      </c>
      <c r="H1592" s="40">
        <v>3.8</v>
      </c>
      <c r="I1592" s="13">
        <f t="shared" si="24"/>
        <v>2.5576062639821027</v>
      </c>
      <c r="J1592" s="20"/>
    </row>
    <row r="1593" spans="3:10">
      <c r="C1593" s="40">
        <v>2.032</v>
      </c>
      <c r="D1593" s="34">
        <v>156.69999999999999</v>
      </c>
      <c r="E1593" s="23">
        <v>90.34</v>
      </c>
      <c r="F1593" s="23">
        <v>35.83</v>
      </c>
      <c r="G1593" s="23">
        <v>534.70000000000005</v>
      </c>
      <c r="H1593" s="40">
        <v>3.891</v>
      </c>
      <c r="I1593" s="13">
        <f t="shared" si="24"/>
        <v>2.5213508233324031</v>
      </c>
      <c r="J1593" s="20"/>
    </row>
    <row r="1594" spans="3:10">
      <c r="C1594" s="40">
        <v>2.0710000000000002</v>
      </c>
      <c r="D1594" s="34">
        <v>171</v>
      </c>
      <c r="E1594" s="23">
        <v>90.16</v>
      </c>
      <c r="F1594" s="23">
        <v>35.74</v>
      </c>
      <c r="G1594" s="23">
        <v>534.4</v>
      </c>
      <c r="H1594" s="40">
        <v>4.0330000000000004</v>
      </c>
      <c r="I1594" s="13">
        <f t="shared" si="24"/>
        <v>2.5226636821488526</v>
      </c>
      <c r="J1594" s="20"/>
    </row>
    <row r="1595" spans="3:10">
      <c r="C1595" s="40">
        <v>2.1749999999999998</v>
      </c>
      <c r="D1595" s="34">
        <v>148.9</v>
      </c>
      <c r="E1595" s="23">
        <v>90.93</v>
      </c>
      <c r="F1595" s="23">
        <v>35.53</v>
      </c>
      <c r="G1595" s="23">
        <v>532.4</v>
      </c>
      <c r="H1595" s="40">
        <v>4.0549999999999997</v>
      </c>
      <c r="I1595" s="13">
        <f t="shared" si="24"/>
        <v>2.559245707852519</v>
      </c>
      <c r="J1595" s="20"/>
    </row>
    <row r="1596" spans="3:10">
      <c r="C1596" s="40">
        <v>2.2269999999999999</v>
      </c>
      <c r="D1596" s="34">
        <v>151.80000000000001</v>
      </c>
      <c r="E1596" s="23">
        <v>90.75</v>
      </c>
      <c r="F1596" s="23">
        <v>35.49</v>
      </c>
      <c r="G1596" s="23">
        <v>529.20000000000005</v>
      </c>
      <c r="H1596" s="40">
        <v>3.7090000000000001</v>
      </c>
      <c r="I1596" s="13">
        <f t="shared" si="24"/>
        <v>2.5570583262890954</v>
      </c>
      <c r="J1596" s="20"/>
    </row>
    <row r="1597" spans="3:10">
      <c r="C1597" s="40">
        <v>2.1909999999999998</v>
      </c>
      <c r="D1597" s="34">
        <v>143.9</v>
      </c>
      <c r="E1597" s="23">
        <v>91.04</v>
      </c>
      <c r="F1597" s="23">
        <v>35.25</v>
      </c>
      <c r="G1597" s="23">
        <v>529.9</v>
      </c>
      <c r="H1597" s="40">
        <v>3.4060000000000001</v>
      </c>
      <c r="I1597" s="13">
        <f t="shared" si="24"/>
        <v>2.582695035460993</v>
      </c>
      <c r="J1597" s="20"/>
    </row>
    <row r="1598" spans="3:10">
      <c r="C1598" s="40">
        <v>2.335</v>
      </c>
      <c r="D1598" s="34">
        <v>138.6</v>
      </c>
      <c r="E1598" s="23">
        <v>91.22</v>
      </c>
      <c r="F1598" s="23">
        <v>35.9</v>
      </c>
      <c r="G1598" s="23">
        <v>533.9</v>
      </c>
      <c r="H1598" s="40">
        <v>3.7919999999999998</v>
      </c>
      <c r="I1598" s="13">
        <f t="shared" si="24"/>
        <v>2.5409470752089138</v>
      </c>
      <c r="J1598" s="20"/>
    </row>
    <row r="1599" spans="3:10">
      <c r="C1599" s="40">
        <v>2.41</v>
      </c>
      <c r="D1599" s="34">
        <v>172.9</v>
      </c>
      <c r="E1599" s="23">
        <v>91.28</v>
      </c>
      <c r="F1599" s="23">
        <v>35.729999999999997</v>
      </c>
      <c r="G1599" s="23">
        <v>531.9</v>
      </c>
      <c r="H1599" s="40">
        <v>3.55</v>
      </c>
      <c r="I1599" s="13">
        <f t="shared" si="24"/>
        <v>2.5547159249930034</v>
      </c>
      <c r="J1599" s="20"/>
    </row>
    <row r="1600" spans="3:10">
      <c r="C1600" s="40">
        <v>2.194</v>
      </c>
      <c r="D1600" s="34">
        <v>167.2</v>
      </c>
      <c r="E1600" s="23">
        <v>91.16</v>
      </c>
      <c r="F1600" s="23">
        <v>35.56</v>
      </c>
      <c r="G1600" s="23">
        <v>532.4</v>
      </c>
      <c r="H1600" s="40">
        <v>3.52</v>
      </c>
      <c r="I1600" s="13">
        <f t="shared" si="24"/>
        <v>2.5635545556805397</v>
      </c>
      <c r="J1600" s="20"/>
    </row>
    <row r="1601" spans="2:10">
      <c r="C1601" s="40">
        <v>2.3239999999999998</v>
      </c>
      <c r="D1601" s="34">
        <v>177.1</v>
      </c>
      <c r="E1601" s="23">
        <v>91.1</v>
      </c>
      <c r="F1601" s="23">
        <v>35.4</v>
      </c>
      <c r="G1601" s="23">
        <v>537.29999999999995</v>
      </c>
      <c r="H1601" s="40">
        <v>3.72</v>
      </c>
      <c r="I1601" s="13">
        <f t="shared" si="24"/>
        <v>2.5734463276836159</v>
      </c>
      <c r="J1601" s="20"/>
    </row>
    <row r="1602" spans="2:10">
      <c r="B1602" s="47">
        <v>81</v>
      </c>
      <c r="C1602" s="39">
        <v>2.222</v>
      </c>
      <c r="D1602" s="37">
        <v>90.28</v>
      </c>
      <c r="E1602" s="38">
        <v>99.02</v>
      </c>
      <c r="F1602" s="38">
        <v>21.76</v>
      </c>
      <c r="G1602" s="38">
        <v>544</v>
      </c>
      <c r="H1602" s="39">
        <v>5.03</v>
      </c>
      <c r="I1602" s="13">
        <f t="shared" si="24"/>
        <v>4.5505514705882346</v>
      </c>
      <c r="J1602" s="20"/>
    </row>
    <row r="1603" spans="2:10">
      <c r="C1603" s="40">
        <v>2.2869999999999999</v>
      </c>
      <c r="D1603" s="34">
        <v>104.4</v>
      </c>
      <c r="E1603" s="23">
        <v>98.29</v>
      </c>
      <c r="F1603" s="23">
        <v>21.63</v>
      </c>
      <c r="G1603" s="23">
        <v>542.5</v>
      </c>
      <c r="H1603" s="40">
        <v>5.48</v>
      </c>
      <c r="I1603" s="13">
        <f t="shared" ref="I1603:I1666" si="25">E1603/F1603</f>
        <v>4.5441516412390204</v>
      </c>
      <c r="J1603" s="20"/>
    </row>
    <row r="1604" spans="2:10">
      <c r="C1604" s="40">
        <v>2.2559999999999998</v>
      </c>
      <c r="D1604" s="34">
        <v>105.7</v>
      </c>
      <c r="E1604" s="23">
        <v>98.7</v>
      </c>
      <c r="F1604" s="23">
        <v>21.32</v>
      </c>
      <c r="G1604" s="23">
        <v>541.6</v>
      </c>
      <c r="H1604" s="40">
        <v>5.39</v>
      </c>
      <c r="I1604" s="13">
        <f t="shared" si="25"/>
        <v>4.6294559099437151</v>
      </c>
      <c r="J1604" s="20"/>
    </row>
    <row r="1605" spans="2:10">
      <c r="C1605" s="40">
        <v>2.2490000000000001</v>
      </c>
      <c r="D1605" s="34">
        <v>101.2</v>
      </c>
      <c r="E1605" s="23">
        <v>98.83</v>
      </c>
      <c r="F1605" s="23">
        <v>20.91</v>
      </c>
      <c r="G1605" s="23">
        <v>542.4</v>
      </c>
      <c r="H1605" s="40">
        <v>5.7</v>
      </c>
      <c r="I1605" s="13">
        <f t="shared" si="25"/>
        <v>4.7264466762314683</v>
      </c>
      <c r="J1605" s="20"/>
    </row>
    <row r="1606" spans="2:10">
      <c r="C1606" s="40">
        <v>2.2519999999999998</v>
      </c>
      <c r="D1606" s="34">
        <v>101</v>
      </c>
      <c r="E1606" s="23">
        <v>98.69</v>
      </c>
      <c r="F1606" s="23">
        <v>21.01</v>
      </c>
      <c r="G1606" s="23">
        <v>539.79999999999995</v>
      </c>
      <c r="H1606" s="40">
        <v>4.93</v>
      </c>
      <c r="I1606" s="13">
        <f t="shared" si="25"/>
        <v>4.6972870061875289</v>
      </c>
      <c r="J1606" s="20"/>
    </row>
    <row r="1607" spans="2:10">
      <c r="C1607" s="40">
        <v>2.2330000000000001</v>
      </c>
      <c r="D1607" s="34">
        <v>100.2</v>
      </c>
      <c r="E1607" s="23">
        <v>99.24</v>
      </c>
      <c r="F1607" s="23">
        <v>21.3</v>
      </c>
      <c r="G1607" s="23">
        <v>540.29999999999995</v>
      </c>
      <c r="H1607" s="40">
        <v>5.31</v>
      </c>
      <c r="I1607" s="13">
        <f t="shared" si="25"/>
        <v>4.6591549295774648</v>
      </c>
      <c r="J1607" s="20"/>
    </row>
    <row r="1608" spans="2:10">
      <c r="C1608" s="40">
        <v>2.214</v>
      </c>
      <c r="D1608" s="34">
        <v>110</v>
      </c>
      <c r="E1608" s="23">
        <v>99.11</v>
      </c>
      <c r="F1608" s="23">
        <v>21.16</v>
      </c>
      <c r="G1608" s="23">
        <v>542.9</v>
      </c>
      <c r="H1608" s="40">
        <v>5.01</v>
      </c>
      <c r="I1608" s="13">
        <f t="shared" si="25"/>
        <v>4.6838374291115308</v>
      </c>
      <c r="J1608" s="20"/>
    </row>
    <row r="1609" spans="2:10">
      <c r="C1609" s="40">
        <v>2.177</v>
      </c>
      <c r="D1609" s="34">
        <v>103.4</v>
      </c>
      <c r="E1609" s="23">
        <v>98.98</v>
      </c>
      <c r="F1609" s="23">
        <v>20.89</v>
      </c>
      <c r="G1609" s="23">
        <v>543.20000000000005</v>
      </c>
      <c r="H1609" s="40">
        <v>4.63</v>
      </c>
      <c r="I1609" s="13">
        <f t="shared" si="25"/>
        <v>4.7381522259454281</v>
      </c>
      <c r="J1609" s="20"/>
    </row>
    <row r="1610" spans="2:10">
      <c r="C1610" s="40">
        <v>2.153</v>
      </c>
      <c r="D1610" s="34">
        <v>104.4</v>
      </c>
      <c r="E1610" s="23">
        <v>98.84</v>
      </c>
      <c r="F1610" s="23">
        <v>21.32</v>
      </c>
      <c r="G1610" s="23">
        <v>544.1</v>
      </c>
      <c r="H1610" s="40">
        <v>6.05</v>
      </c>
      <c r="I1610" s="13">
        <f t="shared" si="25"/>
        <v>4.6360225140712945</v>
      </c>
      <c r="J1610" s="20"/>
    </row>
    <row r="1611" spans="2:10">
      <c r="C1611" s="40">
        <v>2.1480000000000001</v>
      </c>
      <c r="D1611" s="34">
        <v>100.7</v>
      </c>
      <c r="E1611" s="23">
        <v>98.71</v>
      </c>
      <c r="F1611" s="23">
        <v>21.41</v>
      </c>
      <c r="G1611" s="23">
        <v>544.9</v>
      </c>
      <c r="H1611" s="40">
        <v>5.56</v>
      </c>
      <c r="I1611" s="13">
        <f t="shared" si="25"/>
        <v>4.6104624007473136</v>
      </c>
      <c r="J1611" s="20"/>
    </row>
    <row r="1612" spans="2:10">
      <c r="C1612" s="40">
        <v>2.0990000000000002</v>
      </c>
      <c r="D1612" s="34">
        <v>111.6</v>
      </c>
      <c r="E1612" s="23">
        <v>98.58</v>
      </c>
      <c r="F1612" s="23">
        <v>21.42</v>
      </c>
      <c r="G1612" s="23">
        <v>546.9</v>
      </c>
      <c r="H1612" s="40">
        <v>5.41</v>
      </c>
      <c r="I1612" s="13">
        <f t="shared" si="25"/>
        <v>4.6022408963585431</v>
      </c>
      <c r="J1612" s="20"/>
    </row>
    <row r="1613" spans="2:10">
      <c r="C1613" s="40">
        <v>2.157</v>
      </c>
      <c r="D1613" s="34">
        <v>101.9</v>
      </c>
      <c r="E1613" s="23">
        <v>98.72</v>
      </c>
      <c r="F1613" s="23">
        <v>21.02</v>
      </c>
      <c r="G1613" s="23">
        <v>545</v>
      </c>
      <c r="H1613" s="40">
        <v>5.03</v>
      </c>
      <c r="I1613" s="13">
        <f t="shared" si="25"/>
        <v>4.6964795432921029</v>
      </c>
      <c r="J1613" s="20"/>
    </row>
    <row r="1614" spans="2:10">
      <c r="C1614" s="40">
        <v>2.1850000000000001</v>
      </c>
      <c r="D1614" s="34">
        <v>103.2</v>
      </c>
      <c r="E1614" s="23">
        <v>98.89</v>
      </c>
      <c r="F1614" s="23">
        <v>20.82</v>
      </c>
      <c r="G1614" s="23">
        <v>545.20000000000005</v>
      </c>
      <c r="H1614" s="40">
        <v>5.59</v>
      </c>
      <c r="I1614" s="13">
        <f t="shared" si="25"/>
        <v>4.7497598463016333</v>
      </c>
      <c r="J1614" s="20"/>
    </row>
    <row r="1615" spans="2:10">
      <c r="C1615" s="40">
        <v>2.214</v>
      </c>
      <c r="D1615" s="34">
        <v>101.1</v>
      </c>
      <c r="E1615" s="23">
        <v>98.84</v>
      </c>
      <c r="F1615" s="23">
        <v>20.61</v>
      </c>
      <c r="G1615" s="23">
        <v>539.79999999999995</v>
      </c>
      <c r="H1615" s="40">
        <v>5.55</v>
      </c>
      <c r="I1615" s="13">
        <f t="shared" si="25"/>
        <v>4.795730228044639</v>
      </c>
      <c r="J1615" s="20"/>
    </row>
    <row r="1616" spans="2:10">
      <c r="C1616" s="40">
        <v>2.242</v>
      </c>
      <c r="D1616" s="34">
        <v>104.3</v>
      </c>
      <c r="E1616" s="23">
        <v>98.97</v>
      </c>
      <c r="F1616" s="23">
        <v>20.92</v>
      </c>
      <c r="G1616" s="23">
        <v>540.5</v>
      </c>
      <c r="H1616" s="40">
        <v>5.45</v>
      </c>
      <c r="I1616" s="13">
        <f t="shared" si="25"/>
        <v>4.7308795411089859</v>
      </c>
      <c r="J1616" s="20"/>
    </row>
    <row r="1617" spans="2:10">
      <c r="C1617" s="40">
        <v>2.2669999999999999</v>
      </c>
      <c r="D1617" s="34">
        <v>103.9</v>
      </c>
      <c r="E1617" s="23">
        <v>98.56</v>
      </c>
      <c r="F1617" s="23">
        <v>20.73</v>
      </c>
      <c r="G1617" s="23">
        <v>539</v>
      </c>
      <c r="H1617" s="40">
        <v>5.49</v>
      </c>
      <c r="I1617" s="13">
        <f t="shared" si="25"/>
        <v>4.7544621321755907</v>
      </c>
      <c r="J1617" s="20"/>
    </row>
    <row r="1618" spans="2:10">
      <c r="C1618" s="40">
        <v>2.2799999999999998</v>
      </c>
      <c r="D1618" s="34">
        <v>102.8</v>
      </c>
      <c r="E1618" s="23">
        <v>98.29</v>
      </c>
      <c r="F1618" s="23">
        <v>20.83</v>
      </c>
      <c r="G1618" s="23">
        <v>549.5</v>
      </c>
      <c r="H1618" s="40">
        <v>4.91</v>
      </c>
      <c r="I1618" s="13">
        <f t="shared" si="25"/>
        <v>4.7186749879980807</v>
      </c>
      <c r="J1618" s="20"/>
    </row>
    <row r="1619" spans="2:10">
      <c r="C1619" s="40">
        <v>2.2869999999999999</v>
      </c>
      <c r="D1619" s="34">
        <v>104.6</v>
      </c>
      <c r="E1619" s="23">
        <v>98.43</v>
      </c>
      <c r="F1619" s="23">
        <v>21.12</v>
      </c>
      <c r="G1619" s="23">
        <v>543.9</v>
      </c>
      <c r="H1619" s="40">
        <v>5.36</v>
      </c>
      <c r="I1619" s="13">
        <f t="shared" si="25"/>
        <v>4.6605113636363633</v>
      </c>
      <c r="J1619" s="20"/>
    </row>
    <row r="1620" spans="2:10">
      <c r="C1620" s="40">
        <v>2.2770000000000001</v>
      </c>
      <c r="D1620" s="34">
        <v>105.7</v>
      </c>
      <c r="E1620" s="23">
        <v>98.56</v>
      </c>
      <c r="F1620" s="23">
        <v>20.93</v>
      </c>
      <c r="G1620" s="23">
        <v>551</v>
      </c>
      <c r="H1620" s="40">
        <v>5.0599999999999996</v>
      </c>
      <c r="I1620" s="13">
        <f t="shared" si="25"/>
        <v>4.7090301003344486</v>
      </c>
      <c r="J1620" s="20"/>
    </row>
    <row r="1621" spans="2:10">
      <c r="C1621" s="40">
        <v>2.2519999999999998</v>
      </c>
      <c r="D1621" s="34">
        <v>103.2</v>
      </c>
      <c r="E1621" s="23">
        <v>98.83</v>
      </c>
      <c r="F1621" s="23">
        <v>20.84</v>
      </c>
      <c r="G1621" s="23">
        <v>543.70000000000005</v>
      </c>
      <c r="H1621" s="40">
        <v>5.44</v>
      </c>
      <c r="I1621" s="13">
        <f t="shared" si="25"/>
        <v>4.7423224568138194</v>
      </c>
      <c r="J1621" s="20"/>
    </row>
    <row r="1622" spans="2:10">
      <c r="B1622" s="47">
        <v>82</v>
      </c>
      <c r="C1622" s="39">
        <v>1.71</v>
      </c>
      <c r="D1622" s="37">
        <v>141.69999999999999</v>
      </c>
      <c r="E1622" s="38">
        <v>88.64</v>
      </c>
      <c r="F1622" s="38">
        <v>19.579999999999998</v>
      </c>
      <c r="G1622" s="38">
        <v>531.9</v>
      </c>
      <c r="H1622" s="39">
        <v>5.47</v>
      </c>
      <c r="I1622" s="13">
        <f t="shared" si="25"/>
        <v>4.5270684371807972</v>
      </c>
      <c r="J1622" s="20"/>
    </row>
    <row r="1623" spans="2:10">
      <c r="C1623" s="40">
        <v>1.681</v>
      </c>
      <c r="D1623" s="34">
        <v>114.3</v>
      </c>
      <c r="E1623" s="23">
        <v>88.41</v>
      </c>
      <c r="F1623" s="23">
        <v>19.32</v>
      </c>
      <c r="G1623" s="23">
        <v>532.1</v>
      </c>
      <c r="H1623" s="40">
        <v>6.17</v>
      </c>
      <c r="I1623" s="13">
        <f t="shared" si="25"/>
        <v>4.5760869565217392</v>
      </c>
      <c r="J1623" s="20"/>
    </row>
    <row r="1624" spans="2:10">
      <c r="C1624" s="40">
        <v>1.696</v>
      </c>
      <c r="D1624" s="34">
        <v>132</v>
      </c>
      <c r="E1624" s="23">
        <v>88.23</v>
      </c>
      <c r="F1624" s="23">
        <v>20</v>
      </c>
      <c r="G1624" s="23">
        <v>531.20000000000005</v>
      </c>
      <c r="H1624" s="40">
        <v>6.12</v>
      </c>
      <c r="I1624" s="13">
        <f t="shared" si="25"/>
        <v>4.4115000000000002</v>
      </c>
      <c r="J1624" s="20"/>
    </row>
    <row r="1625" spans="2:10">
      <c r="C1625" s="40">
        <v>1.698</v>
      </c>
      <c r="D1625" s="34">
        <v>127.5</v>
      </c>
      <c r="E1625" s="23">
        <v>88.73</v>
      </c>
      <c r="F1625" s="23">
        <v>19.95</v>
      </c>
      <c r="G1625" s="23">
        <v>531.4</v>
      </c>
      <c r="H1625" s="40">
        <v>5.56</v>
      </c>
      <c r="I1625" s="13">
        <f t="shared" si="25"/>
        <v>4.4476190476190478</v>
      </c>
      <c r="J1625" s="20"/>
    </row>
    <row r="1626" spans="2:10">
      <c r="C1626" s="40">
        <v>1.71</v>
      </c>
      <c r="D1626" s="34">
        <v>102.1</v>
      </c>
      <c r="E1626" s="23">
        <v>88.64</v>
      </c>
      <c r="F1626" s="23">
        <v>20.2</v>
      </c>
      <c r="G1626" s="23">
        <v>528.20000000000005</v>
      </c>
      <c r="H1626" s="40">
        <v>5.65</v>
      </c>
      <c r="I1626" s="13">
        <f t="shared" si="25"/>
        <v>4.3881188118811885</v>
      </c>
      <c r="J1626" s="20"/>
    </row>
    <row r="1627" spans="2:10">
      <c r="C1627" s="40">
        <v>1.74</v>
      </c>
      <c r="D1627" s="34">
        <v>109.2</v>
      </c>
      <c r="E1627" s="23">
        <v>88.55</v>
      </c>
      <c r="F1627" s="23">
        <v>20.16</v>
      </c>
      <c r="G1627" s="23">
        <v>526.70000000000005</v>
      </c>
      <c r="H1627" s="40">
        <v>6.19</v>
      </c>
      <c r="I1627" s="13">
        <f t="shared" si="25"/>
        <v>4.3923611111111107</v>
      </c>
      <c r="J1627" s="20"/>
    </row>
    <row r="1628" spans="2:10">
      <c r="C1628" s="40">
        <v>1.7889999999999999</v>
      </c>
      <c r="D1628" s="34">
        <v>101.4</v>
      </c>
      <c r="E1628" s="23">
        <v>88</v>
      </c>
      <c r="F1628" s="23">
        <v>19.97</v>
      </c>
      <c r="G1628" s="23">
        <v>527.4</v>
      </c>
      <c r="H1628" s="40">
        <v>6.15</v>
      </c>
      <c r="I1628" s="13">
        <f t="shared" si="25"/>
        <v>4.406609914872309</v>
      </c>
      <c r="J1628" s="20"/>
    </row>
    <row r="1629" spans="2:10">
      <c r="C1629" s="40">
        <v>1.768</v>
      </c>
      <c r="D1629" s="34">
        <v>107.2</v>
      </c>
      <c r="E1629" s="23">
        <v>88.73</v>
      </c>
      <c r="F1629" s="23">
        <v>19.420000000000002</v>
      </c>
      <c r="G1629" s="23">
        <v>530.5</v>
      </c>
      <c r="H1629" s="40">
        <v>5.55</v>
      </c>
      <c r="I1629" s="13">
        <f t="shared" si="25"/>
        <v>4.5690010298661168</v>
      </c>
      <c r="J1629" s="48"/>
    </row>
    <row r="1630" spans="2:10">
      <c r="C1630" s="40">
        <v>1.835</v>
      </c>
      <c r="D1630" s="34">
        <v>125.9</v>
      </c>
      <c r="E1630" s="23">
        <v>88.97</v>
      </c>
      <c r="F1630" s="23">
        <v>19.78</v>
      </c>
      <c r="G1630" s="23">
        <v>528.9</v>
      </c>
      <c r="H1630" s="40">
        <v>6.18</v>
      </c>
      <c r="I1630" s="13">
        <f t="shared" si="25"/>
        <v>4.4979777553083924</v>
      </c>
      <c r="J1630" s="20"/>
    </row>
    <row r="1631" spans="2:10">
      <c r="C1631" s="40">
        <v>1.8380000000000001</v>
      </c>
      <c r="D1631" s="34">
        <v>132</v>
      </c>
      <c r="E1631" s="23">
        <v>88.7</v>
      </c>
      <c r="F1631" s="23">
        <v>19.809999999999999</v>
      </c>
      <c r="G1631" s="23">
        <v>531.1</v>
      </c>
      <c r="H1631" s="40">
        <v>5.88</v>
      </c>
      <c r="I1631" s="13">
        <f t="shared" si="25"/>
        <v>4.4775365976779407</v>
      </c>
      <c r="J1631" s="20"/>
    </row>
    <row r="1632" spans="2:10">
      <c r="C1632" s="40">
        <v>1.823</v>
      </c>
      <c r="D1632" s="34">
        <v>114.3</v>
      </c>
      <c r="E1632" s="23">
        <v>88.94</v>
      </c>
      <c r="F1632" s="23">
        <v>19.62</v>
      </c>
      <c r="G1632" s="23">
        <v>532.1</v>
      </c>
      <c r="H1632" s="40">
        <v>5.83</v>
      </c>
      <c r="I1632" s="13">
        <f t="shared" si="25"/>
        <v>4.5331294597349636</v>
      </c>
      <c r="J1632" s="20"/>
    </row>
    <row r="1633" spans="2:10">
      <c r="C1633" s="40">
        <v>1.8089999999999999</v>
      </c>
      <c r="D1633" s="34">
        <v>102.1</v>
      </c>
      <c r="E1633" s="23">
        <v>88.35</v>
      </c>
      <c r="F1633" s="23">
        <v>19.25</v>
      </c>
      <c r="G1633" s="23">
        <v>531.20000000000005</v>
      </c>
      <c r="H1633" s="40">
        <v>5.96</v>
      </c>
      <c r="I1633" s="13">
        <f t="shared" si="25"/>
        <v>4.5896103896103897</v>
      </c>
      <c r="J1633" s="20"/>
    </row>
    <row r="1634" spans="2:10">
      <c r="C1634" s="40">
        <v>1.79</v>
      </c>
      <c r="D1634" s="34">
        <v>121.1</v>
      </c>
      <c r="E1634" s="23">
        <v>88.36</v>
      </c>
      <c r="F1634" s="23">
        <v>19.98</v>
      </c>
      <c r="G1634" s="23">
        <v>531</v>
      </c>
      <c r="H1634" s="40">
        <v>5.45</v>
      </c>
      <c r="I1634" s="13">
        <f t="shared" si="25"/>
        <v>4.4224224224224224</v>
      </c>
      <c r="J1634" s="20"/>
    </row>
    <row r="1635" spans="2:10">
      <c r="C1635" s="40">
        <v>1.6879999999999999</v>
      </c>
      <c r="D1635" s="34">
        <v>114.3</v>
      </c>
      <c r="E1635" s="23">
        <v>88.77</v>
      </c>
      <c r="F1635" s="23">
        <v>19.760000000000002</v>
      </c>
      <c r="G1635" s="23">
        <v>527.5</v>
      </c>
      <c r="H1635" s="40">
        <v>5.77</v>
      </c>
      <c r="I1635" s="13">
        <f t="shared" si="25"/>
        <v>4.4924089068825905</v>
      </c>
      <c r="J1635" s="20"/>
    </row>
    <row r="1636" spans="2:10">
      <c r="C1636" s="40">
        <v>1.665</v>
      </c>
      <c r="D1636" s="34">
        <v>107.2</v>
      </c>
      <c r="E1636" s="23">
        <v>88.35</v>
      </c>
      <c r="F1636" s="23">
        <v>19.79</v>
      </c>
      <c r="G1636" s="23">
        <v>527.79999999999995</v>
      </c>
      <c r="H1636" s="40">
        <v>5.73</v>
      </c>
      <c r="I1636" s="13">
        <f t="shared" si="25"/>
        <v>4.4643759474482057</v>
      </c>
      <c r="J1636" s="20"/>
    </row>
    <row r="1637" spans="2:10">
      <c r="C1637" s="40">
        <v>1.6419999999999999</v>
      </c>
      <c r="D1637" s="34">
        <v>125.9</v>
      </c>
      <c r="E1637" s="23">
        <v>88.21</v>
      </c>
      <c r="F1637" s="23">
        <v>19.25</v>
      </c>
      <c r="G1637" s="23">
        <v>529.4</v>
      </c>
      <c r="H1637" s="40">
        <v>5.68</v>
      </c>
      <c r="I1637" s="13">
        <f t="shared" si="25"/>
        <v>4.5823376623376619</v>
      </c>
      <c r="J1637" s="20"/>
    </row>
    <row r="1638" spans="2:10">
      <c r="C1638" s="40">
        <v>1.6619999999999999</v>
      </c>
      <c r="D1638" s="34">
        <v>116.6</v>
      </c>
      <c r="E1638" s="23">
        <v>89.11</v>
      </c>
      <c r="F1638" s="23">
        <v>19.04</v>
      </c>
      <c r="G1638" s="23">
        <v>532.9</v>
      </c>
      <c r="H1638" s="40">
        <v>5.88</v>
      </c>
      <c r="I1638" s="13">
        <f t="shared" si="25"/>
        <v>4.6801470588235299</v>
      </c>
      <c r="J1638" s="20"/>
    </row>
    <row r="1639" spans="2:10">
      <c r="C1639" s="40">
        <v>1.7290000000000001</v>
      </c>
      <c r="D1639" s="34">
        <v>137.1</v>
      </c>
      <c r="E1639" s="23">
        <v>88.85</v>
      </c>
      <c r="F1639" s="23">
        <v>19.75</v>
      </c>
      <c r="G1639" s="23">
        <v>530.4</v>
      </c>
      <c r="H1639" s="40">
        <v>5.82</v>
      </c>
      <c r="I1639" s="13">
        <f t="shared" si="25"/>
        <v>4.4987341772151899</v>
      </c>
      <c r="J1639" s="20"/>
    </row>
    <row r="1640" spans="2:10">
      <c r="C1640" s="40">
        <v>1.7569999999999999</v>
      </c>
      <c r="D1640" s="34">
        <v>142.9</v>
      </c>
      <c r="E1640" s="23">
        <v>88.53</v>
      </c>
      <c r="F1640" s="23">
        <v>19.45</v>
      </c>
      <c r="G1640" s="23">
        <v>530.70000000000005</v>
      </c>
      <c r="H1640" s="40">
        <v>5.8</v>
      </c>
      <c r="I1640" s="13">
        <f t="shared" si="25"/>
        <v>4.5516709511568125</v>
      </c>
      <c r="J1640" s="20"/>
    </row>
    <row r="1641" spans="2:10">
      <c r="C1641" s="40">
        <v>1.766</v>
      </c>
      <c r="D1641" s="34">
        <v>125.9</v>
      </c>
      <c r="E1641" s="23">
        <v>88.21</v>
      </c>
      <c r="F1641" s="23">
        <v>19.399999999999999</v>
      </c>
      <c r="G1641" s="23">
        <v>532.1</v>
      </c>
      <c r="H1641" s="40">
        <v>5.9</v>
      </c>
      <c r="I1641" s="13">
        <f t="shared" si="25"/>
        <v>4.5469072164948452</v>
      </c>
      <c r="J1641" s="20"/>
    </row>
    <row r="1642" spans="2:10">
      <c r="B1642" s="47">
        <v>83</v>
      </c>
      <c r="C1642" s="39">
        <v>2.3279999999999998</v>
      </c>
      <c r="D1642" s="37">
        <v>100.6</v>
      </c>
      <c r="E1642" s="38">
        <v>93.64</v>
      </c>
      <c r="F1642" s="38">
        <v>23.87</v>
      </c>
      <c r="G1642" s="38">
        <v>527.79999999999995</v>
      </c>
      <c r="H1642" s="39">
        <v>5.99</v>
      </c>
      <c r="I1642" s="13">
        <f t="shared" si="25"/>
        <v>3.9229157938835355</v>
      </c>
      <c r="J1642" s="20"/>
    </row>
    <row r="1643" spans="2:10">
      <c r="C1643" s="40">
        <v>2.3050000000000002</v>
      </c>
      <c r="D1643" s="34">
        <v>82.56</v>
      </c>
      <c r="E1643" s="23">
        <v>93.47</v>
      </c>
      <c r="F1643" s="23">
        <v>23.7</v>
      </c>
      <c r="G1643" s="23">
        <v>531.20000000000005</v>
      </c>
      <c r="H1643" s="40">
        <v>6.04</v>
      </c>
      <c r="I1643" s="13">
        <f t="shared" si="25"/>
        <v>3.9438818565400844</v>
      </c>
      <c r="J1643" s="20"/>
    </row>
    <row r="1644" spans="2:10">
      <c r="C1644" s="40">
        <v>2.242</v>
      </c>
      <c r="D1644" s="34">
        <v>92.52</v>
      </c>
      <c r="E1644" s="23">
        <v>93.33</v>
      </c>
      <c r="F1644" s="23">
        <v>23.53</v>
      </c>
      <c r="G1644" s="23">
        <v>530.20000000000005</v>
      </c>
      <c r="H1644" s="40">
        <v>5.68</v>
      </c>
      <c r="I1644" s="13">
        <f t="shared" si="25"/>
        <v>3.9664258393540157</v>
      </c>
      <c r="J1644" s="20"/>
    </row>
    <row r="1645" spans="2:10">
      <c r="C1645" s="40">
        <v>2.4049999999999998</v>
      </c>
      <c r="D1645" s="34">
        <v>119.5</v>
      </c>
      <c r="E1645" s="23">
        <v>93.91</v>
      </c>
      <c r="F1645" s="23">
        <v>23.87</v>
      </c>
      <c r="G1645" s="23">
        <v>529.1</v>
      </c>
      <c r="H1645" s="40">
        <v>6.54</v>
      </c>
      <c r="I1645" s="13">
        <f t="shared" si="25"/>
        <v>3.9342270632593208</v>
      </c>
      <c r="J1645" s="20"/>
    </row>
    <row r="1646" spans="2:10">
      <c r="C1646" s="40">
        <v>2.339</v>
      </c>
      <c r="D1646" s="34">
        <v>119.1</v>
      </c>
      <c r="E1646" s="23">
        <v>94.3</v>
      </c>
      <c r="F1646" s="23">
        <v>23.89</v>
      </c>
      <c r="G1646" s="23">
        <v>535.4</v>
      </c>
      <c r="H1646" s="40">
        <v>6.1</v>
      </c>
      <c r="I1646" s="13">
        <f t="shared" si="25"/>
        <v>3.9472582670573462</v>
      </c>
      <c r="J1646" s="20"/>
    </row>
    <row r="1647" spans="2:10">
      <c r="C1647" s="40">
        <v>2.4300000000000002</v>
      </c>
      <c r="D1647" s="34">
        <v>144</v>
      </c>
      <c r="E1647" s="23">
        <v>93.81</v>
      </c>
      <c r="F1647" s="23">
        <v>23.79</v>
      </c>
      <c r="G1647" s="23">
        <v>529.79999999999995</v>
      </c>
      <c r="H1647" s="40">
        <v>5.61</v>
      </c>
      <c r="I1647" s="13">
        <f t="shared" si="25"/>
        <v>3.9432534678436322</v>
      </c>
      <c r="J1647" s="20"/>
    </row>
    <row r="1648" spans="2:10">
      <c r="C1648" s="40">
        <v>2.5379999999999998</v>
      </c>
      <c r="D1648" s="34">
        <v>135.69999999999999</v>
      </c>
      <c r="E1648" s="23">
        <v>96.46</v>
      </c>
      <c r="F1648" s="23">
        <v>23.71</v>
      </c>
      <c r="G1648" s="23">
        <v>527.79999999999995</v>
      </c>
      <c r="H1648" s="40">
        <v>6.49</v>
      </c>
      <c r="I1648" s="13">
        <f t="shared" si="25"/>
        <v>4.0683256010122308</v>
      </c>
      <c r="J1648" s="20"/>
    </row>
    <row r="1649" spans="2:10">
      <c r="C1649" s="40">
        <v>2.5070000000000001</v>
      </c>
      <c r="D1649" s="34">
        <v>115.5</v>
      </c>
      <c r="E1649" s="23">
        <v>94.35</v>
      </c>
      <c r="F1649" s="23">
        <v>23.44</v>
      </c>
      <c r="G1649" s="23">
        <v>528.70000000000005</v>
      </c>
      <c r="H1649" s="40">
        <v>5.73</v>
      </c>
      <c r="I1649" s="13">
        <f t="shared" si="25"/>
        <v>4.0251706484641634</v>
      </c>
      <c r="J1649" s="20"/>
    </row>
    <row r="1650" spans="2:10">
      <c r="C1650" s="40">
        <v>2.4649999999999999</v>
      </c>
      <c r="D1650" s="34">
        <v>93.85</v>
      </c>
      <c r="E1650" s="23">
        <v>94.61</v>
      </c>
      <c r="F1650" s="23">
        <v>23.96</v>
      </c>
      <c r="G1650" s="23">
        <v>530.1</v>
      </c>
      <c r="H1650" s="40">
        <v>5.89</v>
      </c>
      <c r="I1650" s="13">
        <f t="shared" si="25"/>
        <v>3.9486644407345572</v>
      </c>
      <c r="J1650" s="20"/>
    </row>
    <row r="1651" spans="2:10">
      <c r="C1651" s="40">
        <v>2.5680000000000001</v>
      </c>
      <c r="D1651" s="34">
        <v>105.4</v>
      </c>
      <c r="E1651" s="23">
        <v>94.05</v>
      </c>
      <c r="F1651" s="23">
        <v>24.04</v>
      </c>
      <c r="G1651" s="23">
        <v>531.5</v>
      </c>
      <c r="H1651" s="40">
        <v>5.94</v>
      </c>
      <c r="I1651" s="13">
        <f t="shared" si="25"/>
        <v>3.9122296173044924</v>
      </c>
      <c r="J1651" s="20"/>
    </row>
    <row r="1652" spans="2:10">
      <c r="C1652" s="40">
        <v>2.492</v>
      </c>
      <c r="D1652" s="34">
        <v>112.1</v>
      </c>
      <c r="E1652" s="23">
        <v>94.42</v>
      </c>
      <c r="F1652" s="23">
        <v>23.19</v>
      </c>
      <c r="G1652" s="23">
        <v>536.9</v>
      </c>
      <c r="H1652" s="40">
        <v>6.06</v>
      </c>
      <c r="I1652" s="13">
        <f t="shared" si="25"/>
        <v>4.071582578697714</v>
      </c>
      <c r="J1652" s="20"/>
    </row>
    <row r="1653" spans="2:10">
      <c r="C1653" s="40">
        <v>2.4340000000000002</v>
      </c>
      <c r="D1653" s="34">
        <v>119.1</v>
      </c>
      <c r="E1653" s="23">
        <v>93.82</v>
      </c>
      <c r="F1653" s="23">
        <v>23.44</v>
      </c>
      <c r="G1653" s="23">
        <v>536.20000000000005</v>
      </c>
      <c r="H1653" s="40">
        <v>5.82</v>
      </c>
      <c r="I1653" s="13">
        <f t="shared" si="25"/>
        <v>4.0025597269624571</v>
      </c>
      <c r="J1653" s="20"/>
    </row>
    <row r="1654" spans="2:10">
      <c r="C1654" s="40">
        <v>2.5369999999999999</v>
      </c>
      <c r="D1654" s="34">
        <v>112.1</v>
      </c>
      <c r="E1654" s="23">
        <v>94.01</v>
      </c>
      <c r="F1654" s="23">
        <v>23.35</v>
      </c>
      <c r="G1654" s="23">
        <v>534.70000000000005</v>
      </c>
      <c r="H1654" s="40">
        <v>5.57</v>
      </c>
      <c r="I1654" s="13">
        <f t="shared" si="25"/>
        <v>4.0261241970021411</v>
      </c>
      <c r="J1654" s="20"/>
    </row>
    <row r="1655" spans="2:10">
      <c r="C1655" s="40">
        <v>2.5630000000000002</v>
      </c>
      <c r="D1655" s="34">
        <v>87.17</v>
      </c>
      <c r="E1655" s="23">
        <v>94.11</v>
      </c>
      <c r="F1655" s="23">
        <v>23.87</v>
      </c>
      <c r="G1655" s="23">
        <v>535.4</v>
      </c>
      <c r="H1655" s="40">
        <v>5.61</v>
      </c>
      <c r="I1655" s="13">
        <f t="shared" si="25"/>
        <v>3.9426057813154585</v>
      </c>
      <c r="J1655" s="20"/>
    </row>
    <row r="1656" spans="2:10">
      <c r="C1656" s="40">
        <v>2.4649999999999999</v>
      </c>
      <c r="D1656" s="34">
        <v>105.4</v>
      </c>
      <c r="E1656" s="23">
        <v>94.03</v>
      </c>
      <c r="F1656" s="23">
        <v>24.05</v>
      </c>
      <c r="G1656" s="23">
        <v>533.29999999999995</v>
      </c>
      <c r="H1656" s="40">
        <v>5.6</v>
      </c>
      <c r="I1656" s="13">
        <f t="shared" si="25"/>
        <v>3.9097713097713096</v>
      </c>
      <c r="J1656" s="20"/>
    </row>
    <row r="1657" spans="2:10">
      <c r="C1657" s="40">
        <v>2.597</v>
      </c>
      <c r="D1657" s="34">
        <v>98.85</v>
      </c>
      <c r="E1657" s="23">
        <v>94.13</v>
      </c>
      <c r="F1657" s="23">
        <v>24.07</v>
      </c>
      <c r="G1657" s="23">
        <v>534.20000000000005</v>
      </c>
      <c r="H1657" s="40">
        <v>5.0410000000000004</v>
      </c>
      <c r="I1657" s="13">
        <f t="shared" si="25"/>
        <v>3.9106771915247194</v>
      </c>
      <c r="J1657" s="20"/>
    </row>
    <row r="1658" spans="2:10">
      <c r="C1658" s="40">
        <v>2.5680000000000001</v>
      </c>
      <c r="D1658" s="34">
        <v>82.63</v>
      </c>
      <c r="E1658" s="23">
        <v>94.11</v>
      </c>
      <c r="F1658" s="23">
        <v>23.96</v>
      </c>
      <c r="G1658" s="23">
        <v>531.20000000000005</v>
      </c>
      <c r="H1658" s="40">
        <v>5.59</v>
      </c>
      <c r="I1658" s="13">
        <f t="shared" si="25"/>
        <v>3.92779632721202</v>
      </c>
      <c r="J1658" s="20"/>
    </row>
    <row r="1659" spans="2:10">
      <c r="C1659" s="40">
        <v>2.589</v>
      </c>
      <c r="D1659" s="34">
        <v>92.06</v>
      </c>
      <c r="E1659" s="23">
        <v>94.24</v>
      </c>
      <c r="F1659" s="23">
        <v>23.61</v>
      </c>
      <c r="G1659" s="23">
        <v>531.79999999999995</v>
      </c>
      <c r="H1659" s="40">
        <v>5.96</v>
      </c>
      <c r="I1659" s="13">
        <f t="shared" si="25"/>
        <v>3.9915290131300294</v>
      </c>
      <c r="J1659" s="20"/>
    </row>
    <row r="1660" spans="2:10">
      <c r="C1660" s="40">
        <v>2.5379999999999998</v>
      </c>
      <c r="D1660" s="34">
        <v>79.34</v>
      </c>
      <c r="E1660" s="23">
        <v>94.1</v>
      </c>
      <c r="F1660" s="23">
        <v>23.97</v>
      </c>
      <c r="G1660" s="23">
        <v>529.1</v>
      </c>
      <c r="H1660" s="40">
        <v>6.02</v>
      </c>
      <c r="I1660" s="13">
        <f t="shared" si="25"/>
        <v>3.9257405089695454</v>
      </c>
      <c r="J1660" s="20"/>
    </row>
    <row r="1661" spans="2:10">
      <c r="C1661" s="40">
        <v>2.4300000000000002</v>
      </c>
      <c r="D1661" s="34">
        <v>92</v>
      </c>
      <c r="E1661" s="23">
        <v>94.77</v>
      </c>
      <c r="F1661" s="23">
        <v>24.24</v>
      </c>
      <c r="G1661" s="23">
        <v>530.1</v>
      </c>
      <c r="H1661" s="40">
        <v>5.61</v>
      </c>
      <c r="I1661" s="13">
        <f t="shared" si="25"/>
        <v>3.9096534653465347</v>
      </c>
      <c r="J1661" s="20"/>
    </row>
    <row r="1662" spans="2:10">
      <c r="B1662" s="47">
        <v>84</v>
      </c>
      <c r="C1662" s="39">
        <v>2.5129999999999999</v>
      </c>
      <c r="D1662" s="37">
        <v>111.9</v>
      </c>
      <c r="E1662" s="38">
        <v>98</v>
      </c>
      <c r="F1662" s="38">
        <v>20.62</v>
      </c>
      <c r="G1662" s="38">
        <v>549.6</v>
      </c>
      <c r="H1662" s="39">
        <v>5.1710000000000003</v>
      </c>
      <c r="I1662" s="13">
        <f t="shared" si="25"/>
        <v>4.7526673132880699</v>
      </c>
      <c r="J1662" s="20"/>
    </row>
    <row r="1663" spans="2:10">
      <c r="C1663" s="40">
        <v>2.4980000000000002</v>
      </c>
      <c r="D1663" s="34">
        <v>102.2</v>
      </c>
      <c r="E1663" s="23">
        <v>98.05</v>
      </c>
      <c r="F1663" s="23">
        <v>20.54</v>
      </c>
      <c r="G1663" s="23">
        <v>546.1</v>
      </c>
      <c r="H1663" s="40">
        <v>5.1509999999999998</v>
      </c>
      <c r="I1663" s="13">
        <f t="shared" si="25"/>
        <v>4.7736124634858816</v>
      </c>
      <c r="J1663" s="20"/>
    </row>
    <row r="1664" spans="2:10">
      <c r="C1664" s="40">
        <v>2.5190000000000001</v>
      </c>
      <c r="D1664" s="34">
        <v>94.89</v>
      </c>
      <c r="E1664" s="23">
        <v>98.15</v>
      </c>
      <c r="F1664" s="23">
        <v>20.68</v>
      </c>
      <c r="G1664" s="23">
        <v>542.6</v>
      </c>
      <c r="H1664" s="40">
        <v>5.3310000000000004</v>
      </c>
      <c r="I1664" s="13">
        <f t="shared" si="25"/>
        <v>4.7461315280464218</v>
      </c>
      <c r="J1664" s="20"/>
    </row>
    <row r="1665" spans="3:10">
      <c r="C1665" s="40">
        <v>2.5310000000000001</v>
      </c>
      <c r="D1665" s="34">
        <v>82.75</v>
      </c>
      <c r="E1665" s="23">
        <v>98.3</v>
      </c>
      <c r="F1665" s="23">
        <v>20.99</v>
      </c>
      <c r="G1665" s="23">
        <v>544.29999999999995</v>
      </c>
      <c r="H1665" s="40">
        <v>5.2460000000000004</v>
      </c>
      <c r="I1665" s="13">
        <f t="shared" si="25"/>
        <v>4.6831824678418297</v>
      </c>
      <c r="J1665" s="20"/>
    </row>
    <row r="1666" spans="3:10">
      <c r="C1666" s="40">
        <v>2.5390000000000001</v>
      </c>
      <c r="D1666" s="34">
        <v>95.57</v>
      </c>
      <c r="E1666" s="23">
        <v>98.45</v>
      </c>
      <c r="F1666" s="23">
        <v>20.7</v>
      </c>
      <c r="G1666" s="23">
        <v>543.1</v>
      </c>
      <c r="H1666" s="40">
        <v>5.0590000000000002</v>
      </c>
      <c r="I1666" s="13">
        <f t="shared" si="25"/>
        <v>4.7560386473429954</v>
      </c>
      <c r="J1666" s="20"/>
    </row>
    <row r="1667" spans="3:10">
      <c r="C1667" s="40">
        <v>2.488</v>
      </c>
      <c r="D1667" s="34">
        <v>107.5</v>
      </c>
      <c r="E1667" s="23">
        <v>98.38</v>
      </c>
      <c r="F1667" s="23">
        <v>20.73</v>
      </c>
      <c r="G1667" s="23">
        <v>546.20000000000005</v>
      </c>
      <c r="H1667" s="40">
        <v>5.1509999999999998</v>
      </c>
      <c r="I1667" s="13">
        <f t="shared" ref="I1667:I1730" si="26">E1667/F1667</f>
        <v>4.7457790641582243</v>
      </c>
      <c r="J1667" s="20"/>
    </row>
    <row r="1668" spans="3:10">
      <c r="C1668" s="40">
        <v>2.4390000000000001</v>
      </c>
      <c r="D1668" s="34">
        <v>95.88</v>
      </c>
      <c r="E1668" s="23">
        <v>98.35</v>
      </c>
      <c r="F1668" s="23">
        <v>20.6</v>
      </c>
      <c r="G1668" s="23">
        <v>544.79999999999995</v>
      </c>
      <c r="H1668" s="40">
        <v>5.1260000000000003</v>
      </c>
      <c r="I1668" s="13">
        <f t="shared" si="26"/>
        <v>4.7742718446601939</v>
      </c>
      <c r="J1668" s="20"/>
    </row>
    <row r="1669" spans="3:10">
      <c r="C1669" s="40">
        <v>2.4470000000000001</v>
      </c>
      <c r="D1669" s="34">
        <v>96.71</v>
      </c>
      <c r="E1669" s="23">
        <v>98.48</v>
      </c>
      <c r="F1669" s="23">
        <v>20.23</v>
      </c>
      <c r="G1669" s="23">
        <v>544.20000000000005</v>
      </c>
      <c r="H1669" s="40">
        <v>5.1769999999999996</v>
      </c>
      <c r="I1669" s="13">
        <f t="shared" si="26"/>
        <v>4.8680177953534356</v>
      </c>
      <c r="J1669" s="20"/>
    </row>
    <row r="1670" spans="3:10">
      <c r="C1670" s="40">
        <v>2.4500000000000002</v>
      </c>
      <c r="D1670" s="34">
        <v>107.7</v>
      </c>
      <c r="E1670" s="23">
        <v>98.36</v>
      </c>
      <c r="F1670" s="23">
        <v>20.36</v>
      </c>
      <c r="G1670" s="23">
        <v>547.5</v>
      </c>
      <c r="H1670" s="40">
        <v>5.1189999999999998</v>
      </c>
      <c r="I1670" s="13">
        <f t="shared" si="26"/>
        <v>4.8310412573673869</v>
      </c>
      <c r="J1670" s="20"/>
    </row>
    <row r="1671" spans="3:10">
      <c r="C1671" s="40">
        <v>2.4449999999999998</v>
      </c>
      <c r="D1671" s="34">
        <v>120.1</v>
      </c>
      <c r="E1671" s="23">
        <v>98.38</v>
      </c>
      <c r="F1671" s="23">
        <v>20.71</v>
      </c>
      <c r="G1671" s="23">
        <v>551</v>
      </c>
      <c r="H1671" s="40">
        <v>4.8860000000000001</v>
      </c>
      <c r="I1671" s="13">
        <f t="shared" si="26"/>
        <v>4.7503621438918389</v>
      </c>
      <c r="J1671" s="20"/>
    </row>
    <row r="1672" spans="3:10">
      <c r="C1672" s="40">
        <v>2.4289999999999998</v>
      </c>
      <c r="D1672" s="34">
        <v>104.4</v>
      </c>
      <c r="E1672" s="23">
        <v>98.41</v>
      </c>
      <c r="F1672" s="23">
        <v>20.48</v>
      </c>
      <c r="G1672" s="23">
        <v>549.6</v>
      </c>
      <c r="H1672" s="40">
        <v>5.1050000000000004</v>
      </c>
      <c r="I1672" s="13">
        <f t="shared" si="26"/>
        <v>4.80517578125</v>
      </c>
      <c r="J1672" s="20"/>
    </row>
    <row r="1673" spans="3:10">
      <c r="C1673" s="40">
        <v>2.4020000000000001</v>
      </c>
      <c r="D1673" s="34">
        <v>96.58</v>
      </c>
      <c r="E1673" s="23">
        <v>98.53</v>
      </c>
      <c r="F1673" s="23">
        <v>20.58</v>
      </c>
      <c r="G1673" s="23">
        <v>545.4</v>
      </c>
      <c r="H1673" s="40">
        <v>5.2569999999999997</v>
      </c>
      <c r="I1673" s="13">
        <f t="shared" si="26"/>
        <v>4.7876579203109824</v>
      </c>
      <c r="J1673" s="20"/>
    </row>
    <row r="1674" spans="3:10">
      <c r="C1674" s="40">
        <v>2.3730000000000002</v>
      </c>
      <c r="D1674" s="34">
        <v>121.4</v>
      </c>
      <c r="E1674" s="23">
        <v>98.55</v>
      </c>
      <c r="F1674" s="23">
        <v>20.56</v>
      </c>
      <c r="G1674" s="23">
        <v>545.5</v>
      </c>
      <c r="H1674" s="40">
        <v>4.9889999999999999</v>
      </c>
      <c r="I1674" s="13">
        <f t="shared" si="26"/>
        <v>4.793287937743191</v>
      </c>
      <c r="J1674" s="20"/>
    </row>
    <row r="1675" spans="3:10">
      <c r="C1675" s="40">
        <v>2.4209999999999998</v>
      </c>
      <c r="D1675" s="34">
        <v>96.58</v>
      </c>
      <c r="E1675" s="23">
        <v>98.28</v>
      </c>
      <c r="F1675" s="23">
        <v>20.13</v>
      </c>
      <c r="G1675" s="23">
        <v>542.4</v>
      </c>
      <c r="H1675" s="40">
        <v>4.7279999999999998</v>
      </c>
      <c r="I1675" s="13">
        <f t="shared" si="26"/>
        <v>4.8822652757078986</v>
      </c>
      <c r="J1675" s="20"/>
    </row>
    <row r="1676" spans="3:10">
      <c r="C1676" s="40">
        <v>2.5059999999999998</v>
      </c>
      <c r="D1676" s="34">
        <v>94.66</v>
      </c>
      <c r="E1676" s="23">
        <v>98.18</v>
      </c>
      <c r="F1676" s="23">
        <v>20.25</v>
      </c>
      <c r="G1676" s="23">
        <v>545.70000000000005</v>
      </c>
      <c r="H1676" s="40">
        <v>4.8170000000000002</v>
      </c>
      <c r="I1676" s="13">
        <f t="shared" si="26"/>
        <v>4.8483950617283957</v>
      </c>
      <c r="J1676" s="20"/>
    </row>
    <row r="1677" spans="3:10">
      <c r="C1677" s="40">
        <v>2.5259999999999998</v>
      </c>
      <c r="D1677" s="34">
        <v>96.71</v>
      </c>
      <c r="E1677" s="23">
        <v>98.2</v>
      </c>
      <c r="F1677" s="23">
        <v>20.43</v>
      </c>
      <c r="G1677" s="23">
        <v>547.1</v>
      </c>
      <c r="H1677" s="40">
        <v>4.8949999999999996</v>
      </c>
      <c r="I1677" s="13">
        <f t="shared" si="26"/>
        <v>4.8066568771414593</v>
      </c>
      <c r="J1677" s="20"/>
    </row>
    <row r="1678" spans="3:10">
      <c r="C1678" s="40">
        <v>2.5379999999999998</v>
      </c>
      <c r="D1678" s="34">
        <v>87.69</v>
      </c>
      <c r="E1678" s="23">
        <v>98.33</v>
      </c>
      <c r="F1678" s="23">
        <v>20.64</v>
      </c>
      <c r="G1678" s="23">
        <v>546.29999999999995</v>
      </c>
      <c r="H1678" s="40">
        <v>5.2110000000000003</v>
      </c>
      <c r="I1678" s="13">
        <f t="shared" si="26"/>
        <v>4.7640503875968987</v>
      </c>
      <c r="J1678" s="20"/>
    </row>
    <row r="1679" spans="3:10">
      <c r="C1679" s="40">
        <v>2.5419999999999998</v>
      </c>
      <c r="D1679" s="34">
        <v>87.29</v>
      </c>
      <c r="E1679" s="23">
        <v>98.81</v>
      </c>
      <c r="F1679" s="23">
        <v>20.79</v>
      </c>
      <c r="G1679" s="23">
        <v>548.4</v>
      </c>
      <c r="H1679" s="40">
        <v>5.03</v>
      </c>
      <c r="I1679" s="13">
        <f t="shared" si="26"/>
        <v>4.752765752765753</v>
      </c>
      <c r="J1679" s="20"/>
    </row>
    <row r="1680" spans="3:10">
      <c r="C1680" s="40">
        <v>2.5659999999999998</v>
      </c>
      <c r="D1680" s="34">
        <v>75.66</v>
      </c>
      <c r="E1680" s="23">
        <v>98.86</v>
      </c>
      <c r="F1680" s="23">
        <v>20.94</v>
      </c>
      <c r="G1680" s="23">
        <v>546.4</v>
      </c>
      <c r="H1680" s="40">
        <v>5.1189999999999998</v>
      </c>
      <c r="I1680" s="13">
        <f t="shared" si="26"/>
        <v>4.7211079274116523</v>
      </c>
      <c r="J1680" s="20"/>
    </row>
    <row r="1681" spans="2:10">
      <c r="C1681" s="40">
        <v>2.5089999999999999</v>
      </c>
      <c r="D1681" s="34">
        <v>94.89</v>
      </c>
      <c r="E1681" s="23">
        <v>98.88</v>
      </c>
      <c r="F1681" s="23">
        <v>20.83</v>
      </c>
      <c r="G1681" s="23">
        <v>544.6</v>
      </c>
      <c r="H1681" s="40">
        <v>4.9939999999999998</v>
      </c>
      <c r="I1681" s="13">
        <f t="shared" si="26"/>
        <v>4.7469995199231878</v>
      </c>
      <c r="J1681" s="20"/>
    </row>
    <row r="1682" spans="2:10">
      <c r="B1682" s="47">
        <v>85</v>
      </c>
      <c r="C1682" s="39">
        <v>2.262</v>
      </c>
      <c r="D1682" s="37">
        <v>119.2</v>
      </c>
      <c r="E1682" s="38">
        <v>111.4</v>
      </c>
      <c r="F1682" s="38">
        <v>31.91</v>
      </c>
      <c r="G1682" s="38">
        <v>538.5</v>
      </c>
      <c r="H1682" s="39">
        <v>3.64</v>
      </c>
      <c r="I1682" s="13">
        <f t="shared" si="26"/>
        <v>3.4910686305233471</v>
      </c>
      <c r="J1682" s="20"/>
    </row>
    <row r="1683" spans="2:10">
      <c r="C1683" s="40">
        <v>2.246</v>
      </c>
      <c r="D1683" s="34">
        <v>89.3</v>
      </c>
      <c r="E1683" s="23">
        <v>111</v>
      </c>
      <c r="F1683" s="23">
        <v>32.200000000000003</v>
      </c>
      <c r="G1683" s="23">
        <v>535.6</v>
      </c>
      <c r="H1683" s="40">
        <v>3.66</v>
      </c>
      <c r="I1683" s="13">
        <f t="shared" si="26"/>
        <v>3.4472049689440989</v>
      </c>
      <c r="J1683" s="20"/>
    </row>
    <row r="1684" spans="2:10">
      <c r="C1684" s="40">
        <v>2.1880000000000002</v>
      </c>
      <c r="D1684" s="34">
        <v>94.47</v>
      </c>
      <c r="E1684" s="23">
        <v>111</v>
      </c>
      <c r="F1684" s="23">
        <v>31.75</v>
      </c>
      <c r="G1684" s="23">
        <v>532.9</v>
      </c>
      <c r="H1684" s="40">
        <v>3.76</v>
      </c>
      <c r="I1684" s="13">
        <f t="shared" si="26"/>
        <v>3.4960629921259843</v>
      </c>
      <c r="J1684" s="20"/>
    </row>
    <row r="1685" spans="2:10">
      <c r="C1685" s="40">
        <v>2.1680000000000001</v>
      </c>
      <c r="D1685" s="34">
        <v>80.900000000000006</v>
      </c>
      <c r="E1685" s="23">
        <v>110.4</v>
      </c>
      <c r="F1685" s="23">
        <v>31.46</v>
      </c>
      <c r="G1685" s="23">
        <v>531.5</v>
      </c>
      <c r="H1685" s="40">
        <v>3.55</v>
      </c>
      <c r="I1685" s="13">
        <f t="shared" si="26"/>
        <v>3.5092180546726004</v>
      </c>
      <c r="J1685" s="20"/>
    </row>
    <row r="1686" spans="2:10">
      <c r="C1686" s="40">
        <v>2.1070000000000002</v>
      </c>
      <c r="D1686" s="34">
        <v>78.95</v>
      </c>
      <c r="E1686" s="23">
        <v>110.5</v>
      </c>
      <c r="F1686" s="23">
        <v>31.52</v>
      </c>
      <c r="G1686" s="23">
        <v>532.9</v>
      </c>
      <c r="H1686" s="40">
        <v>3.64</v>
      </c>
      <c r="I1686" s="13">
        <f t="shared" si="26"/>
        <v>3.5057106598984773</v>
      </c>
      <c r="J1686" s="20"/>
    </row>
    <row r="1687" spans="2:10">
      <c r="C1687" s="40">
        <v>2.081</v>
      </c>
      <c r="D1687" s="34">
        <v>78.86</v>
      </c>
      <c r="E1687" s="23">
        <v>110.7</v>
      </c>
      <c r="F1687" s="23">
        <v>31.55</v>
      </c>
      <c r="G1687" s="23">
        <v>537.70000000000005</v>
      </c>
      <c r="H1687" s="40">
        <v>3.68</v>
      </c>
      <c r="I1687" s="13">
        <f t="shared" si="26"/>
        <v>3.5087163232963552</v>
      </c>
      <c r="J1687" s="20"/>
    </row>
    <row r="1688" spans="2:10">
      <c r="C1688" s="40">
        <v>2.1970000000000001</v>
      </c>
      <c r="D1688" s="34">
        <v>69.78</v>
      </c>
      <c r="E1688" s="23">
        <v>110.5</v>
      </c>
      <c r="F1688" s="23">
        <v>31.97</v>
      </c>
      <c r="G1688" s="23">
        <v>538.5</v>
      </c>
      <c r="H1688" s="40">
        <v>3.67</v>
      </c>
      <c r="I1688" s="13">
        <f t="shared" si="26"/>
        <v>3.4563653425086018</v>
      </c>
      <c r="J1688" s="20"/>
    </row>
    <row r="1689" spans="2:10">
      <c r="C1689" s="40">
        <v>2.2719999999999998</v>
      </c>
      <c r="D1689" s="34">
        <v>72.7</v>
      </c>
      <c r="E1689" s="23">
        <v>110.4</v>
      </c>
      <c r="F1689" s="23">
        <v>32.119999999999997</v>
      </c>
      <c r="G1689" s="23">
        <v>536.6</v>
      </c>
      <c r="H1689" s="40">
        <v>3.57</v>
      </c>
      <c r="I1689" s="13">
        <f t="shared" si="26"/>
        <v>3.4371108343711088</v>
      </c>
      <c r="J1689" s="20"/>
    </row>
    <row r="1690" spans="2:10">
      <c r="C1690" s="40">
        <v>2.2749999999999999</v>
      </c>
      <c r="D1690" s="34">
        <v>72.650000000000006</v>
      </c>
      <c r="E1690" s="23">
        <v>110</v>
      </c>
      <c r="F1690" s="23">
        <v>32.15</v>
      </c>
      <c r="G1690" s="23">
        <v>533.79999999999995</v>
      </c>
      <c r="H1690" s="40">
        <v>3.58</v>
      </c>
      <c r="I1690" s="13">
        <f t="shared" si="26"/>
        <v>3.421461897356143</v>
      </c>
      <c r="J1690" s="20"/>
    </row>
    <row r="1691" spans="2:10">
      <c r="C1691" s="40">
        <v>2.2599999999999998</v>
      </c>
      <c r="D1691" s="34">
        <v>76.66</v>
      </c>
      <c r="E1691" s="23">
        <v>110.2</v>
      </c>
      <c r="F1691" s="23">
        <v>31.9</v>
      </c>
      <c r="G1691" s="23">
        <v>535</v>
      </c>
      <c r="H1691" s="40">
        <v>3.54</v>
      </c>
      <c r="I1691" s="13">
        <f t="shared" si="26"/>
        <v>3.4545454545454546</v>
      </c>
      <c r="J1691" s="20"/>
    </row>
    <row r="1692" spans="2:10">
      <c r="C1692" s="40">
        <v>2.2690000000000001</v>
      </c>
      <c r="D1692" s="34">
        <v>85.61</v>
      </c>
      <c r="E1692" s="23">
        <v>110.5</v>
      </c>
      <c r="F1692" s="23">
        <v>31.6</v>
      </c>
      <c r="G1692" s="23">
        <v>531.9</v>
      </c>
      <c r="H1692" s="40">
        <v>3.56</v>
      </c>
      <c r="I1692" s="13">
        <f t="shared" si="26"/>
        <v>3.4968354430379747</v>
      </c>
      <c r="J1692" s="20"/>
    </row>
    <row r="1693" spans="2:10">
      <c r="C1693" s="40">
        <v>2.2269999999999999</v>
      </c>
      <c r="D1693" s="34">
        <v>77.7</v>
      </c>
      <c r="E1693" s="23">
        <v>109.7</v>
      </c>
      <c r="F1693" s="23">
        <v>31.66</v>
      </c>
      <c r="G1693" s="23">
        <v>531.79999999999995</v>
      </c>
      <c r="H1693" s="40">
        <v>3.64</v>
      </c>
      <c r="I1693" s="13">
        <f t="shared" si="26"/>
        <v>3.4649399873657614</v>
      </c>
      <c r="J1693" s="20"/>
    </row>
    <row r="1694" spans="2:10">
      <c r="C1694" s="40">
        <v>2.2530000000000001</v>
      </c>
      <c r="D1694" s="34">
        <v>95.47</v>
      </c>
      <c r="E1694" s="23">
        <v>110</v>
      </c>
      <c r="F1694" s="23">
        <v>31.78</v>
      </c>
      <c r="G1694" s="23">
        <v>531.6</v>
      </c>
      <c r="H1694" s="40">
        <v>3.65</v>
      </c>
      <c r="I1694" s="13">
        <f t="shared" si="26"/>
        <v>3.4612964128382631</v>
      </c>
      <c r="J1694" s="20"/>
    </row>
    <row r="1695" spans="2:10">
      <c r="C1695" s="40">
        <v>2.2599999999999998</v>
      </c>
      <c r="D1695" s="34">
        <v>96.95</v>
      </c>
      <c r="E1695" s="23">
        <v>110.2</v>
      </c>
      <c r="F1695" s="23">
        <v>31.9</v>
      </c>
      <c r="G1695" s="23">
        <v>532.1</v>
      </c>
      <c r="H1695" s="40">
        <v>3.58</v>
      </c>
      <c r="I1695" s="13">
        <f t="shared" si="26"/>
        <v>3.4545454545454546</v>
      </c>
      <c r="J1695" s="20"/>
    </row>
    <row r="1696" spans="2:10">
      <c r="C1696" s="40">
        <v>2.282</v>
      </c>
      <c r="D1696" s="34">
        <v>97.65</v>
      </c>
      <c r="E1696" s="23">
        <v>110.3</v>
      </c>
      <c r="F1696" s="23">
        <v>32.03</v>
      </c>
      <c r="G1696" s="23">
        <v>535.1</v>
      </c>
      <c r="H1696" s="40">
        <v>3.56</v>
      </c>
      <c r="I1696" s="13">
        <f t="shared" si="26"/>
        <v>3.443646581330003</v>
      </c>
      <c r="J1696" s="20"/>
    </row>
    <row r="1697" spans="2:10">
      <c r="C1697" s="40">
        <v>2.2749999999999999</v>
      </c>
      <c r="D1697" s="34">
        <v>101.1</v>
      </c>
      <c r="E1697" s="23">
        <v>110.5</v>
      </c>
      <c r="F1697" s="23">
        <v>31.73</v>
      </c>
      <c r="G1697" s="23">
        <v>537.70000000000005</v>
      </c>
      <c r="H1697" s="40">
        <v>3.54</v>
      </c>
      <c r="I1697" s="13">
        <f t="shared" si="26"/>
        <v>3.4825086668767726</v>
      </c>
      <c r="J1697" s="20"/>
    </row>
    <row r="1698" spans="2:10">
      <c r="C1698" s="40">
        <v>2.2669999999999999</v>
      </c>
      <c r="D1698" s="34">
        <v>108.3</v>
      </c>
      <c r="E1698" s="23">
        <v>110.5</v>
      </c>
      <c r="F1698" s="23">
        <v>31.89</v>
      </c>
      <c r="G1698" s="23">
        <v>535.1</v>
      </c>
      <c r="H1698" s="40">
        <v>3.55</v>
      </c>
      <c r="I1698" s="13">
        <f t="shared" si="26"/>
        <v>3.465036061461273</v>
      </c>
      <c r="J1698" s="20"/>
    </row>
    <row r="1699" spans="2:10">
      <c r="C1699" s="40">
        <v>2.25</v>
      </c>
      <c r="D1699" s="34">
        <v>112.8</v>
      </c>
      <c r="E1699" s="23">
        <v>110.8</v>
      </c>
      <c r="F1699" s="23">
        <v>32.130000000000003</v>
      </c>
      <c r="G1699" s="23">
        <v>538.9</v>
      </c>
      <c r="H1699" s="40">
        <v>3.57</v>
      </c>
      <c r="I1699" s="13">
        <f t="shared" si="26"/>
        <v>3.4484905073140362</v>
      </c>
      <c r="J1699" s="20"/>
    </row>
    <row r="1700" spans="2:10">
      <c r="C1700" s="40">
        <v>2.258</v>
      </c>
      <c r="D1700" s="34">
        <v>95.33</v>
      </c>
      <c r="E1700" s="23">
        <v>110.7</v>
      </c>
      <c r="F1700" s="23">
        <v>32.200000000000003</v>
      </c>
      <c r="G1700" s="23">
        <v>541</v>
      </c>
      <c r="H1700" s="40">
        <v>3.59</v>
      </c>
      <c r="I1700" s="13">
        <f t="shared" si="26"/>
        <v>3.4378881987577636</v>
      </c>
      <c r="J1700" s="20"/>
    </row>
    <row r="1701" spans="2:10">
      <c r="C1701" s="40">
        <v>2.2290000000000001</v>
      </c>
      <c r="D1701" s="34">
        <v>90.6</v>
      </c>
      <c r="E1701" s="23">
        <v>110.9</v>
      </c>
      <c r="F1701" s="23">
        <v>32.090000000000003</v>
      </c>
      <c r="G1701" s="23">
        <v>540.29999999999995</v>
      </c>
      <c r="H1701" s="40">
        <v>3.66</v>
      </c>
      <c r="I1701" s="13">
        <f t="shared" si="26"/>
        <v>3.4559052664381427</v>
      </c>
      <c r="J1701" s="20"/>
    </row>
    <row r="1702" spans="2:10">
      <c r="B1702" s="47">
        <v>86</v>
      </c>
      <c r="C1702" s="39">
        <v>2.665</v>
      </c>
      <c r="D1702" s="37">
        <v>70.69</v>
      </c>
      <c r="E1702" s="38">
        <v>120.7</v>
      </c>
      <c r="F1702" s="38">
        <v>26.76</v>
      </c>
      <c r="G1702" s="38">
        <v>552.5</v>
      </c>
      <c r="H1702" s="39">
        <v>5.03</v>
      </c>
      <c r="I1702" s="13">
        <f t="shared" si="26"/>
        <v>4.5104633781763823</v>
      </c>
      <c r="J1702" s="20"/>
    </row>
    <row r="1703" spans="2:10">
      <c r="C1703" s="40">
        <v>2.6640000000000001</v>
      </c>
      <c r="D1703" s="34">
        <v>80.13</v>
      </c>
      <c r="E1703" s="23">
        <v>120.8</v>
      </c>
      <c r="F1703" s="23">
        <v>26.54</v>
      </c>
      <c r="G1703" s="23">
        <v>552.1</v>
      </c>
      <c r="H1703" s="40">
        <v>5.15</v>
      </c>
      <c r="I1703" s="13">
        <f t="shared" si="26"/>
        <v>4.5516201959306706</v>
      </c>
      <c r="J1703" s="20"/>
    </row>
    <row r="1704" spans="2:10">
      <c r="C1704" s="40">
        <v>2.6789999999999998</v>
      </c>
      <c r="D1704" s="34">
        <v>83.17</v>
      </c>
      <c r="E1704" s="23">
        <v>120.9</v>
      </c>
      <c r="F1704" s="23">
        <v>26.4</v>
      </c>
      <c r="G1704" s="23">
        <v>559.1</v>
      </c>
      <c r="H1704" s="40">
        <v>5.16</v>
      </c>
      <c r="I1704" s="13">
        <f t="shared" si="26"/>
        <v>4.579545454545455</v>
      </c>
      <c r="J1704" s="20"/>
    </row>
    <row r="1705" spans="2:10">
      <c r="C1705" s="40">
        <v>2.7149999999999999</v>
      </c>
      <c r="D1705" s="34">
        <v>85.51</v>
      </c>
      <c r="E1705" s="23">
        <v>120.5</v>
      </c>
      <c r="F1705" s="23">
        <v>26.57</v>
      </c>
      <c r="G1705" s="23">
        <v>555.9</v>
      </c>
      <c r="H1705" s="40">
        <v>5.09</v>
      </c>
      <c r="I1705" s="13">
        <f t="shared" si="26"/>
        <v>4.5351900639819345</v>
      </c>
      <c r="J1705" s="20"/>
    </row>
    <row r="1706" spans="2:10">
      <c r="C1706" s="40">
        <v>2.7240000000000002</v>
      </c>
      <c r="D1706" s="34">
        <v>100.8</v>
      </c>
      <c r="E1706" s="23">
        <v>120.7</v>
      </c>
      <c r="F1706" s="23">
        <v>26.02</v>
      </c>
      <c r="G1706" s="23">
        <v>557.20000000000005</v>
      </c>
      <c r="H1706" s="40">
        <v>5.07</v>
      </c>
      <c r="I1706" s="13">
        <f t="shared" si="26"/>
        <v>4.6387394312067638</v>
      </c>
      <c r="J1706" s="20"/>
    </row>
    <row r="1707" spans="2:10">
      <c r="C1707" s="40">
        <v>2.6829999999999998</v>
      </c>
      <c r="D1707" s="34">
        <v>91.91</v>
      </c>
      <c r="E1707" s="23">
        <v>121.1</v>
      </c>
      <c r="F1707" s="23">
        <v>26.46</v>
      </c>
      <c r="G1707" s="23">
        <v>558.4</v>
      </c>
      <c r="H1707" s="40">
        <v>4.9400000000000004</v>
      </c>
      <c r="I1707" s="13">
        <f t="shared" si="26"/>
        <v>4.5767195767195767</v>
      </c>
      <c r="J1707" s="20"/>
    </row>
    <row r="1708" spans="2:10">
      <c r="C1708" s="40">
        <v>2.6789999999999998</v>
      </c>
      <c r="D1708" s="34">
        <v>70.45</v>
      </c>
      <c r="E1708" s="23">
        <v>121.3</v>
      </c>
      <c r="F1708" s="23">
        <v>26.37</v>
      </c>
      <c r="G1708" s="23">
        <v>557.1</v>
      </c>
      <c r="H1708" s="40">
        <v>4.93</v>
      </c>
      <c r="I1708" s="13">
        <f t="shared" si="26"/>
        <v>4.5999241562381492</v>
      </c>
      <c r="J1708" s="20"/>
    </row>
    <row r="1709" spans="2:10">
      <c r="C1709" s="40">
        <v>2.7080000000000002</v>
      </c>
      <c r="D1709" s="34">
        <v>76.91</v>
      </c>
      <c r="E1709" s="23">
        <v>120.7</v>
      </c>
      <c r="F1709" s="23">
        <v>26.28</v>
      </c>
      <c r="G1709" s="23">
        <v>557.5</v>
      </c>
      <c r="H1709" s="40">
        <v>4.8099999999999996</v>
      </c>
      <c r="I1709" s="13">
        <f t="shared" si="26"/>
        <v>4.5928462709284625</v>
      </c>
      <c r="J1709" s="20"/>
    </row>
    <row r="1710" spans="2:10">
      <c r="C1710" s="40">
        <v>2.73</v>
      </c>
      <c r="D1710" s="34">
        <v>84.51</v>
      </c>
      <c r="E1710" s="23">
        <v>120.4</v>
      </c>
      <c r="F1710" s="23">
        <v>26.09</v>
      </c>
      <c r="G1710" s="23">
        <v>557</v>
      </c>
      <c r="H1710" s="40">
        <v>4.83</v>
      </c>
      <c r="I1710" s="13">
        <f t="shared" si="26"/>
        <v>4.6147949405902651</v>
      </c>
      <c r="J1710" s="20"/>
    </row>
    <row r="1711" spans="2:10">
      <c r="C1711" s="40">
        <v>2.734</v>
      </c>
      <c r="D1711" s="34">
        <v>85.51</v>
      </c>
      <c r="E1711" s="23">
        <v>120.2</v>
      </c>
      <c r="F1711" s="23">
        <v>26.22</v>
      </c>
      <c r="G1711" s="23">
        <v>555.4</v>
      </c>
      <c r="H1711" s="40">
        <v>4.96</v>
      </c>
      <c r="I1711" s="13">
        <f t="shared" si="26"/>
        <v>4.584286803966438</v>
      </c>
      <c r="J1711" s="20"/>
    </row>
    <row r="1712" spans="2:10">
      <c r="C1712" s="40">
        <v>2.714</v>
      </c>
      <c r="D1712" s="34">
        <v>87.55</v>
      </c>
      <c r="E1712" s="23">
        <v>120.6</v>
      </c>
      <c r="F1712" s="23">
        <v>26</v>
      </c>
      <c r="G1712" s="23">
        <v>556.4</v>
      </c>
      <c r="H1712" s="40">
        <v>4.766</v>
      </c>
      <c r="I1712" s="13">
        <f t="shared" si="26"/>
        <v>4.638461538461538</v>
      </c>
      <c r="J1712" s="20"/>
    </row>
    <row r="1713" spans="2:10">
      <c r="C1713" s="40">
        <v>2.7149999999999999</v>
      </c>
      <c r="D1713" s="34">
        <v>94.59</v>
      </c>
      <c r="E1713" s="23">
        <v>120.8</v>
      </c>
      <c r="F1713" s="23">
        <v>26.39</v>
      </c>
      <c r="G1713" s="23">
        <v>559.70000000000005</v>
      </c>
      <c r="H1713" s="40">
        <v>4.7149999999999999</v>
      </c>
      <c r="I1713" s="13">
        <f t="shared" si="26"/>
        <v>4.5774914740431978</v>
      </c>
      <c r="J1713" s="20"/>
    </row>
    <row r="1714" spans="2:10">
      <c r="C1714" s="40">
        <v>2.706</v>
      </c>
      <c r="D1714" s="34">
        <v>71.739999999999995</v>
      </c>
      <c r="E1714" s="23">
        <v>121</v>
      </c>
      <c r="F1714" s="23">
        <v>26.54</v>
      </c>
      <c r="G1714" s="23">
        <v>556.20000000000005</v>
      </c>
      <c r="H1714" s="40">
        <v>4.6319999999999997</v>
      </c>
      <c r="I1714" s="13">
        <f t="shared" si="26"/>
        <v>4.5591559909570458</v>
      </c>
      <c r="J1714" s="20"/>
    </row>
    <row r="1715" spans="2:10">
      <c r="C1715" s="40">
        <v>2.7040000000000002</v>
      </c>
      <c r="D1715" s="34">
        <v>79.56</v>
      </c>
      <c r="E1715" s="23">
        <v>120.5</v>
      </c>
      <c r="F1715" s="23">
        <v>26.73</v>
      </c>
      <c r="G1715" s="23">
        <v>555.5</v>
      </c>
      <c r="H1715" s="40">
        <v>4.7539999999999996</v>
      </c>
      <c r="I1715" s="13">
        <f t="shared" si="26"/>
        <v>4.508043396932286</v>
      </c>
      <c r="J1715" s="20"/>
    </row>
    <row r="1716" spans="2:10">
      <c r="C1716" s="40">
        <v>2.73</v>
      </c>
      <c r="D1716" s="34">
        <v>100.5</v>
      </c>
      <c r="E1716" s="23">
        <v>120.8</v>
      </c>
      <c r="F1716" s="23">
        <v>26.63</v>
      </c>
      <c r="G1716" s="23">
        <v>555.4</v>
      </c>
      <c r="H1716" s="40">
        <v>4.7649999999999997</v>
      </c>
      <c r="I1716" s="13">
        <f t="shared" si="26"/>
        <v>4.536237326323695</v>
      </c>
      <c r="J1716" s="20"/>
    </row>
    <row r="1717" spans="2:10">
      <c r="C1717" s="40">
        <v>2.7080000000000002</v>
      </c>
      <c r="D1717" s="34">
        <v>89.52</v>
      </c>
      <c r="E1717" s="23">
        <v>121.1</v>
      </c>
      <c r="F1717" s="23">
        <v>26.33</v>
      </c>
      <c r="G1717" s="23">
        <v>552.5</v>
      </c>
      <c r="H1717" s="40">
        <v>4.5199999999999996</v>
      </c>
      <c r="I1717" s="13">
        <f t="shared" si="26"/>
        <v>4.5993163691606531</v>
      </c>
      <c r="J1717" s="20"/>
    </row>
    <row r="1718" spans="2:10">
      <c r="C1718" s="40">
        <v>2.7250000000000001</v>
      </c>
      <c r="D1718" s="34">
        <v>69.989999999999995</v>
      </c>
      <c r="E1718" s="23">
        <v>121.3</v>
      </c>
      <c r="F1718" s="23">
        <v>26.43</v>
      </c>
      <c r="G1718" s="23">
        <v>554.70000000000005</v>
      </c>
      <c r="H1718" s="40">
        <v>4.1210000000000004</v>
      </c>
      <c r="I1718" s="13">
        <f t="shared" si="26"/>
        <v>4.5894816496405602</v>
      </c>
      <c r="J1718" s="20"/>
    </row>
    <row r="1719" spans="2:10">
      <c r="C1719" s="40">
        <v>2.738</v>
      </c>
      <c r="D1719" s="34">
        <v>95.32</v>
      </c>
      <c r="E1719" s="23">
        <v>121.2</v>
      </c>
      <c r="F1719" s="23">
        <v>26.46</v>
      </c>
      <c r="G1719" s="23">
        <v>558.20000000000005</v>
      </c>
      <c r="H1719" s="40">
        <v>3.6989999999999998</v>
      </c>
      <c r="I1719" s="13">
        <f t="shared" si="26"/>
        <v>4.5804988662131523</v>
      </c>
      <c r="J1719" s="20"/>
    </row>
    <row r="1720" spans="2:10">
      <c r="C1720" s="40">
        <v>2.742</v>
      </c>
      <c r="D1720" s="34">
        <v>91.31</v>
      </c>
      <c r="E1720" s="23">
        <v>121.1</v>
      </c>
      <c r="F1720" s="23">
        <v>26.95</v>
      </c>
      <c r="G1720" s="23">
        <v>557.20000000000005</v>
      </c>
      <c r="H1720" s="40">
        <v>4.7249999999999996</v>
      </c>
      <c r="I1720" s="13">
        <f t="shared" si="26"/>
        <v>4.4935064935064934</v>
      </c>
      <c r="J1720" s="20"/>
    </row>
    <row r="1721" spans="2:10">
      <c r="C1721" s="40">
        <v>2.7410000000000001</v>
      </c>
      <c r="D1721" s="34">
        <v>99.16</v>
      </c>
      <c r="E1721" s="23">
        <v>121</v>
      </c>
      <c r="F1721" s="23">
        <v>26.81</v>
      </c>
      <c r="G1721" s="23">
        <v>551</v>
      </c>
      <c r="H1721" s="40">
        <v>4.6319999999999997</v>
      </c>
      <c r="I1721" s="13">
        <f t="shared" si="26"/>
        <v>4.5132413278627377</v>
      </c>
      <c r="J1721" s="20"/>
    </row>
    <row r="1722" spans="2:10">
      <c r="B1722" s="47">
        <v>87</v>
      </c>
      <c r="C1722" s="39">
        <v>2.2160000000000002</v>
      </c>
      <c r="D1722" s="37">
        <v>153.9</v>
      </c>
      <c r="E1722" s="38">
        <v>89.99</v>
      </c>
      <c r="F1722" s="38">
        <v>27.91</v>
      </c>
      <c r="G1722" s="38">
        <v>553.6</v>
      </c>
      <c r="H1722" s="39">
        <v>4.01</v>
      </c>
      <c r="I1722" s="13">
        <f t="shared" si="26"/>
        <v>3.2242923683267644</v>
      </c>
      <c r="J1722" s="20"/>
    </row>
    <row r="1723" spans="2:10">
      <c r="C1723" s="40">
        <v>2.2839999999999998</v>
      </c>
      <c r="D1723" s="34">
        <v>178.3</v>
      </c>
      <c r="E1723" s="23">
        <v>90.36</v>
      </c>
      <c r="F1723" s="23">
        <v>27.72</v>
      </c>
      <c r="G1723" s="23">
        <v>554.70000000000005</v>
      </c>
      <c r="H1723" s="40">
        <v>4.258</v>
      </c>
      <c r="I1723" s="13">
        <f t="shared" si="26"/>
        <v>3.2597402597402598</v>
      </c>
      <c r="J1723" s="20"/>
    </row>
    <row r="1724" spans="2:10">
      <c r="C1724" s="40">
        <v>2.2770000000000001</v>
      </c>
      <c r="D1724" s="34">
        <v>176.2</v>
      </c>
      <c r="E1724" s="23">
        <v>90.55</v>
      </c>
      <c r="F1724" s="23">
        <v>27.9</v>
      </c>
      <c r="G1724" s="23">
        <v>554.5</v>
      </c>
      <c r="H1724" s="40">
        <v>4.2770000000000001</v>
      </c>
      <c r="I1724" s="13">
        <f t="shared" si="26"/>
        <v>3.2455197132616487</v>
      </c>
      <c r="J1724" s="20"/>
    </row>
    <row r="1725" spans="2:10">
      <c r="C1725" s="40">
        <v>2.319</v>
      </c>
      <c r="D1725" s="34">
        <v>175.3</v>
      </c>
      <c r="E1725" s="23">
        <v>90.74</v>
      </c>
      <c r="F1725" s="23">
        <v>28.09</v>
      </c>
      <c r="G1725" s="23">
        <v>552.5</v>
      </c>
      <c r="H1725" s="40">
        <v>4.609</v>
      </c>
      <c r="I1725" s="13">
        <f t="shared" si="26"/>
        <v>3.2303310786756851</v>
      </c>
      <c r="J1725" s="20"/>
    </row>
    <row r="1726" spans="2:10">
      <c r="C1726" s="40">
        <v>2.3340000000000001</v>
      </c>
      <c r="D1726" s="34">
        <v>161.80000000000001</v>
      </c>
      <c r="E1726" s="23">
        <v>90.77</v>
      </c>
      <c r="F1726" s="23">
        <v>27.32</v>
      </c>
      <c r="G1726" s="23">
        <v>554.29999999999995</v>
      </c>
      <c r="H1726" s="40">
        <v>4.8460000000000001</v>
      </c>
      <c r="I1726" s="13">
        <f t="shared" si="26"/>
        <v>3.3224743777452415</v>
      </c>
      <c r="J1726" s="20"/>
    </row>
    <row r="1727" spans="2:10">
      <c r="C1727" s="40">
        <v>2.3410000000000002</v>
      </c>
      <c r="D1727" s="34">
        <v>180.9</v>
      </c>
      <c r="E1727" s="23">
        <v>91.15</v>
      </c>
      <c r="F1727" s="23">
        <v>27.54</v>
      </c>
      <c r="G1727" s="23">
        <v>554.4</v>
      </c>
      <c r="H1727" s="40">
        <v>4.923</v>
      </c>
      <c r="I1727" s="13">
        <f t="shared" si="26"/>
        <v>3.3097312999273787</v>
      </c>
      <c r="J1727" s="20"/>
    </row>
    <row r="1728" spans="2:10">
      <c r="C1728" s="40">
        <v>2.3439999999999999</v>
      </c>
      <c r="D1728" s="34">
        <v>176.1</v>
      </c>
      <c r="E1728" s="23">
        <v>91.13</v>
      </c>
      <c r="F1728" s="23">
        <v>27.9</v>
      </c>
      <c r="G1728" s="23">
        <v>554.9</v>
      </c>
      <c r="H1728" s="40">
        <v>4.2969999999999997</v>
      </c>
      <c r="I1728" s="13">
        <f t="shared" si="26"/>
        <v>3.2663082437275985</v>
      </c>
      <c r="J1728" s="20"/>
    </row>
    <row r="1729" spans="2:10">
      <c r="C1729" s="40">
        <v>2.294</v>
      </c>
      <c r="D1729" s="34">
        <v>175.7</v>
      </c>
      <c r="E1729" s="23">
        <v>90.36</v>
      </c>
      <c r="F1729" s="23">
        <v>27.36</v>
      </c>
      <c r="G1729" s="23">
        <v>560.9</v>
      </c>
      <c r="H1729" s="40">
        <v>4.2629999999999999</v>
      </c>
      <c r="I1729" s="13">
        <f t="shared" si="26"/>
        <v>3.3026315789473686</v>
      </c>
      <c r="J1729" s="20"/>
    </row>
    <row r="1730" spans="2:10">
      <c r="C1730" s="40">
        <v>2.2690000000000001</v>
      </c>
      <c r="D1730" s="34">
        <v>167.4</v>
      </c>
      <c r="E1730" s="23">
        <v>90.55</v>
      </c>
      <c r="F1730" s="23">
        <v>27.18</v>
      </c>
      <c r="G1730" s="23">
        <v>561.4</v>
      </c>
      <c r="H1730" s="40">
        <v>4.1139999999999999</v>
      </c>
      <c r="I1730" s="13">
        <f t="shared" si="26"/>
        <v>3.3314937454010303</v>
      </c>
      <c r="J1730" s="20"/>
    </row>
    <row r="1731" spans="2:10">
      <c r="C1731" s="40">
        <v>2.2429999999999999</v>
      </c>
      <c r="D1731" s="34">
        <v>150.80000000000001</v>
      </c>
      <c r="E1731" s="23">
        <v>91.12</v>
      </c>
      <c r="F1731" s="23">
        <v>27.34</v>
      </c>
      <c r="G1731" s="23">
        <v>560.70000000000005</v>
      </c>
      <c r="H1731" s="40">
        <v>3.976</v>
      </c>
      <c r="I1731" s="13">
        <f t="shared" ref="I1731:I1794" si="27">E1731/F1731</f>
        <v>3.3328456474030728</v>
      </c>
      <c r="J1731" s="20"/>
    </row>
    <row r="1732" spans="2:10">
      <c r="C1732" s="40">
        <v>2.2210000000000001</v>
      </c>
      <c r="D1732" s="34">
        <v>164.5</v>
      </c>
      <c r="E1732" s="23">
        <v>91.3</v>
      </c>
      <c r="F1732" s="23">
        <v>27.52</v>
      </c>
      <c r="G1732" s="23">
        <v>556.5</v>
      </c>
      <c r="H1732" s="40">
        <v>3.8769999999999998</v>
      </c>
      <c r="I1732" s="13">
        <f t="shared" si="27"/>
        <v>3.3175872093023253</v>
      </c>
      <c r="J1732" s="20"/>
    </row>
    <row r="1733" spans="2:10">
      <c r="C1733" s="40">
        <v>2.194</v>
      </c>
      <c r="D1733" s="34">
        <v>147.4</v>
      </c>
      <c r="E1733" s="23">
        <v>90.97</v>
      </c>
      <c r="F1733" s="23">
        <v>27.74</v>
      </c>
      <c r="G1733" s="23">
        <v>554.20000000000005</v>
      </c>
      <c r="H1733" s="40">
        <v>3.4590000000000001</v>
      </c>
      <c r="I1733" s="13">
        <f t="shared" si="27"/>
        <v>3.2793799567411681</v>
      </c>
      <c r="J1733" s="20"/>
    </row>
    <row r="1734" spans="2:10">
      <c r="C1734" s="40">
        <v>2.2690000000000001</v>
      </c>
      <c r="D1734" s="34">
        <v>155.6</v>
      </c>
      <c r="E1734" s="23">
        <v>90.75</v>
      </c>
      <c r="F1734" s="23">
        <v>27.9</v>
      </c>
      <c r="G1734" s="23">
        <v>555.6</v>
      </c>
      <c r="H1734" s="40">
        <v>3.7480000000000002</v>
      </c>
      <c r="I1734" s="13">
        <f t="shared" si="27"/>
        <v>3.252688172043011</v>
      </c>
      <c r="J1734" s="20"/>
    </row>
    <row r="1735" spans="2:10">
      <c r="C1735" s="40">
        <v>2.319</v>
      </c>
      <c r="D1735" s="34">
        <v>164.3</v>
      </c>
      <c r="E1735" s="23">
        <v>90.37</v>
      </c>
      <c r="F1735" s="23">
        <v>27.34</v>
      </c>
      <c r="G1735" s="23">
        <v>558</v>
      </c>
      <c r="H1735" s="40">
        <v>3.9670000000000001</v>
      </c>
      <c r="I1735" s="13">
        <f t="shared" si="27"/>
        <v>3.3054133138258961</v>
      </c>
      <c r="J1735" s="20"/>
    </row>
    <row r="1736" spans="2:10">
      <c r="C1736" s="40">
        <v>2.3439999999999999</v>
      </c>
      <c r="D1736" s="34">
        <v>175.7</v>
      </c>
      <c r="E1736" s="23">
        <v>90.55</v>
      </c>
      <c r="F1736" s="23">
        <v>27.52</v>
      </c>
      <c r="G1736" s="23">
        <v>557</v>
      </c>
      <c r="H1736" s="40">
        <v>4.093</v>
      </c>
      <c r="I1736" s="13">
        <f t="shared" si="27"/>
        <v>3.2903343023255816</v>
      </c>
      <c r="J1736" s="20"/>
    </row>
    <row r="1737" spans="2:10">
      <c r="C1737" s="40">
        <v>2.3340000000000001</v>
      </c>
      <c r="D1737" s="34">
        <v>164.3</v>
      </c>
      <c r="E1737" s="23">
        <v>90.92</v>
      </c>
      <c r="F1737" s="23">
        <v>27.33</v>
      </c>
      <c r="G1737" s="23">
        <v>557.6</v>
      </c>
      <c r="H1737" s="40">
        <v>4.2629999999999999</v>
      </c>
      <c r="I1737" s="13">
        <f t="shared" si="27"/>
        <v>3.326747164288328</v>
      </c>
      <c r="J1737" s="20"/>
    </row>
    <row r="1738" spans="2:10">
      <c r="C1738" s="40">
        <v>2.3450000000000002</v>
      </c>
      <c r="D1738" s="34">
        <v>174.6</v>
      </c>
      <c r="E1738" s="23">
        <v>90.93</v>
      </c>
      <c r="F1738" s="23">
        <v>27.54</v>
      </c>
      <c r="G1738" s="23">
        <v>553.4</v>
      </c>
      <c r="H1738" s="40">
        <v>4.343</v>
      </c>
      <c r="I1738" s="13">
        <f t="shared" si="27"/>
        <v>3.3017429193899788</v>
      </c>
      <c r="J1738" s="20"/>
    </row>
    <row r="1739" spans="2:10">
      <c r="C1739" s="40">
        <v>2.347</v>
      </c>
      <c r="D1739" s="34">
        <v>179.8</v>
      </c>
      <c r="E1739" s="23">
        <v>90.56</v>
      </c>
      <c r="F1739" s="23">
        <v>27.36</v>
      </c>
      <c r="G1739" s="23">
        <v>553</v>
      </c>
      <c r="H1739" s="40">
        <v>4.6980000000000004</v>
      </c>
      <c r="I1739" s="13">
        <f t="shared" si="27"/>
        <v>3.3099415204678366</v>
      </c>
      <c r="J1739" s="20"/>
    </row>
    <row r="1740" spans="2:10">
      <c r="C1740" s="40">
        <v>2.327</v>
      </c>
      <c r="D1740" s="34">
        <v>179.7</v>
      </c>
      <c r="E1740" s="23">
        <v>90.75</v>
      </c>
      <c r="F1740" s="23">
        <v>26.99</v>
      </c>
      <c r="G1740" s="23">
        <v>552.5</v>
      </c>
      <c r="H1740" s="40">
        <v>4.2629999999999999</v>
      </c>
      <c r="I1740" s="13">
        <f t="shared" si="27"/>
        <v>3.3623564283067804</v>
      </c>
      <c r="J1740" s="20"/>
    </row>
    <row r="1741" spans="2:10">
      <c r="C1741" s="40">
        <v>2.3439999999999999</v>
      </c>
      <c r="D1741" s="34">
        <v>178</v>
      </c>
      <c r="E1741" s="23">
        <v>90.64</v>
      </c>
      <c r="F1741" s="23">
        <v>27.19</v>
      </c>
      <c r="G1741" s="23">
        <v>554.9</v>
      </c>
      <c r="H1741" s="40">
        <v>4.1440000000000001</v>
      </c>
      <c r="I1741" s="13">
        <f t="shared" si="27"/>
        <v>3.3335785215152627</v>
      </c>
      <c r="J1741" s="20"/>
    </row>
    <row r="1742" spans="2:10">
      <c r="B1742" s="47">
        <v>88</v>
      </c>
      <c r="C1742" s="39">
        <v>2.0550000000000002</v>
      </c>
      <c r="D1742" s="37">
        <v>149.1</v>
      </c>
      <c r="E1742" s="38">
        <v>120.6</v>
      </c>
      <c r="F1742" s="38">
        <v>25</v>
      </c>
      <c r="G1742" s="38">
        <v>537.20000000000005</v>
      </c>
      <c r="H1742" s="39">
        <v>3.0750000000000002</v>
      </c>
      <c r="I1742" s="13">
        <f t="shared" si="27"/>
        <v>4.8239999999999998</v>
      </c>
      <c r="J1742" s="20"/>
    </row>
    <row r="1743" spans="2:10">
      <c r="C1743" s="40">
        <v>2.109</v>
      </c>
      <c r="D1743" s="34">
        <v>145.19999999999999</v>
      </c>
      <c r="E1743" s="23">
        <v>120.8</v>
      </c>
      <c r="F1743" s="23">
        <v>25.46</v>
      </c>
      <c r="G1743" s="23">
        <v>536.4</v>
      </c>
      <c r="H1743" s="40">
        <v>3.4870000000000001</v>
      </c>
      <c r="I1743" s="13">
        <f t="shared" si="27"/>
        <v>4.7446975648075407</v>
      </c>
      <c r="J1743" s="20"/>
    </row>
    <row r="1744" spans="2:10">
      <c r="C1744" s="40">
        <v>2.0830000000000002</v>
      </c>
      <c r="D1744" s="34">
        <v>144.4</v>
      </c>
      <c r="E1744" s="23">
        <v>120.9</v>
      </c>
      <c r="F1744" s="23">
        <v>25.17</v>
      </c>
      <c r="G1744" s="23">
        <v>539.4</v>
      </c>
      <c r="H1744" s="40">
        <v>3.0510000000000002</v>
      </c>
      <c r="I1744" s="13">
        <f t="shared" si="27"/>
        <v>4.8033373063170437</v>
      </c>
      <c r="J1744" s="20"/>
    </row>
    <row r="1745" spans="3:10">
      <c r="C1745" s="40">
        <v>2.0390000000000001</v>
      </c>
      <c r="D1745" s="34">
        <v>138.19999999999999</v>
      </c>
      <c r="E1745" s="23">
        <v>121.1</v>
      </c>
      <c r="F1745" s="23">
        <v>25.04</v>
      </c>
      <c r="G1745" s="23">
        <v>537.9</v>
      </c>
      <c r="H1745" s="40">
        <v>3.0630000000000002</v>
      </c>
      <c r="I1745" s="13">
        <f t="shared" si="27"/>
        <v>4.8362619808306713</v>
      </c>
      <c r="J1745" s="20"/>
    </row>
    <row r="1746" spans="3:10">
      <c r="C1746" s="40">
        <v>2.0489999999999999</v>
      </c>
      <c r="D1746" s="34">
        <v>150.19999999999999</v>
      </c>
      <c r="E1746" s="23">
        <v>121.2</v>
      </c>
      <c r="F1746" s="23">
        <v>25.3</v>
      </c>
      <c r="G1746" s="23">
        <v>539</v>
      </c>
      <c r="H1746" s="40">
        <v>3.0779999999999998</v>
      </c>
      <c r="I1746" s="13">
        <f t="shared" si="27"/>
        <v>4.7905138339920947</v>
      </c>
      <c r="J1746" s="20"/>
    </row>
    <row r="1747" spans="3:10">
      <c r="C1747" s="40">
        <v>2.0030000000000001</v>
      </c>
      <c r="D1747" s="34">
        <v>155.19999999999999</v>
      </c>
      <c r="E1747" s="23">
        <v>120.8</v>
      </c>
      <c r="F1747" s="23">
        <v>25.45</v>
      </c>
      <c r="G1747" s="23">
        <v>537.6</v>
      </c>
      <c r="H1747" s="40">
        <v>3.1669999999999998</v>
      </c>
      <c r="I1747" s="13">
        <f t="shared" si="27"/>
        <v>4.7465618860510803</v>
      </c>
      <c r="J1747" s="20"/>
    </row>
    <row r="1748" spans="3:10">
      <c r="C1748" s="40">
        <v>1.96</v>
      </c>
      <c r="D1748" s="34">
        <v>144.4</v>
      </c>
      <c r="E1748" s="23">
        <v>121.1</v>
      </c>
      <c r="F1748" s="23">
        <v>25.59</v>
      </c>
      <c r="G1748" s="23">
        <v>536.4</v>
      </c>
      <c r="H1748" s="40">
        <v>3.2749999999999999</v>
      </c>
      <c r="I1748" s="13">
        <f t="shared" si="27"/>
        <v>4.7323173114497852</v>
      </c>
      <c r="J1748" s="20"/>
    </row>
    <row r="1749" spans="3:10">
      <c r="C1749" s="40">
        <v>1.9810000000000001</v>
      </c>
      <c r="D1749" s="34">
        <v>152.19999999999999</v>
      </c>
      <c r="E1749" s="23">
        <v>120.7</v>
      </c>
      <c r="F1749" s="23">
        <v>25.18</v>
      </c>
      <c r="G1749" s="23">
        <v>539.4</v>
      </c>
      <c r="H1749" s="40">
        <v>3.431</v>
      </c>
      <c r="I1749" s="13">
        <f t="shared" si="27"/>
        <v>4.7934868943606039</v>
      </c>
      <c r="J1749" s="20"/>
    </row>
    <row r="1750" spans="3:10">
      <c r="C1750" s="40">
        <v>2.0390000000000001</v>
      </c>
      <c r="D1750" s="34">
        <v>146.19999999999999</v>
      </c>
      <c r="E1750" s="23">
        <v>120.9</v>
      </c>
      <c r="F1750" s="23">
        <v>25.4</v>
      </c>
      <c r="G1750" s="23">
        <v>536.29999999999995</v>
      </c>
      <c r="H1750" s="40">
        <v>3.4409999999999998</v>
      </c>
      <c r="I1750" s="13">
        <f t="shared" si="27"/>
        <v>4.7598425196850398</v>
      </c>
      <c r="J1750" s="20"/>
    </row>
    <row r="1751" spans="3:10">
      <c r="C1751" s="40">
        <v>2</v>
      </c>
      <c r="D1751" s="34">
        <v>138.4</v>
      </c>
      <c r="E1751" s="23">
        <v>121.5</v>
      </c>
      <c r="F1751" s="23">
        <v>25.18</v>
      </c>
      <c r="G1751" s="23">
        <v>531.9</v>
      </c>
      <c r="H1751" s="40">
        <v>3.7410000000000001</v>
      </c>
      <c r="I1751" s="13">
        <f t="shared" si="27"/>
        <v>4.825258141382049</v>
      </c>
      <c r="J1751" s="20"/>
    </row>
    <row r="1752" spans="3:10">
      <c r="C1752" s="40">
        <v>2.0550000000000002</v>
      </c>
      <c r="D1752" s="34">
        <v>148.30000000000001</v>
      </c>
      <c r="E1752" s="23">
        <v>120.7</v>
      </c>
      <c r="F1752" s="23">
        <v>25.6</v>
      </c>
      <c r="G1752" s="23">
        <v>530.4</v>
      </c>
      <c r="H1752" s="40">
        <v>3.0230000000000001</v>
      </c>
      <c r="I1752" s="13">
        <f t="shared" si="27"/>
        <v>4.71484375</v>
      </c>
      <c r="J1752" s="20"/>
    </row>
    <row r="1753" spans="3:10">
      <c r="C1753" s="40">
        <v>2.101</v>
      </c>
      <c r="D1753" s="34">
        <v>124.1</v>
      </c>
      <c r="E1753" s="23">
        <v>121.4</v>
      </c>
      <c r="F1753" s="23">
        <v>25.32</v>
      </c>
      <c r="G1753" s="23">
        <v>529.4</v>
      </c>
      <c r="H1753" s="40">
        <v>2.9980000000000002</v>
      </c>
      <c r="I1753" s="13">
        <f t="shared" si="27"/>
        <v>4.7946287519747237</v>
      </c>
      <c r="J1753" s="20"/>
    </row>
    <row r="1754" spans="3:10">
      <c r="C1754" s="40">
        <v>2.1230000000000002</v>
      </c>
      <c r="D1754" s="34">
        <v>105.1</v>
      </c>
      <c r="E1754" s="23">
        <v>120.6</v>
      </c>
      <c r="F1754" s="23">
        <v>25.19</v>
      </c>
      <c r="G1754" s="23">
        <v>528.9</v>
      </c>
      <c r="H1754" s="40">
        <v>2.7410000000000001</v>
      </c>
      <c r="I1754" s="13">
        <f t="shared" si="27"/>
        <v>4.7876141325922976</v>
      </c>
      <c r="J1754" s="20"/>
    </row>
    <row r="1755" spans="3:10">
      <c r="C1755" s="40">
        <v>2.1240000000000001</v>
      </c>
      <c r="D1755" s="34">
        <v>110.9</v>
      </c>
      <c r="E1755" s="23">
        <v>121.3</v>
      </c>
      <c r="F1755" s="23">
        <v>25.33</v>
      </c>
      <c r="G1755" s="23">
        <v>527.9</v>
      </c>
      <c r="H1755" s="40">
        <v>2.9510000000000001</v>
      </c>
      <c r="I1755" s="13">
        <f t="shared" si="27"/>
        <v>4.7887879984208448</v>
      </c>
      <c r="J1755" s="20"/>
    </row>
    <row r="1756" spans="3:10">
      <c r="C1756" s="40">
        <v>2.1379999999999999</v>
      </c>
      <c r="D1756" s="34">
        <v>106.8</v>
      </c>
      <c r="E1756" s="23">
        <v>121.2</v>
      </c>
      <c r="F1756" s="23">
        <v>25.21</v>
      </c>
      <c r="G1756" s="23">
        <v>530.5</v>
      </c>
      <c r="H1756" s="40">
        <v>2.8420000000000001</v>
      </c>
      <c r="I1756" s="13">
        <f t="shared" si="27"/>
        <v>4.8076160253867508</v>
      </c>
      <c r="J1756" s="20"/>
    </row>
    <row r="1757" spans="3:10">
      <c r="C1757" s="40">
        <v>2.149</v>
      </c>
      <c r="D1757" s="34">
        <v>114.4</v>
      </c>
      <c r="E1757" s="23">
        <v>121.4</v>
      </c>
      <c r="F1757" s="23">
        <v>26.11</v>
      </c>
      <c r="G1757" s="23">
        <v>532.79999999999995</v>
      </c>
      <c r="H1757" s="40">
        <v>2.7429999999999999</v>
      </c>
      <c r="I1757" s="13">
        <f t="shared" si="27"/>
        <v>4.6495595557257756</v>
      </c>
      <c r="J1757" s="20"/>
    </row>
    <row r="1758" spans="3:10">
      <c r="C1758" s="40">
        <v>2.133</v>
      </c>
      <c r="D1758" s="34">
        <v>111.2</v>
      </c>
      <c r="E1758" s="23">
        <v>121.3</v>
      </c>
      <c r="F1758" s="23">
        <v>26.25</v>
      </c>
      <c r="G1758" s="23">
        <v>531</v>
      </c>
      <c r="H1758" s="40">
        <v>2.6739999999999999</v>
      </c>
      <c r="I1758" s="13">
        <f t="shared" si="27"/>
        <v>4.6209523809523807</v>
      </c>
      <c r="J1758" s="20"/>
    </row>
    <row r="1759" spans="3:10">
      <c r="C1759" s="40">
        <v>2.109</v>
      </c>
      <c r="D1759" s="34">
        <v>124.4</v>
      </c>
      <c r="E1759" s="23">
        <v>120.8</v>
      </c>
      <c r="F1759" s="23">
        <v>26.39</v>
      </c>
      <c r="G1759" s="23">
        <v>534.20000000000005</v>
      </c>
      <c r="H1759" s="40">
        <v>2.6309999999999998</v>
      </c>
      <c r="I1759" s="13">
        <f t="shared" si="27"/>
        <v>4.5774914740431978</v>
      </c>
      <c r="J1759" s="20"/>
    </row>
    <row r="1760" spans="3:10">
      <c r="C1760" s="40">
        <v>2.1139999999999999</v>
      </c>
      <c r="D1760" s="34">
        <v>108.5</v>
      </c>
      <c r="E1760" s="23">
        <v>121</v>
      </c>
      <c r="F1760" s="23">
        <v>25.71</v>
      </c>
      <c r="G1760" s="23">
        <v>537.9</v>
      </c>
      <c r="H1760" s="40">
        <v>2.5960000000000001</v>
      </c>
      <c r="I1760" s="13">
        <f t="shared" si="27"/>
        <v>4.7063399455464801</v>
      </c>
      <c r="J1760" s="20"/>
    </row>
    <row r="1761" spans="2:10">
      <c r="C1761" s="40">
        <v>2.0870000000000002</v>
      </c>
      <c r="D1761" s="34">
        <v>124.5</v>
      </c>
      <c r="E1761" s="23">
        <v>120.6</v>
      </c>
      <c r="F1761" s="23">
        <v>25.63</v>
      </c>
      <c r="G1761" s="23">
        <v>533.29999999999995</v>
      </c>
      <c r="H1761" s="40">
        <v>2.4780000000000002</v>
      </c>
      <c r="I1761" s="13">
        <f t="shared" si="27"/>
        <v>4.7054233320327743</v>
      </c>
      <c r="J1761" s="20"/>
    </row>
    <row r="1762" spans="2:10">
      <c r="B1762" s="47">
        <v>89</v>
      </c>
      <c r="C1762" s="39">
        <v>2.8620000000000001</v>
      </c>
      <c r="D1762" s="37">
        <v>149.4</v>
      </c>
      <c r="E1762" s="38">
        <v>81.3</v>
      </c>
      <c r="F1762" s="38">
        <v>24.66</v>
      </c>
      <c r="G1762" s="38">
        <v>482.9</v>
      </c>
      <c r="H1762" s="39">
        <v>3.2170000000000001</v>
      </c>
      <c r="I1762" s="13">
        <f t="shared" si="27"/>
        <v>3.2968369829683697</v>
      </c>
      <c r="J1762" s="20"/>
    </row>
    <row r="1763" spans="2:10">
      <c r="C1763" s="40">
        <v>2.4980000000000002</v>
      </c>
      <c r="D1763" s="34">
        <v>115.8</v>
      </c>
      <c r="E1763" s="23">
        <v>81.45</v>
      </c>
      <c r="F1763" s="23">
        <v>24.82</v>
      </c>
      <c r="G1763" s="23">
        <v>483.3</v>
      </c>
      <c r="H1763" s="40">
        <v>3.1760000000000002</v>
      </c>
      <c r="I1763" s="13">
        <f t="shared" si="27"/>
        <v>3.2816277195809831</v>
      </c>
      <c r="J1763" s="20"/>
    </row>
    <row r="1764" spans="2:10">
      <c r="C1764" s="40">
        <v>2.9249999999999998</v>
      </c>
      <c r="D1764" s="34">
        <v>111</v>
      </c>
      <c r="E1764" s="23">
        <v>81.569999999999993</v>
      </c>
      <c r="F1764" s="23">
        <v>24.26</v>
      </c>
      <c r="G1764" s="23">
        <v>488.8</v>
      </c>
      <c r="H1764" s="40">
        <v>3.17</v>
      </c>
      <c r="I1764" s="13">
        <f t="shared" si="27"/>
        <v>3.36232481450948</v>
      </c>
      <c r="J1764" s="20"/>
    </row>
    <row r="1765" spans="2:10">
      <c r="C1765" s="40">
        <v>2.8490000000000002</v>
      </c>
      <c r="D1765" s="34">
        <v>110.1</v>
      </c>
      <c r="E1765" s="23">
        <v>81.38</v>
      </c>
      <c r="F1765" s="23">
        <v>24.41</v>
      </c>
      <c r="G1765" s="23">
        <v>485.7</v>
      </c>
      <c r="H1765" s="40">
        <v>3.218</v>
      </c>
      <c r="I1765" s="13">
        <f t="shared" si="27"/>
        <v>3.3338795575583777</v>
      </c>
      <c r="J1765" s="20"/>
    </row>
    <row r="1766" spans="2:10">
      <c r="C1766" s="40">
        <v>2.9620000000000002</v>
      </c>
      <c r="D1766" s="34">
        <v>106.3</v>
      </c>
      <c r="E1766" s="23">
        <v>81.260000000000005</v>
      </c>
      <c r="F1766" s="23">
        <v>24.29</v>
      </c>
      <c r="G1766" s="23">
        <v>485</v>
      </c>
      <c r="H1766" s="40">
        <v>3.1890000000000001</v>
      </c>
      <c r="I1766" s="13">
        <f t="shared" si="27"/>
        <v>3.345409633594072</v>
      </c>
      <c r="J1766" s="20"/>
    </row>
    <row r="1767" spans="2:10">
      <c r="C1767" s="40">
        <v>2.3919999999999999</v>
      </c>
      <c r="D1767" s="34">
        <v>105</v>
      </c>
      <c r="E1767" s="23">
        <v>81.89</v>
      </c>
      <c r="F1767" s="23">
        <v>24.43</v>
      </c>
      <c r="G1767" s="23">
        <v>483.2</v>
      </c>
      <c r="H1767" s="40">
        <v>3.1030000000000002</v>
      </c>
      <c r="I1767" s="13">
        <f t="shared" si="27"/>
        <v>3.3520261972984038</v>
      </c>
      <c r="J1767" s="20"/>
    </row>
    <row r="1768" spans="2:10">
      <c r="C1768" s="40">
        <v>2.8885999999999998</v>
      </c>
      <c r="D1768" s="34">
        <v>118.3</v>
      </c>
      <c r="E1768" s="23">
        <v>81.739999999999995</v>
      </c>
      <c r="F1768" s="23">
        <v>24.19</v>
      </c>
      <c r="G1768" s="23">
        <v>482.9</v>
      </c>
      <c r="H1768" s="40">
        <v>3.08</v>
      </c>
      <c r="I1768" s="13">
        <f t="shared" si="27"/>
        <v>3.379082265398925</v>
      </c>
      <c r="J1768" s="20"/>
    </row>
    <row r="1769" spans="2:10">
      <c r="C1769" s="40">
        <v>2.87</v>
      </c>
      <c r="D1769" s="34">
        <v>113.3</v>
      </c>
      <c r="E1769" s="23">
        <v>81.62</v>
      </c>
      <c r="F1769" s="23">
        <v>24.3</v>
      </c>
      <c r="G1769" s="23">
        <v>486.4</v>
      </c>
      <c r="H1769" s="40">
        <v>3.173</v>
      </c>
      <c r="I1769" s="13">
        <f t="shared" si="27"/>
        <v>3.3588477366255143</v>
      </c>
      <c r="J1769" s="20"/>
    </row>
    <row r="1770" spans="2:10">
      <c r="C1770" s="40">
        <v>2.7810000000000001</v>
      </c>
      <c r="D1770" s="34">
        <v>129.1</v>
      </c>
      <c r="E1770" s="23">
        <v>81.92</v>
      </c>
      <c r="F1770" s="23">
        <v>24.07</v>
      </c>
      <c r="G1770" s="23">
        <v>488.9</v>
      </c>
      <c r="H1770" s="40">
        <v>3.129</v>
      </c>
      <c r="I1770" s="13">
        <f t="shared" si="27"/>
        <v>3.4034067303697548</v>
      </c>
      <c r="J1770" s="20"/>
    </row>
    <row r="1771" spans="2:10">
      <c r="C1771" s="40">
        <v>2.8090000000000002</v>
      </c>
      <c r="D1771" s="34">
        <v>125.3</v>
      </c>
      <c r="E1771" s="23">
        <v>81.84</v>
      </c>
      <c r="F1771" s="23">
        <v>24.16</v>
      </c>
      <c r="G1771" s="23">
        <v>487.5</v>
      </c>
      <c r="H1771" s="40">
        <v>3.1970000000000001</v>
      </c>
      <c r="I1771" s="13">
        <f t="shared" si="27"/>
        <v>3.3874172185430464</v>
      </c>
      <c r="J1771" s="20"/>
    </row>
    <row r="1772" spans="2:10">
      <c r="C1772" s="40">
        <v>2.891</v>
      </c>
      <c r="D1772" s="34">
        <v>135</v>
      </c>
      <c r="E1772" s="23">
        <v>81.7</v>
      </c>
      <c r="F1772" s="23">
        <v>24.19</v>
      </c>
      <c r="G1772" s="23">
        <v>488</v>
      </c>
      <c r="H1772" s="40">
        <v>3.2160000000000002</v>
      </c>
      <c r="I1772" s="13">
        <f t="shared" si="27"/>
        <v>3.3774286895411327</v>
      </c>
      <c r="J1772" s="20"/>
    </row>
    <row r="1773" spans="2:10">
      <c r="C1773" s="40">
        <v>2.637</v>
      </c>
      <c r="D1773" s="34">
        <v>127</v>
      </c>
      <c r="E1773" s="23">
        <v>81.599999999999994</v>
      </c>
      <c r="F1773" s="23">
        <v>23.53</v>
      </c>
      <c r="G1773" s="23">
        <v>492.1</v>
      </c>
      <c r="H1773" s="40">
        <v>3.258</v>
      </c>
      <c r="I1773" s="13">
        <f t="shared" si="27"/>
        <v>3.4679133021674455</v>
      </c>
      <c r="J1773" s="20"/>
    </row>
    <row r="1774" spans="2:10">
      <c r="C1774" s="40">
        <v>2.504</v>
      </c>
      <c r="D1774" s="34">
        <v>127.7</v>
      </c>
      <c r="E1774" s="23">
        <v>81.47</v>
      </c>
      <c r="F1774" s="23">
        <v>24.22</v>
      </c>
      <c r="G1774" s="23">
        <v>491.5</v>
      </c>
      <c r="H1774" s="40">
        <v>3.4049999999999998</v>
      </c>
      <c r="I1774" s="13">
        <f t="shared" si="27"/>
        <v>3.3637489677952108</v>
      </c>
      <c r="J1774" s="20"/>
    </row>
    <row r="1775" spans="2:10">
      <c r="C1775" s="40">
        <v>2.4020000000000001</v>
      </c>
      <c r="D1775" s="34">
        <v>115.8</v>
      </c>
      <c r="E1775" s="23">
        <v>81.62</v>
      </c>
      <c r="F1775" s="23">
        <v>24.32</v>
      </c>
      <c r="G1775" s="23">
        <v>490.1</v>
      </c>
      <c r="H1775" s="40">
        <v>3.4279999999999999</v>
      </c>
      <c r="I1775" s="13">
        <f t="shared" si="27"/>
        <v>3.3560855263157898</v>
      </c>
      <c r="J1775" s="20"/>
    </row>
    <row r="1776" spans="2:10">
      <c r="C1776" s="40">
        <v>2.7090000000000001</v>
      </c>
      <c r="D1776" s="34">
        <v>135</v>
      </c>
      <c r="E1776" s="23">
        <v>81.569999999999993</v>
      </c>
      <c r="F1776" s="23">
        <v>24.19</v>
      </c>
      <c r="G1776" s="23">
        <v>487.5</v>
      </c>
      <c r="H1776" s="40">
        <v>3.5289999999999999</v>
      </c>
      <c r="I1776" s="13">
        <f t="shared" si="27"/>
        <v>3.3720545680033065</v>
      </c>
      <c r="J1776" s="20"/>
    </row>
    <row r="1777" spans="2:10">
      <c r="C1777" s="40">
        <v>2.835</v>
      </c>
      <c r="D1777" s="34">
        <v>160.30000000000001</v>
      </c>
      <c r="E1777" s="23">
        <v>81.5</v>
      </c>
      <c r="F1777" s="23">
        <v>24.49</v>
      </c>
      <c r="G1777" s="23">
        <v>486.4</v>
      </c>
      <c r="H1777" s="40">
        <v>3.4209999999999998</v>
      </c>
      <c r="I1777" s="13">
        <f t="shared" si="27"/>
        <v>3.3278889342588815</v>
      </c>
      <c r="J1777" s="20"/>
    </row>
    <row r="1778" spans="2:10">
      <c r="C1778" s="40">
        <v>2.87</v>
      </c>
      <c r="D1778" s="34">
        <v>148.9</v>
      </c>
      <c r="E1778" s="23">
        <v>81.3</v>
      </c>
      <c r="F1778" s="23">
        <v>24.64</v>
      </c>
      <c r="G1778" s="23">
        <v>486.9</v>
      </c>
      <c r="H1778" s="40">
        <v>3.4279999999999999</v>
      </c>
      <c r="I1778" s="13">
        <f t="shared" si="27"/>
        <v>3.2995129870129869</v>
      </c>
      <c r="J1778" s="20"/>
    </row>
    <row r="1779" spans="2:10">
      <c r="C1779" s="40">
        <v>2.899</v>
      </c>
      <c r="D1779" s="34">
        <v>127.7</v>
      </c>
      <c r="E1779" s="23">
        <v>81.33</v>
      </c>
      <c r="F1779" s="23">
        <v>24.56</v>
      </c>
      <c r="G1779" s="23">
        <v>485.5</v>
      </c>
      <c r="H1779" s="40">
        <v>3.4620000000000002</v>
      </c>
      <c r="I1779" s="13">
        <f t="shared" si="27"/>
        <v>3.3114820846905539</v>
      </c>
      <c r="J1779" s="20"/>
    </row>
    <row r="1780" spans="2:10">
      <c r="C1780" s="40">
        <v>2.2890000000000001</v>
      </c>
      <c r="D1780" s="34">
        <v>117.7</v>
      </c>
      <c r="E1780" s="23">
        <v>81.45</v>
      </c>
      <c r="F1780" s="23">
        <v>24.43</v>
      </c>
      <c r="G1780" s="23">
        <v>482.9</v>
      </c>
      <c r="H1780" s="40">
        <v>3.488</v>
      </c>
      <c r="I1780" s="13">
        <f t="shared" si="27"/>
        <v>3.3340155546459274</v>
      </c>
      <c r="J1780" s="20"/>
    </row>
    <row r="1781" spans="2:10">
      <c r="C1781" s="40">
        <v>2.2040000000000002</v>
      </c>
      <c r="D1781" s="34">
        <v>125.3</v>
      </c>
      <c r="E1781" s="23">
        <v>81.72</v>
      </c>
      <c r="F1781" s="23">
        <v>24.19</v>
      </c>
      <c r="G1781" s="23">
        <v>488.9</v>
      </c>
      <c r="H1781" s="40">
        <v>3.2949999999999999</v>
      </c>
      <c r="I1781" s="13">
        <f t="shared" si="27"/>
        <v>3.3782554774700286</v>
      </c>
      <c r="J1781" s="20"/>
    </row>
    <row r="1782" spans="2:10">
      <c r="B1782" s="47">
        <v>90</v>
      </c>
      <c r="C1782" s="39">
        <v>3.0830000000000002</v>
      </c>
      <c r="D1782" s="37">
        <v>121.7</v>
      </c>
      <c r="E1782" s="38">
        <v>82.16</v>
      </c>
      <c r="F1782" s="38">
        <v>28.81</v>
      </c>
      <c r="G1782" s="38">
        <v>505.4</v>
      </c>
      <c r="H1782" s="39">
        <v>6.2649999999999997</v>
      </c>
      <c r="I1782" s="13">
        <f t="shared" si="27"/>
        <v>2.8517875737591116</v>
      </c>
      <c r="J1782" s="20"/>
    </row>
    <row r="1783" spans="2:10">
      <c r="C1783" s="40">
        <v>3.298</v>
      </c>
      <c r="D1783" s="34">
        <v>131.6</v>
      </c>
      <c r="E1783" s="23">
        <v>83</v>
      </c>
      <c r="F1783" s="23">
        <v>29.07</v>
      </c>
      <c r="G1783" s="23">
        <v>501.1</v>
      </c>
      <c r="H1783" s="40">
        <v>6.8449999999999998</v>
      </c>
      <c r="I1783" s="13">
        <f t="shared" si="27"/>
        <v>2.8551771585827312</v>
      </c>
      <c r="J1783" s="20"/>
    </row>
    <row r="1784" spans="2:10">
      <c r="C1784" s="40">
        <v>2.9769999999999999</v>
      </c>
      <c r="D1784" s="34">
        <v>85</v>
      </c>
      <c r="E1784" s="23">
        <v>82.72</v>
      </c>
      <c r="F1784" s="23">
        <v>29.28</v>
      </c>
      <c r="G1784" s="23">
        <v>500.2</v>
      </c>
      <c r="H1784" s="40">
        <v>5.8220000000000001</v>
      </c>
      <c r="I1784" s="13">
        <f t="shared" si="27"/>
        <v>2.8251366120218577</v>
      </c>
      <c r="J1784" s="20"/>
    </row>
    <row r="1785" spans="2:10">
      <c r="C1785" s="40">
        <v>3.1829999999999998</v>
      </c>
      <c r="D1785" s="34">
        <v>99.9</v>
      </c>
      <c r="E1785" s="23">
        <v>82.22</v>
      </c>
      <c r="F1785" s="23">
        <v>29.04</v>
      </c>
      <c r="G1785" s="23">
        <v>509.6</v>
      </c>
      <c r="H1785" s="40">
        <v>5.28</v>
      </c>
      <c r="I1785" s="13">
        <f t="shared" si="27"/>
        <v>2.8312672176308542</v>
      </c>
      <c r="J1785" s="20"/>
    </row>
    <row r="1786" spans="2:10">
      <c r="C1786" s="40">
        <v>3.3650000000000002</v>
      </c>
      <c r="D1786" s="34">
        <v>77</v>
      </c>
      <c r="E1786" s="23">
        <v>82.36</v>
      </c>
      <c r="F1786" s="23">
        <v>28.29</v>
      </c>
      <c r="G1786" s="23">
        <v>502.7</v>
      </c>
      <c r="H1786" s="40">
        <v>6.17</v>
      </c>
      <c r="I1786" s="13">
        <f t="shared" si="27"/>
        <v>2.9112760692824322</v>
      </c>
      <c r="J1786" s="20"/>
    </row>
    <row r="1787" spans="2:10">
      <c r="C1787" s="40">
        <v>2.86</v>
      </c>
      <c r="D1787" s="34">
        <v>121.7</v>
      </c>
      <c r="E1787" s="23">
        <v>82.66</v>
      </c>
      <c r="F1787" s="23">
        <v>28.35</v>
      </c>
      <c r="G1787" s="23">
        <v>503.8</v>
      </c>
      <c r="H1787" s="40">
        <v>6.2889999999999997</v>
      </c>
      <c r="I1787" s="13">
        <f t="shared" si="27"/>
        <v>2.9156966490299823</v>
      </c>
      <c r="J1787" s="20"/>
    </row>
    <row r="1788" spans="2:10">
      <c r="C1788" s="40">
        <v>3.5649999999999999</v>
      </c>
      <c r="D1788" s="34">
        <v>126.4</v>
      </c>
      <c r="E1788" s="23">
        <v>82.81</v>
      </c>
      <c r="F1788" s="23">
        <v>28.03</v>
      </c>
      <c r="G1788" s="23">
        <v>511.2</v>
      </c>
      <c r="H1788" s="40">
        <v>6.2649999999999997</v>
      </c>
      <c r="I1788" s="13">
        <f t="shared" si="27"/>
        <v>2.9543346414555831</v>
      </c>
      <c r="J1788" s="20"/>
    </row>
    <row r="1789" spans="2:10">
      <c r="C1789" s="40">
        <v>3.4390000000000001</v>
      </c>
      <c r="D1789" s="34">
        <v>126.1</v>
      </c>
      <c r="E1789" s="23">
        <v>82.52</v>
      </c>
      <c r="F1789" s="23">
        <v>28.39</v>
      </c>
      <c r="G1789" s="23">
        <v>517.79999999999995</v>
      </c>
      <c r="H1789" s="40">
        <v>6.1079999999999997</v>
      </c>
      <c r="I1789" s="13">
        <f t="shared" si="27"/>
        <v>2.9066572736879182</v>
      </c>
      <c r="J1789" s="20"/>
    </row>
    <row r="1790" spans="2:10">
      <c r="C1790" s="40">
        <v>3.2040000000000002</v>
      </c>
      <c r="D1790" s="34">
        <v>104</v>
      </c>
      <c r="E1790" s="23">
        <v>82.13</v>
      </c>
      <c r="F1790" s="23">
        <v>28.55</v>
      </c>
      <c r="G1790" s="23">
        <v>523.6</v>
      </c>
      <c r="H1790" s="40">
        <v>6.3079999999999998</v>
      </c>
      <c r="I1790" s="13">
        <f t="shared" si="27"/>
        <v>2.8767075306479857</v>
      </c>
      <c r="J1790" s="20"/>
    </row>
    <row r="1791" spans="2:10">
      <c r="C1791" s="40">
        <v>3.3460000000000001</v>
      </c>
      <c r="D1791" s="34">
        <v>118.5</v>
      </c>
      <c r="E1791" s="23">
        <v>82.11</v>
      </c>
      <c r="F1791" s="23">
        <v>28.88</v>
      </c>
      <c r="G1791" s="23">
        <v>511.2</v>
      </c>
      <c r="H1791" s="40">
        <v>6.14</v>
      </c>
      <c r="I1791" s="13">
        <f t="shared" si="27"/>
        <v>2.8431440443213298</v>
      </c>
      <c r="J1791" s="20"/>
    </row>
    <row r="1792" spans="2:10">
      <c r="C1792" s="40">
        <v>3.1160000000000001</v>
      </c>
      <c r="D1792" s="34">
        <v>115.3</v>
      </c>
      <c r="E1792" s="23">
        <v>82.22</v>
      </c>
      <c r="F1792" s="23">
        <v>28.81</v>
      </c>
      <c r="G1792" s="23">
        <v>511.8</v>
      </c>
      <c r="H1792" s="40">
        <v>5.7169999999999996</v>
      </c>
      <c r="I1792" s="13">
        <f t="shared" si="27"/>
        <v>2.8538701839639016</v>
      </c>
      <c r="J1792" s="20"/>
    </row>
    <row r="1793" spans="2:10">
      <c r="C1793" s="40">
        <v>3.2890000000000001</v>
      </c>
      <c r="D1793" s="34">
        <v>115.5</v>
      </c>
      <c r="E1793" s="23">
        <v>82.35</v>
      </c>
      <c r="F1793" s="23">
        <v>28.59</v>
      </c>
      <c r="G1793" s="23">
        <v>531.9</v>
      </c>
      <c r="H1793" s="40">
        <v>5.7210000000000001</v>
      </c>
      <c r="I1793" s="13">
        <f t="shared" si="27"/>
        <v>2.8803777544596012</v>
      </c>
      <c r="J1793" s="20"/>
    </row>
    <row r="1794" spans="2:10">
      <c r="C1794" s="40">
        <v>3.052</v>
      </c>
      <c r="D1794" s="34">
        <v>138.19999999999999</v>
      </c>
      <c r="E1794" s="23">
        <v>82.6</v>
      </c>
      <c r="F1794" s="23">
        <v>29.18</v>
      </c>
      <c r="G1794" s="23">
        <v>541.79999999999995</v>
      </c>
      <c r="H1794" s="40">
        <v>5.8220000000000001</v>
      </c>
      <c r="I1794" s="13">
        <f t="shared" si="27"/>
        <v>2.8307059629883482</v>
      </c>
      <c r="J1794" s="20"/>
    </row>
    <row r="1795" spans="2:10">
      <c r="C1795" s="40">
        <v>3.31</v>
      </c>
      <c r="D1795" s="34">
        <v>124.1</v>
      </c>
      <c r="E1795" s="23">
        <v>82.76</v>
      </c>
      <c r="F1795" s="23">
        <v>28.45</v>
      </c>
      <c r="G1795" s="23">
        <v>535.9</v>
      </c>
      <c r="H1795" s="40">
        <v>6.2889999999999997</v>
      </c>
      <c r="I1795" s="13">
        <f t="shared" ref="I1795:I1858" si="28">E1795/F1795</f>
        <v>2.9089630931458701</v>
      </c>
      <c r="J1795" s="20"/>
    </row>
    <row r="1796" spans="2:10">
      <c r="C1796" s="40">
        <v>3.1019999999999999</v>
      </c>
      <c r="D1796" s="34">
        <v>127</v>
      </c>
      <c r="E1796" s="23">
        <v>82.7</v>
      </c>
      <c r="F1796" s="23">
        <v>28.29</v>
      </c>
      <c r="G1796" s="23">
        <v>541.4</v>
      </c>
      <c r="H1796" s="40">
        <v>6.2649999999999997</v>
      </c>
      <c r="I1796" s="13">
        <f t="shared" si="28"/>
        <v>2.923294450335808</v>
      </c>
      <c r="J1796" s="20"/>
    </row>
    <row r="1797" spans="2:10">
      <c r="C1797" s="40">
        <v>3.2879999999999998</v>
      </c>
      <c r="D1797" s="34">
        <v>148.69999999999999</v>
      </c>
      <c r="E1797" s="23">
        <v>82.77</v>
      </c>
      <c r="F1797" s="23">
        <v>28.43</v>
      </c>
      <c r="G1797" s="23">
        <v>547.79999999999995</v>
      </c>
      <c r="H1797" s="40">
        <v>5.8220000000000001</v>
      </c>
      <c r="I1797" s="13">
        <f t="shared" si="28"/>
        <v>2.911361238128737</v>
      </c>
      <c r="J1797" s="20"/>
    </row>
    <row r="1798" spans="2:10">
      <c r="C1798" s="40">
        <v>3.2280000000000002</v>
      </c>
      <c r="D1798" s="34">
        <v>97.3</v>
      </c>
      <c r="E1798" s="23">
        <v>82.39</v>
      </c>
      <c r="F1798" s="23">
        <v>28.32</v>
      </c>
      <c r="G1798" s="23">
        <v>542.5</v>
      </c>
      <c r="H1798" s="40">
        <v>5.3109999999999999</v>
      </c>
      <c r="I1798" s="13">
        <f t="shared" si="28"/>
        <v>2.9092514124293785</v>
      </c>
      <c r="J1798" s="20"/>
    </row>
    <row r="1799" spans="2:10">
      <c r="C1799" s="40">
        <v>3.1659999999999999</v>
      </c>
      <c r="D1799" s="34">
        <v>92.2</v>
      </c>
      <c r="E1799" s="23">
        <v>82.87</v>
      </c>
      <c r="F1799" s="23">
        <v>28.42</v>
      </c>
      <c r="G1799" s="23">
        <v>533.29999999999995</v>
      </c>
      <c r="H1799" s="40">
        <v>5.5</v>
      </c>
      <c r="I1799" s="13">
        <f t="shared" si="28"/>
        <v>2.9159042927515832</v>
      </c>
      <c r="J1799" s="20"/>
    </row>
    <row r="1800" spans="2:10">
      <c r="C1800" s="40">
        <v>3.3740000000000001</v>
      </c>
      <c r="D1800" s="34">
        <v>95</v>
      </c>
      <c r="E1800" s="23">
        <v>82.74</v>
      </c>
      <c r="F1800" s="23">
        <v>28.7</v>
      </c>
      <c r="G1800" s="23">
        <v>528.4</v>
      </c>
      <c r="H1800" s="40">
        <v>5.9240000000000004</v>
      </c>
      <c r="I1800" s="13">
        <f t="shared" si="28"/>
        <v>2.8829268292682926</v>
      </c>
      <c r="J1800" s="20"/>
    </row>
    <row r="1801" spans="2:10">
      <c r="C1801" s="40">
        <v>3.4929999999999999</v>
      </c>
      <c r="D1801" s="34">
        <v>101.6</v>
      </c>
      <c r="E1801" s="23">
        <v>82.62</v>
      </c>
      <c r="F1801" s="23">
        <v>28.92</v>
      </c>
      <c r="G1801" s="23">
        <v>541.79999999999995</v>
      </c>
      <c r="H1801" s="40">
        <v>5.3109999999999999</v>
      </c>
      <c r="I1801" s="13">
        <f t="shared" si="28"/>
        <v>2.8568464730290457</v>
      </c>
      <c r="J1801" s="20"/>
    </row>
    <row r="1802" spans="2:10">
      <c r="B1802" s="47">
        <v>91</v>
      </c>
      <c r="C1802" s="39">
        <v>2.6989999999999998</v>
      </c>
      <c r="D1802" s="37">
        <v>154</v>
      </c>
      <c r="E1802" s="38">
        <v>104.7</v>
      </c>
      <c r="F1802" s="38">
        <v>34.24</v>
      </c>
      <c r="G1802" s="38">
        <v>487.1</v>
      </c>
      <c r="H1802" s="39">
        <v>4.4459999999999997</v>
      </c>
      <c r="I1802" s="13">
        <f t="shared" si="28"/>
        <v>3.057827102803738</v>
      </c>
      <c r="J1802" s="20"/>
    </row>
    <row r="1803" spans="2:10">
      <c r="C1803" s="40">
        <v>2.7050000000000001</v>
      </c>
      <c r="D1803" s="34">
        <v>145.9</v>
      </c>
      <c r="E1803" s="23">
        <v>105</v>
      </c>
      <c r="F1803" s="23">
        <v>34.33</v>
      </c>
      <c r="G1803" s="23">
        <v>486.4</v>
      </c>
      <c r="H1803" s="40">
        <v>4.5199999999999996</v>
      </c>
      <c r="I1803" s="13">
        <f t="shared" si="28"/>
        <v>3.0585493737256044</v>
      </c>
      <c r="J1803" s="20"/>
    </row>
    <row r="1804" spans="2:10">
      <c r="C1804" s="40">
        <v>2.7040000000000002</v>
      </c>
      <c r="D1804" s="34">
        <v>140.4</v>
      </c>
      <c r="E1804" s="23">
        <v>104.3</v>
      </c>
      <c r="F1804" s="23">
        <v>34.369999999999997</v>
      </c>
      <c r="G1804" s="23">
        <v>495</v>
      </c>
      <c r="H1804" s="40">
        <v>4.28</v>
      </c>
      <c r="I1804" s="13">
        <f t="shared" si="28"/>
        <v>3.0346232179226069</v>
      </c>
      <c r="J1804" s="20"/>
    </row>
    <row r="1805" spans="2:10">
      <c r="C1805" s="40">
        <v>2.71</v>
      </c>
      <c r="D1805" s="34">
        <v>110.9</v>
      </c>
      <c r="E1805" s="23">
        <v>104.5</v>
      </c>
      <c r="F1805" s="23">
        <v>34.049999999999997</v>
      </c>
      <c r="G1805" s="23">
        <v>492.9</v>
      </c>
      <c r="H1805" s="40">
        <v>4.17</v>
      </c>
      <c r="I1805" s="13">
        <f t="shared" si="28"/>
        <v>3.0690161527165936</v>
      </c>
      <c r="J1805" s="20"/>
    </row>
    <row r="1806" spans="2:10">
      <c r="C1806" s="40">
        <v>2.7</v>
      </c>
      <c r="D1806" s="34">
        <v>109.8</v>
      </c>
      <c r="E1806" s="23">
        <v>105.2</v>
      </c>
      <c r="F1806" s="23">
        <v>33.89</v>
      </c>
      <c r="G1806" s="23">
        <v>494.5</v>
      </c>
      <c r="H1806" s="40">
        <v>4.1500000000000004</v>
      </c>
      <c r="I1806" s="13">
        <f t="shared" si="28"/>
        <v>3.1041605193272352</v>
      </c>
      <c r="J1806" s="20"/>
    </row>
    <row r="1807" spans="2:10">
      <c r="C1807" s="40">
        <v>2.6579999999999999</v>
      </c>
      <c r="D1807" s="34">
        <v>123.6</v>
      </c>
      <c r="E1807" s="23">
        <v>105.6</v>
      </c>
      <c r="F1807" s="23">
        <v>34.119999999999997</v>
      </c>
      <c r="G1807" s="23">
        <v>487.8</v>
      </c>
      <c r="H1807" s="40">
        <v>4.41</v>
      </c>
      <c r="I1807" s="13">
        <f t="shared" si="28"/>
        <v>3.0949589683470107</v>
      </c>
      <c r="J1807" s="20"/>
    </row>
    <row r="1808" spans="2:10">
      <c r="C1808" s="40">
        <v>2.7080000000000002</v>
      </c>
      <c r="D1808" s="34">
        <v>107.5</v>
      </c>
      <c r="E1808" s="23">
        <v>105.7</v>
      </c>
      <c r="F1808" s="23">
        <v>34.07</v>
      </c>
      <c r="G1808" s="23">
        <v>487.3</v>
      </c>
      <c r="H1808" s="40">
        <v>4.34</v>
      </c>
      <c r="I1808" s="13">
        <f t="shared" si="28"/>
        <v>3.1024361608453184</v>
      </c>
      <c r="J1808" s="20"/>
    </row>
    <row r="1809" spans="2:10">
      <c r="C1809" s="40">
        <v>2.6989999999999998</v>
      </c>
      <c r="D1809" s="34">
        <v>103.7</v>
      </c>
      <c r="E1809" s="23">
        <v>105.2</v>
      </c>
      <c r="F1809" s="23">
        <v>33.590000000000003</v>
      </c>
      <c r="G1809" s="23">
        <v>487.9</v>
      </c>
      <c r="H1809" s="40">
        <v>4.49</v>
      </c>
      <c r="I1809" s="13">
        <f t="shared" si="28"/>
        <v>3.131884489431378</v>
      </c>
      <c r="J1809" s="20"/>
    </row>
    <row r="1810" spans="2:10">
      <c r="C1810" s="40">
        <v>2.7050000000000001</v>
      </c>
      <c r="D1810" s="34">
        <v>104.9</v>
      </c>
      <c r="E1810" s="23">
        <v>105</v>
      </c>
      <c r="F1810" s="23">
        <v>34.07</v>
      </c>
      <c r="G1810" s="23">
        <v>488.8</v>
      </c>
      <c r="H1810" s="40">
        <v>4.17</v>
      </c>
      <c r="I1810" s="13">
        <f t="shared" si="28"/>
        <v>3.0818902260052834</v>
      </c>
      <c r="J1810" s="20"/>
    </row>
    <row r="1811" spans="2:10">
      <c r="C1811" s="40">
        <v>2.694</v>
      </c>
      <c r="D1811" s="34">
        <v>118</v>
      </c>
      <c r="E1811" s="23">
        <v>105.3</v>
      </c>
      <c r="F1811" s="23">
        <v>34.24</v>
      </c>
      <c r="G1811" s="23">
        <v>487.3</v>
      </c>
      <c r="H1811" s="40">
        <v>4.46</v>
      </c>
      <c r="I1811" s="13">
        <f t="shared" si="28"/>
        <v>3.0753504672897192</v>
      </c>
      <c r="J1811" s="20"/>
    </row>
    <row r="1812" spans="2:10">
      <c r="C1812" s="40">
        <v>2.681</v>
      </c>
      <c r="D1812" s="34">
        <v>154</v>
      </c>
      <c r="E1812" s="23">
        <v>105.4</v>
      </c>
      <c r="F1812" s="23">
        <v>34.630000000000003</v>
      </c>
      <c r="G1812" s="23">
        <v>489.7</v>
      </c>
      <c r="H1812" s="40">
        <v>4.51</v>
      </c>
      <c r="I1812" s="13">
        <f t="shared" si="28"/>
        <v>3.0436038117239388</v>
      </c>
      <c r="J1812" s="20"/>
    </row>
    <row r="1813" spans="2:10">
      <c r="C1813" s="40">
        <v>2.6909999999999998</v>
      </c>
      <c r="D1813" s="34">
        <v>158.1</v>
      </c>
      <c r="E1813" s="23">
        <v>104.8</v>
      </c>
      <c r="F1813" s="23">
        <v>34.28</v>
      </c>
      <c r="G1813" s="23">
        <v>489.9</v>
      </c>
      <c r="H1813" s="40">
        <v>4.79</v>
      </c>
      <c r="I1813" s="13">
        <f t="shared" si="28"/>
        <v>3.057176196032672</v>
      </c>
      <c r="J1813" s="20"/>
    </row>
    <row r="1814" spans="2:10">
      <c r="C1814" s="40">
        <v>2.6890000000000001</v>
      </c>
      <c r="D1814" s="34">
        <v>142.6</v>
      </c>
      <c r="E1814" s="23">
        <v>104.7</v>
      </c>
      <c r="F1814" s="23">
        <v>34.049999999999997</v>
      </c>
      <c r="G1814" s="23">
        <v>485.1</v>
      </c>
      <c r="H1814" s="40">
        <v>4.7300000000000004</v>
      </c>
      <c r="I1814" s="13">
        <f t="shared" si="28"/>
        <v>3.0748898678414101</v>
      </c>
      <c r="J1814" s="20"/>
    </row>
    <row r="1815" spans="2:10">
      <c r="C1815" s="40">
        <v>2.6739999999999999</v>
      </c>
      <c r="D1815" s="34">
        <v>123.3</v>
      </c>
      <c r="E1815" s="23">
        <v>104.9</v>
      </c>
      <c r="F1815" s="23">
        <v>34.270000000000003</v>
      </c>
      <c r="G1815" s="23">
        <v>483.9</v>
      </c>
      <c r="H1815" s="40">
        <v>3.93</v>
      </c>
      <c r="I1815" s="13">
        <f t="shared" si="28"/>
        <v>3.0609862853807992</v>
      </c>
      <c r="J1815" s="20"/>
    </row>
    <row r="1816" spans="2:10">
      <c r="C1816" s="40">
        <v>2.6659999999999999</v>
      </c>
      <c r="D1816" s="34">
        <v>103.7</v>
      </c>
      <c r="E1816" s="23">
        <v>104.6</v>
      </c>
      <c r="F1816" s="23">
        <v>34.369999999999997</v>
      </c>
      <c r="G1816" s="23">
        <v>480.8</v>
      </c>
      <c r="H1816" s="40">
        <v>4.09</v>
      </c>
      <c r="I1816" s="13">
        <f t="shared" si="28"/>
        <v>3.0433517602560372</v>
      </c>
      <c r="J1816" s="20"/>
    </row>
    <row r="1817" spans="2:10">
      <c r="C1817" s="40">
        <v>2.649</v>
      </c>
      <c r="D1817" s="34">
        <v>119.7</v>
      </c>
      <c r="E1817" s="23">
        <v>104.7</v>
      </c>
      <c r="F1817" s="23">
        <v>34.700000000000003</v>
      </c>
      <c r="G1817" s="23">
        <v>478.7</v>
      </c>
      <c r="H1817" s="40">
        <v>3.68</v>
      </c>
      <c r="I1817" s="13">
        <f t="shared" si="28"/>
        <v>3.0172910662824206</v>
      </c>
      <c r="J1817" s="20"/>
    </row>
    <row r="1818" spans="2:10">
      <c r="C1818" s="40">
        <v>2.694</v>
      </c>
      <c r="D1818" s="34">
        <v>118.1</v>
      </c>
      <c r="E1818" s="23">
        <v>104.2</v>
      </c>
      <c r="F1818" s="23">
        <v>34.86</v>
      </c>
      <c r="G1818" s="23">
        <v>479.7</v>
      </c>
      <c r="H1818" s="40">
        <v>4.03</v>
      </c>
      <c r="I1818" s="13">
        <f t="shared" si="28"/>
        <v>2.9890992541594952</v>
      </c>
      <c r="J1818" s="20"/>
    </row>
    <row r="1819" spans="2:10">
      <c r="C1819" s="40">
        <v>2.7050000000000001</v>
      </c>
      <c r="D1819" s="34">
        <v>135.6</v>
      </c>
      <c r="E1819" s="23">
        <v>104.5</v>
      </c>
      <c r="F1819" s="23">
        <v>34.770000000000003</v>
      </c>
      <c r="G1819" s="23">
        <v>482.1</v>
      </c>
      <c r="H1819" s="40">
        <v>4.34</v>
      </c>
      <c r="I1819" s="13">
        <f t="shared" si="28"/>
        <v>3.0054644808743167</v>
      </c>
      <c r="J1819" s="20"/>
    </row>
    <row r="1820" spans="2:10">
      <c r="C1820" s="40">
        <v>2.7040000000000002</v>
      </c>
      <c r="D1820" s="34">
        <v>142.4</v>
      </c>
      <c r="E1820" s="23">
        <v>104.9</v>
      </c>
      <c r="F1820" s="23">
        <v>34.68</v>
      </c>
      <c r="G1820" s="23">
        <v>483.1</v>
      </c>
      <c r="H1820" s="40">
        <v>4.0599999999999996</v>
      </c>
      <c r="I1820" s="13">
        <f t="shared" si="28"/>
        <v>3.0247981545559401</v>
      </c>
      <c r="J1820" s="20"/>
    </row>
    <row r="1821" spans="2:10">
      <c r="C1821" s="40">
        <v>2.71</v>
      </c>
      <c r="D1821" s="34">
        <v>110.9</v>
      </c>
      <c r="E1821" s="23">
        <v>104.6</v>
      </c>
      <c r="F1821" s="23">
        <v>34.6</v>
      </c>
      <c r="G1821" s="23">
        <v>484.6</v>
      </c>
      <c r="H1821" s="40">
        <v>4.4000000000000004</v>
      </c>
      <c r="I1821" s="13">
        <f t="shared" si="28"/>
        <v>3.0231213872832368</v>
      </c>
      <c r="J1821" s="20"/>
    </row>
    <row r="1822" spans="2:10">
      <c r="B1822" s="47">
        <v>92</v>
      </c>
      <c r="C1822" s="39">
        <v>2.7829999999999999</v>
      </c>
      <c r="D1822" s="37">
        <v>94.7</v>
      </c>
      <c r="E1822" s="38">
        <v>93.84</v>
      </c>
      <c r="F1822" s="38">
        <v>25.07</v>
      </c>
      <c r="G1822" s="38">
        <v>496.1</v>
      </c>
      <c r="H1822" s="39">
        <v>4.2220000000000004</v>
      </c>
      <c r="I1822" s="13">
        <f t="shared" si="28"/>
        <v>3.7431192660550461</v>
      </c>
      <c r="J1822" s="20"/>
    </row>
    <row r="1823" spans="2:10">
      <c r="C1823" s="40">
        <v>2.7970000000000002</v>
      </c>
      <c r="D1823" s="34">
        <v>100.9</v>
      </c>
      <c r="E1823" s="23">
        <v>92.33</v>
      </c>
      <c r="F1823" s="23">
        <v>25.03</v>
      </c>
      <c r="G1823" s="23">
        <v>498.5</v>
      </c>
      <c r="H1823" s="40">
        <v>4.9279999999999999</v>
      </c>
      <c r="I1823" s="13">
        <f t="shared" si="28"/>
        <v>3.688773471833799</v>
      </c>
      <c r="J1823" s="20"/>
    </row>
    <row r="1824" spans="2:10">
      <c r="C1824" s="40">
        <v>2.774</v>
      </c>
      <c r="D1824" s="34">
        <v>98.2</v>
      </c>
      <c r="E1824" s="23">
        <v>93.17</v>
      </c>
      <c r="F1824" s="23">
        <v>25.62</v>
      </c>
      <c r="G1824" s="23">
        <v>497.4</v>
      </c>
      <c r="H1824" s="40">
        <v>4.8620000000000001</v>
      </c>
      <c r="I1824" s="13">
        <f t="shared" si="28"/>
        <v>3.6366120218579234</v>
      </c>
      <c r="J1824" s="20"/>
    </row>
    <row r="1825" spans="3:10">
      <c r="C1825" s="40">
        <v>2.7090000000000001</v>
      </c>
      <c r="D1825" s="34">
        <v>92.6</v>
      </c>
      <c r="E1825" s="23">
        <v>93.08</v>
      </c>
      <c r="F1825" s="23">
        <v>24.98</v>
      </c>
      <c r="G1825" s="23">
        <v>498.5</v>
      </c>
      <c r="H1825" s="40">
        <v>4.556</v>
      </c>
      <c r="I1825" s="13">
        <f t="shared" si="28"/>
        <v>3.7261809447558045</v>
      </c>
      <c r="J1825" s="20"/>
    </row>
    <row r="1826" spans="3:10">
      <c r="C1826" s="40">
        <v>2.7490000000000001</v>
      </c>
      <c r="D1826" s="34">
        <v>105</v>
      </c>
      <c r="E1826" s="23">
        <v>93.19</v>
      </c>
      <c r="F1826" s="23">
        <v>25.62</v>
      </c>
      <c r="G1826" s="23">
        <v>497.1</v>
      </c>
      <c r="H1826" s="40">
        <v>4.2220000000000004</v>
      </c>
      <c r="I1826" s="13">
        <f t="shared" si="28"/>
        <v>3.6373926619828256</v>
      </c>
      <c r="J1826" s="20"/>
    </row>
    <row r="1827" spans="3:10">
      <c r="C1827" s="40">
        <v>2.71</v>
      </c>
      <c r="D1827" s="34">
        <v>93.9</v>
      </c>
      <c r="E1827" s="23">
        <v>93.45</v>
      </c>
      <c r="F1827" s="23">
        <v>25.1</v>
      </c>
      <c r="G1827" s="23">
        <v>499.5</v>
      </c>
      <c r="H1827" s="40">
        <v>4.5869999999999997</v>
      </c>
      <c r="I1827" s="13">
        <f t="shared" si="28"/>
        <v>3.7231075697211153</v>
      </c>
      <c r="J1827" s="20"/>
    </row>
    <row r="1828" spans="3:10">
      <c r="C1828" s="40">
        <v>2.6880000000000002</v>
      </c>
      <c r="D1828" s="34">
        <v>121.1</v>
      </c>
      <c r="E1828" s="23">
        <v>93.42</v>
      </c>
      <c r="F1828" s="23">
        <v>25.36</v>
      </c>
      <c r="G1828" s="23">
        <v>499.8</v>
      </c>
      <c r="H1828" s="40">
        <v>4.8109999999999999</v>
      </c>
      <c r="I1828" s="13">
        <f t="shared" si="28"/>
        <v>3.6837539432176656</v>
      </c>
      <c r="J1828" s="20"/>
    </row>
    <row r="1829" spans="3:10">
      <c r="C1829" s="40">
        <v>2.7290000000000001</v>
      </c>
      <c r="D1829" s="34">
        <v>93.9</v>
      </c>
      <c r="E1829" s="23">
        <v>93.59</v>
      </c>
      <c r="F1829" s="23">
        <v>24.86</v>
      </c>
      <c r="G1829" s="23">
        <v>501.7</v>
      </c>
      <c r="H1829" s="40">
        <v>5.0119999999999996</v>
      </c>
      <c r="I1829" s="13">
        <f t="shared" si="28"/>
        <v>3.764682220434433</v>
      </c>
      <c r="J1829" s="20"/>
    </row>
    <row r="1830" spans="3:10">
      <c r="C1830" s="40">
        <v>2.766</v>
      </c>
      <c r="D1830" s="34">
        <v>92.7</v>
      </c>
      <c r="E1830" s="23">
        <v>93.99</v>
      </c>
      <c r="F1830" s="23">
        <v>24.73</v>
      </c>
      <c r="G1830" s="23">
        <v>504.6</v>
      </c>
      <c r="H1830" s="40">
        <v>5.1390000000000002</v>
      </c>
      <c r="I1830" s="13">
        <f t="shared" si="28"/>
        <v>3.8006469874646176</v>
      </c>
      <c r="J1830" s="20"/>
    </row>
    <row r="1831" spans="3:10">
      <c r="C1831" s="40">
        <v>2.7290000000000001</v>
      </c>
      <c r="D1831" s="34">
        <v>106.1</v>
      </c>
      <c r="E1831" s="23">
        <v>93.8</v>
      </c>
      <c r="F1831" s="23">
        <v>24.32</v>
      </c>
      <c r="G1831" s="23">
        <v>504.2</v>
      </c>
      <c r="H1831" s="40">
        <v>4.6959999999999997</v>
      </c>
      <c r="I1831" s="13">
        <f t="shared" si="28"/>
        <v>3.856907894736842</v>
      </c>
      <c r="J1831" s="20"/>
    </row>
    <row r="1832" spans="3:10">
      <c r="C1832" s="40">
        <v>2.7069999999999999</v>
      </c>
      <c r="D1832" s="34">
        <v>96.4</v>
      </c>
      <c r="E1832" s="23">
        <v>94.12</v>
      </c>
      <c r="F1832" s="23">
        <v>24.56</v>
      </c>
      <c r="G1832" s="23">
        <v>500.2</v>
      </c>
      <c r="H1832" s="40">
        <v>4.7080000000000002</v>
      </c>
      <c r="I1832" s="13">
        <f t="shared" si="28"/>
        <v>3.8322475570032579</v>
      </c>
      <c r="J1832" s="20"/>
    </row>
    <row r="1833" spans="3:10">
      <c r="C1833" s="40">
        <v>2.7469999999999999</v>
      </c>
      <c r="D1833" s="34">
        <v>95.3</v>
      </c>
      <c r="E1833" s="23">
        <v>93.78</v>
      </c>
      <c r="F1833" s="23">
        <v>24.44</v>
      </c>
      <c r="G1833" s="23">
        <v>501.4</v>
      </c>
      <c r="H1833" s="40">
        <v>4.4820000000000002</v>
      </c>
      <c r="I1833" s="13">
        <f t="shared" si="28"/>
        <v>3.8371522094926349</v>
      </c>
      <c r="J1833" s="20"/>
    </row>
    <row r="1834" spans="3:10">
      <c r="C1834" s="40">
        <v>2.7650000000000001</v>
      </c>
      <c r="D1834" s="34">
        <v>93.9</v>
      </c>
      <c r="E1834" s="23">
        <v>93.42</v>
      </c>
      <c r="F1834" s="23">
        <v>24.61</v>
      </c>
      <c r="G1834" s="23">
        <v>498.1</v>
      </c>
      <c r="H1834" s="40">
        <v>4.5030000000000001</v>
      </c>
      <c r="I1834" s="13">
        <f t="shared" si="28"/>
        <v>3.7960178789110119</v>
      </c>
      <c r="J1834" s="20"/>
    </row>
    <row r="1835" spans="3:10">
      <c r="C1835" s="40">
        <v>2.76</v>
      </c>
      <c r="D1835" s="34">
        <v>92.6</v>
      </c>
      <c r="E1835" s="23">
        <v>93.16</v>
      </c>
      <c r="F1835" s="23">
        <v>24.31</v>
      </c>
      <c r="G1835" s="23">
        <v>498.2</v>
      </c>
      <c r="H1835" s="40">
        <v>4.6630000000000003</v>
      </c>
      <c r="I1835" s="13">
        <f t="shared" si="28"/>
        <v>3.8321678321678321</v>
      </c>
      <c r="J1835" s="20"/>
    </row>
    <row r="1836" spans="3:10">
      <c r="C1836" s="40">
        <v>2.8050000000000002</v>
      </c>
      <c r="D1836" s="34">
        <v>90.2</v>
      </c>
      <c r="E1836" s="23">
        <v>93.26</v>
      </c>
      <c r="F1836" s="23">
        <v>24.54</v>
      </c>
      <c r="G1836" s="23">
        <v>494.9</v>
      </c>
      <c r="H1836" s="40">
        <v>4.6609999999999996</v>
      </c>
      <c r="I1836" s="13">
        <f t="shared" si="28"/>
        <v>3.8003259983700084</v>
      </c>
      <c r="J1836" s="20"/>
    </row>
    <row r="1837" spans="3:10">
      <c r="C1837" s="40">
        <v>2.7759999999999998</v>
      </c>
      <c r="D1837" s="34">
        <v>100.9</v>
      </c>
      <c r="E1837" s="23">
        <v>93.11</v>
      </c>
      <c r="F1837" s="23">
        <v>25.2</v>
      </c>
      <c r="G1837" s="23">
        <v>497.4</v>
      </c>
      <c r="H1837" s="40">
        <v>4.7080000000000002</v>
      </c>
      <c r="I1837" s="13">
        <f t="shared" si="28"/>
        <v>3.69484126984127</v>
      </c>
      <c r="J1837" s="20"/>
    </row>
    <row r="1838" spans="3:10">
      <c r="C1838" s="40">
        <v>2.802</v>
      </c>
      <c r="D1838" s="34">
        <v>93.6</v>
      </c>
      <c r="E1838" s="23">
        <v>93.14</v>
      </c>
      <c r="F1838" s="23">
        <v>25.61</v>
      </c>
      <c r="G1838" s="23">
        <v>498</v>
      </c>
      <c r="H1838" s="40">
        <v>5.1449999999999996</v>
      </c>
      <c r="I1838" s="13">
        <f t="shared" si="28"/>
        <v>3.6368606013276064</v>
      </c>
      <c r="J1838" s="20"/>
    </row>
    <row r="1839" spans="3:10">
      <c r="C1839" s="40">
        <v>2.7970000000000002</v>
      </c>
      <c r="D1839" s="34">
        <v>97</v>
      </c>
      <c r="E1839" s="23">
        <v>93.25</v>
      </c>
      <c r="F1839" s="23">
        <v>25.07</v>
      </c>
      <c r="G1839" s="23">
        <v>497.2</v>
      </c>
      <c r="H1839" s="40">
        <v>5.6520000000000001</v>
      </c>
      <c r="I1839" s="13">
        <f t="shared" si="28"/>
        <v>3.7195851615476663</v>
      </c>
      <c r="J1839" s="20"/>
    </row>
    <row r="1840" spans="3:10">
      <c r="C1840" s="40">
        <v>2.8010000000000002</v>
      </c>
      <c r="D1840" s="34">
        <v>92.5</v>
      </c>
      <c r="E1840" s="23">
        <v>93.18</v>
      </c>
      <c r="F1840" s="23">
        <v>24.61</v>
      </c>
      <c r="G1840" s="23">
        <v>499.8</v>
      </c>
      <c r="H1840" s="40">
        <v>5.6189999999999998</v>
      </c>
      <c r="I1840" s="13">
        <f t="shared" si="28"/>
        <v>3.7862657456318574</v>
      </c>
      <c r="J1840" s="20"/>
    </row>
    <row r="1841" spans="2:10">
      <c r="C1841" s="40">
        <v>2.7469999999999999</v>
      </c>
      <c r="D1841" s="34">
        <v>92.6</v>
      </c>
      <c r="E1841" s="23">
        <v>93.1</v>
      </c>
      <c r="F1841" s="23">
        <v>24.81</v>
      </c>
      <c r="G1841" s="23">
        <v>501.3</v>
      </c>
      <c r="H1841" s="40">
        <v>5.7409999999999997</v>
      </c>
      <c r="I1841" s="13">
        <f t="shared" si="28"/>
        <v>3.7525191455058442</v>
      </c>
      <c r="J1841" s="20"/>
    </row>
    <row r="1842" spans="2:10">
      <c r="B1842" s="47">
        <v>93</v>
      </c>
      <c r="C1842" s="39">
        <v>2.3359999999999999</v>
      </c>
      <c r="D1842" s="37">
        <v>120.7</v>
      </c>
      <c r="E1842" s="38">
        <v>82.3</v>
      </c>
      <c r="F1842" s="38">
        <v>42.37</v>
      </c>
      <c r="G1842" s="38">
        <v>535.20000000000005</v>
      </c>
      <c r="H1842" s="39">
        <v>4.6769999999999996</v>
      </c>
      <c r="I1842" s="13">
        <f t="shared" si="28"/>
        <v>1.9424120840217136</v>
      </c>
      <c r="J1842" s="20"/>
    </row>
    <row r="1843" spans="2:10">
      <c r="C1843" s="40">
        <v>2.3450000000000002</v>
      </c>
      <c r="D1843" s="34">
        <v>150.4</v>
      </c>
      <c r="E1843" s="23">
        <v>82.67</v>
      </c>
      <c r="F1843" s="23">
        <v>42.39</v>
      </c>
      <c r="G1843" s="23">
        <v>535.29999999999995</v>
      </c>
      <c r="H1843" s="40">
        <v>4.4969999999999999</v>
      </c>
      <c r="I1843" s="13">
        <f t="shared" si="28"/>
        <v>1.9502241094597783</v>
      </c>
      <c r="J1843" s="20"/>
    </row>
    <row r="1844" spans="2:10">
      <c r="C1844" s="40">
        <v>2.3479999999999999</v>
      </c>
      <c r="D1844" s="34">
        <v>113.5</v>
      </c>
      <c r="E1844" s="23">
        <v>82.98</v>
      </c>
      <c r="F1844" s="23">
        <v>42.73</v>
      </c>
      <c r="G1844" s="23">
        <v>530</v>
      </c>
      <c r="H1844" s="40">
        <v>4.0670000000000002</v>
      </c>
      <c r="I1844" s="13">
        <f t="shared" si="28"/>
        <v>1.9419611514158672</v>
      </c>
      <c r="J1844" s="20"/>
    </row>
    <row r="1845" spans="2:10">
      <c r="C1845" s="40">
        <v>2.3490000000000002</v>
      </c>
      <c r="D1845" s="34">
        <v>140.80000000000001</v>
      </c>
      <c r="E1845" s="23">
        <v>82.76</v>
      </c>
      <c r="F1845" s="23">
        <v>42.9</v>
      </c>
      <c r="G1845" s="23">
        <v>528.6</v>
      </c>
      <c r="H1845" s="40">
        <v>4.0069999999999997</v>
      </c>
      <c r="I1845" s="13">
        <f t="shared" si="28"/>
        <v>1.9291375291375292</v>
      </c>
      <c r="J1845" s="20"/>
    </row>
    <row r="1846" spans="2:10">
      <c r="C1846" s="40">
        <v>2.3460000000000001</v>
      </c>
      <c r="D1846" s="34">
        <v>96.2</v>
      </c>
      <c r="E1846" s="23">
        <v>82.95</v>
      </c>
      <c r="F1846" s="23">
        <v>42.76</v>
      </c>
      <c r="G1846" s="23">
        <v>528</v>
      </c>
      <c r="H1846" s="40">
        <v>4.5620000000000003</v>
      </c>
      <c r="I1846" s="13">
        <f t="shared" si="28"/>
        <v>1.9398971000935454</v>
      </c>
      <c r="J1846" s="20"/>
    </row>
    <row r="1847" spans="2:10">
      <c r="C1847" s="40">
        <v>2.3370000000000002</v>
      </c>
      <c r="D1847" s="34">
        <v>110.2</v>
      </c>
      <c r="E1847" s="23">
        <v>93.26</v>
      </c>
      <c r="F1847" s="23">
        <v>42.22</v>
      </c>
      <c r="G1847" s="23">
        <v>526.1</v>
      </c>
      <c r="H1847" s="40">
        <v>4.5869999999999997</v>
      </c>
      <c r="I1847" s="13">
        <f t="shared" si="28"/>
        <v>2.2089057318806256</v>
      </c>
      <c r="J1847" s="20"/>
    </row>
    <row r="1848" spans="2:10">
      <c r="C1848" s="40">
        <v>2.3313000000000001</v>
      </c>
      <c r="D1848" s="34">
        <v>134.4</v>
      </c>
      <c r="E1848" s="23">
        <v>82.11</v>
      </c>
      <c r="F1848" s="23">
        <v>42.08</v>
      </c>
      <c r="G1848" s="23">
        <v>522.5</v>
      </c>
      <c r="H1848" s="40">
        <v>4.6340000000000003</v>
      </c>
      <c r="I1848" s="13">
        <f t="shared" si="28"/>
        <v>1.9512832699619773</v>
      </c>
      <c r="J1848" s="20"/>
    </row>
    <row r="1849" spans="2:10">
      <c r="C1849" s="40">
        <v>2.294</v>
      </c>
      <c r="D1849" s="34">
        <v>136</v>
      </c>
      <c r="E1849" s="23">
        <v>82.27</v>
      </c>
      <c r="F1849" s="23">
        <v>42.25</v>
      </c>
      <c r="G1849" s="23">
        <v>518.5</v>
      </c>
      <c r="H1849" s="40">
        <v>4.83</v>
      </c>
      <c r="I1849" s="13">
        <f t="shared" si="28"/>
        <v>1.9472189349112425</v>
      </c>
      <c r="J1849" s="20"/>
    </row>
    <row r="1850" spans="2:10">
      <c r="C1850" s="40">
        <v>2.254</v>
      </c>
      <c r="D1850" s="34">
        <v>187.7</v>
      </c>
      <c r="E1850" s="23">
        <v>82.42</v>
      </c>
      <c r="F1850" s="23">
        <v>42.29</v>
      </c>
      <c r="G1850" s="23">
        <v>528.6</v>
      </c>
      <c r="H1850" s="40">
        <v>4.78</v>
      </c>
      <c r="I1850" s="13">
        <f t="shared" si="28"/>
        <v>1.9489240955308584</v>
      </c>
      <c r="J1850" s="20"/>
    </row>
    <row r="1851" spans="2:10">
      <c r="C1851" s="40">
        <v>2.2229999999999999</v>
      </c>
      <c r="D1851" s="34">
        <v>140.80000000000001</v>
      </c>
      <c r="E1851" s="23">
        <v>83.08</v>
      </c>
      <c r="F1851" s="23">
        <v>42.45</v>
      </c>
      <c r="G1851" s="23">
        <v>530.1</v>
      </c>
      <c r="H1851" s="40">
        <v>4.6340000000000003</v>
      </c>
      <c r="I1851" s="13">
        <f t="shared" si="28"/>
        <v>1.9571260306242637</v>
      </c>
      <c r="J1851" s="20"/>
    </row>
    <row r="1852" spans="2:10">
      <c r="C1852" s="40">
        <v>2.1509999999999998</v>
      </c>
      <c r="D1852" s="34">
        <v>120</v>
      </c>
      <c r="E1852" s="23">
        <v>83.63</v>
      </c>
      <c r="F1852" s="23">
        <v>42.43</v>
      </c>
      <c r="G1852" s="23">
        <v>534.29999999999995</v>
      </c>
      <c r="H1852" s="40">
        <v>4.7720000000000002</v>
      </c>
      <c r="I1852" s="13">
        <f t="shared" si="28"/>
        <v>1.9710110770681122</v>
      </c>
      <c r="J1852" s="20"/>
    </row>
    <row r="1853" spans="2:10">
      <c r="C1853" s="40">
        <v>2.177</v>
      </c>
      <c r="D1853" s="34">
        <v>124.6</v>
      </c>
      <c r="E1853" s="23">
        <v>83.47</v>
      </c>
      <c r="F1853" s="23">
        <v>42.25</v>
      </c>
      <c r="G1853" s="23">
        <v>535.70000000000005</v>
      </c>
      <c r="H1853" s="40">
        <v>4.5869999999999997</v>
      </c>
      <c r="I1853" s="13">
        <f t="shared" si="28"/>
        <v>1.9756213017751478</v>
      </c>
      <c r="J1853" s="20"/>
    </row>
    <row r="1854" spans="2:10">
      <c r="C1854" s="40">
        <v>2.198</v>
      </c>
      <c r="D1854" s="34">
        <v>150.4</v>
      </c>
      <c r="E1854" s="23">
        <v>82.92</v>
      </c>
      <c r="F1854" s="23">
        <v>42.13</v>
      </c>
      <c r="G1854" s="23">
        <v>535.5</v>
      </c>
      <c r="H1854" s="40">
        <v>4.6520000000000001</v>
      </c>
      <c r="I1854" s="13">
        <f t="shared" si="28"/>
        <v>1.9681936862093519</v>
      </c>
      <c r="J1854" s="20"/>
    </row>
    <row r="1855" spans="2:10">
      <c r="C1855" s="40">
        <v>2.2469999999999999</v>
      </c>
      <c r="D1855" s="34">
        <v>124.6</v>
      </c>
      <c r="E1855" s="23">
        <v>82.37</v>
      </c>
      <c r="F1855" s="23">
        <v>42.29</v>
      </c>
      <c r="G1855" s="23">
        <v>535.20000000000005</v>
      </c>
      <c r="H1855" s="40">
        <v>4.6820000000000004</v>
      </c>
      <c r="I1855" s="13">
        <f t="shared" si="28"/>
        <v>1.9477417829274062</v>
      </c>
      <c r="J1855" s="20"/>
    </row>
    <row r="1856" spans="2:10">
      <c r="C1856" s="40">
        <v>2.2570000000000001</v>
      </c>
      <c r="D1856" s="34">
        <v>105.3</v>
      </c>
      <c r="E1856" s="23">
        <v>82.4</v>
      </c>
      <c r="F1856" s="23">
        <v>42.27</v>
      </c>
      <c r="G1856" s="23">
        <v>537.1</v>
      </c>
      <c r="H1856" s="40">
        <v>4.5209999999999999</v>
      </c>
      <c r="I1856" s="13">
        <f t="shared" si="28"/>
        <v>1.9493730778329785</v>
      </c>
      <c r="J1856" s="20"/>
    </row>
    <row r="1857" spans="2:10">
      <c r="C1857" s="40">
        <v>2.29</v>
      </c>
      <c r="D1857" s="34">
        <v>96.2</v>
      </c>
      <c r="E1857" s="23">
        <v>82.55</v>
      </c>
      <c r="F1857" s="23">
        <v>41.95</v>
      </c>
      <c r="G1857" s="23">
        <v>536.6</v>
      </c>
      <c r="H1857" s="40">
        <v>4.4749999999999996</v>
      </c>
      <c r="I1857" s="13">
        <f t="shared" si="28"/>
        <v>1.9678188319427887</v>
      </c>
      <c r="J1857" s="20"/>
    </row>
    <row r="1858" spans="2:10">
      <c r="C1858" s="40">
        <v>2.3279999999999998</v>
      </c>
      <c r="D1858" s="34">
        <v>110.2</v>
      </c>
      <c r="E1858" s="23">
        <v>82.71</v>
      </c>
      <c r="F1858" s="23">
        <v>41.92</v>
      </c>
      <c r="G1858" s="23">
        <v>535.9</v>
      </c>
      <c r="H1858" s="40">
        <v>4.4870000000000001</v>
      </c>
      <c r="I1858" s="13">
        <f t="shared" si="28"/>
        <v>1.9730438931297707</v>
      </c>
      <c r="J1858" s="20"/>
    </row>
    <row r="1859" spans="2:10">
      <c r="C1859" s="40">
        <v>2.3370000000000002</v>
      </c>
      <c r="D1859" s="34">
        <v>124</v>
      </c>
      <c r="E1859" s="23">
        <v>83.03</v>
      </c>
      <c r="F1859" s="23">
        <v>42.45</v>
      </c>
      <c r="G1859" s="23">
        <v>534.29999999999995</v>
      </c>
      <c r="H1859" s="40">
        <v>4.4429999999999996</v>
      </c>
      <c r="I1859" s="13">
        <f t="shared" ref="I1859:I1922" si="29">E1859/F1859</f>
        <v>1.9559481743227325</v>
      </c>
      <c r="J1859" s="20"/>
    </row>
    <row r="1860" spans="2:10">
      <c r="C1860" s="40">
        <v>2.3479999999999999</v>
      </c>
      <c r="D1860" s="34">
        <v>143.80000000000001</v>
      </c>
      <c r="E1860" s="23">
        <v>83.19</v>
      </c>
      <c r="F1860" s="23">
        <v>42.61</v>
      </c>
      <c r="G1860" s="23">
        <v>530.29999999999995</v>
      </c>
      <c r="H1860" s="40">
        <v>4.4960000000000004</v>
      </c>
      <c r="I1860" s="13">
        <f t="shared" si="29"/>
        <v>1.9523586012673082</v>
      </c>
      <c r="J1860" s="20"/>
    </row>
    <row r="1861" spans="2:10">
      <c r="C1861" s="40">
        <v>2.3490000000000002</v>
      </c>
      <c r="D1861" s="34">
        <v>160.4</v>
      </c>
      <c r="E1861" s="23">
        <v>82.62</v>
      </c>
      <c r="F1861" s="23">
        <v>42.29</v>
      </c>
      <c r="G1861" s="23">
        <v>528.6</v>
      </c>
      <c r="H1861" s="40">
        <v>4.6340000000000003</v>
      </c>
      <c r="I1861" s="13">
        <f t="shared" si="29"/>
        <v>1.9536533459446679</v>
      </c>
      <c r="J1861" s="20"/>
    </row>
    <row r="1862" spans="2:10">
      <c r="B1862" s="47">
        <v>94</v>
      </c>
      <c r="C1862" s="39">
        <v>1.982</v>
      </c>
      <c r="D1862" s="37">
        <v>126</v>
      </c>
      <c r="E1862" s="38">
        <v>85.9</v>
      </c>
      <c r="F1862" s="38">
        <v>27.22</v>
      </c>
      <c r="G1862" s="38">
        <v>523.5</v>
      </c>
      <c r="H1862" s="39">
        <v>3.746</v>
      </c>
      <c r="I1862" s="13">
        <f t="shared" si="29"/>
        <v>3.1557678177810438</v>
      </c>
      <c r="J1862" s="20"/>
    </row>
    <row r="1863" spans="2:10">
      <c r="C1863" s="40">
        <v>2.1669999999999998</v>
      </c>
      <c r="D1863" s="34">
        <v>138.5</v>
      </c>
      <c r="E1863" s="23">
        <v>86.09</v>
      </c>
      <c r="F1863" s="23">
        <v>27.4</v>
      </c>
      <c r="G1863" s="23">
        <v>523.29999999999995</v>
      </c>
      <c r="H1863" s="40">
        <v>4.0679999999999996</v>
      </c>
      <c r="I1863" s="13">
        <f t="shared" si="29"/>
        <v>3.1419708029197082</v>
      </c>
      <c r="J1863" s="20"/>
    </row>
    <row r="1864" spans="2:10">
      <c r="C1864" s="40">
        <v>2.0590000000000002</v>
      </c>
      <c r="D1864" s="34">
        <v>158</v>
      </c>
      <c r="E1864" s="23">
        <v>86.27</v>
      </c>
      <c r="F1864" s="23">
        <v>27.47</v>
      </c>
      <c r="G1864" s="23">
        <v>522.4</v>
      </c>
      <c r="H1864" s="40">
        <v>4.1219999999999999</v>
      </c>
      <c r="I1864" s="13">
        <f t="shared" si="29"/>
        <v>3.1405169275573352</v>
      </c>
      <c r="J1864" s="20"/>
    </row>
    <row r="1865" spans="2:10">
      <c r="C1865" s="40">
        <v>2.1669999999999998</v>
      </c>
      <c r="D1865" s="34">
        <v>164.7</v>
      </c>
      <c r="E1865" s="23">
        <v>86.33</v>
      </c>
      <c r="F1865" s="23">
        <v>27.6</v>
      </c>
      <c r="G1865" s="23">
        <v>521.4</v>
      </c>
      <c r="H1865" s="40">
        <v>5.25</v>
      </c>
      <c r="I1865" s="13">
        <f t="shared" si="29"/>
        <v>3.1278985507246375</v>
      </c>
      <c r="J1865" s="20"/>
    </row>
    <row r="1866" spans="2:10">
      <c r="C1866" s="40">
        <v>2.2050000000000001</v>
      </c>
      <c r="D1866" s="34">
        <v>113.3</v>
      </c>
      <c r="E1866" s="23">
        <v>86.15</v>
      </c>
      <c r="F1866" s="23">
        <v>27.59</v>
      </c>
      <c r="G1866" s="23">
        <v>524</v>
      </c>
      <c r="H1866" s="40">
        <v>5.77</v>
      </c>
      <c r="I1866" s="13">
        <f t="shared" si="29"/>
        <v>3.1225081551286702</v>
      </c>
      <c r="J1866" s="20"/>
    </row>
    <row r="1867" spans="2:10">
      <c r="C1867" s="40">
        <v>2.234</v>
      </c>
      <c r="D1867" s="34">
        <v>95.7</v>
      </c>
      <c r="E1867" s="23">
        <v>85.11</v>
      </c>
      <c r="F1867" s="23">
        <v>27.53</v>
      </c>
      <c r="G1867" s="23">
        <v>530.6</v>
      </c>
      <c r="H1867" s="40">
        <v>5.7770000000000001</v>
      </c>
      <c r="I1867" s="13">
        <f t="shared" si="29"/>
        <v>3.0915365056302213</v>
      </c>
      <c r="J1867" s="20"/>
    </row>
    <row r="1868" spans="2:10">
      <c r="C1868" s="40">
        <v>2.254</v>
      </c>
      <c r="D1868" s="34">
        <v>102</v>
      </c>
      <c r="E1868" s="23">
        <v>85.48</v>
      </c>
      <c r="F1868" s="23">
        <v>27.9</v>
      </c>
      <c r="G1868" s="23">
        <v>529</v>
      </c>
      <c r="H1868" s="40">
        <v>5.3140000000000001</v>
      </c>
      <c r="I1868" s="13">
        <f t="shared" si="29"/>
        <v>3.0637992831541223</v>
      </c>
      <c r="J1868" s="20"/>
    </row>
    <row r="1869" spans="2:10">
      <c r="C1869" s="40">
        <v>2.242</v>
      </c>
      <c r="D1869" s="34">
        <v>126</v>
      </c>
      <c r="E1869" s="23">
        <v>85.6</v>
      </c>
      <c r="F1869" s="23">
        <v>27.73</v>
      </c>
      <c r="G1869" s="23">
        <v>522.70000000000005</v>
      </c>
      <c r="H1869" s="40">
        <v>4.6520000000000001</v>
      </c>
      <c r="I1869" s="13">
        <f t="shared" si="29"/>
        <v>3.086909484313018</v>
      </c>
      <c r="J1869" s="20"/>
    </row>
    <row r="1870" spans="2:10">
      <c r="C1870" s="40">
        <v>2.2509999999999999</v>
      </c>
      <c r="D1870" s="34">
        <v>137.19999999999999</v>
      </c>
      <c r="E1870" s="23">
        <v>85.97</v>
      </c>
      <c r="F1870" s="23">
        <v>27.42</v>
      </c>
      <c r="G1870" s="23">
        <v>527.70000000000005</v>
      </c>
      <c r="H1870" s="40">
        <v>4.7080000000000002</v>
      </c>
      <c r="I1870" s="13">
        <f t="shared" si="29"/>
        <v>3.1353026987600288</v>
      </c>
      <c r="J1870" s="20"/>
    </row>
    <row r="1871" spans="2:10">
      <c r="C1871" s="40">
        <v>2.1920000000000002</v>
      </c>
      <c r="D1871" s="34">
        <v>143.30000000000001</v>
      </c>
      <c r="E1871" s="23">
        <v>85.42</v>
      </c>
      <c r="F1871" s="23">
        <v>27.78</v>
      </c>
      <c r="G1871" s="23">
        <v>521.9</v>
      </c>
      <c r="H1871" s="40">
        <v>4.5170000000000003</v>
      </c>
      <c r="I1871" s="13">
        <f t="shared" si="29"/>
        <v>3.0748740100791938</v>
      </c>
      <c r="J1871" s="20"/>
    </row>
    <row r="1872" spans="2:10">
      <c r="C1872" s="40">
        <v>2.1520000000000001</v>
      </c>
      <c r="D1872" s="34">
        <v>123.4</v>
      </c>
      <c r="E1872" s="23">
        <v>85.55</v>
      </c>
      <c r="F1872" s="23">
        <v>28.03</v>
      </c>
      <c r="G1872" s="23">
        <v>527.70000000000005</v>
      </c>
      <c r="H1872" s="40">
        <v>4.1820000000000004</v>
      </c>
      <c r="I1872" s="13">
        <f t="shared" si="29"/>
        <v>3.052087049589725</v>
      </c>
      <c r="J1872" s="20"/>
    </row>
    <row r="1873" spans="2:10">
      <c r="C1873" s="40">
        <v>2.0510000000000002</v>
      </c>
      <c r="D1873" s="34">
        <v>132.19999999999999</v>
      </c>
      <c r="E1873" s="23">
        <v>85.97</v>
      </c>
      <c r="F1873" s="23">
        <v>27.98</v>
      </c>
      <c r="G1873" s="23">
        <v>524</v>
      </c>
      <c r="H1873" s="40">
        <v>3.9729999999999999</v>
      </c>
      <c r="I1873" s="13">
        <f t="shared" si="29"/>
        <v>3.0725518227305217</v>
      </c>
      <c r="J1873" s="20"/>
    </row>
    <row r="1874" spans="2:10">
      <c r="C1874" s="40">
        <v>1.992</v>
      </c>
      <c r="D1874" s="34">
        <v>106.4</v>
      </c>
      <c r="E1874" s="23">
        <v>86.15</v>
      </c>
      <c r="F1874" s="23">
        <v>27.84</v>
      </c>
      <c r="G1874" s="23">
        <v>521.4</v>
      </c>
      <c r="H1874" s="40">
        <v>4.0960000000000001</v>
      </c>
      <c r="I1874" s="13">
        <f t="shared" si="29"/>
        <v>3.094468390804598</v>
      </c>
      <c r="J1874" s="20"/>
    </row>
    <row r="1875" spans="2:10">
      <c r="C1875" s="40">
        <v>1.9910000000000001</v>
      </c>
      <c r="D1875" s="34">
        <v>103</v>
      </c>
      <c r="E1875" s="23">
        <v>86.2</v>
      </c>
      <c r="F1875" s="23">
        <v>27.76</v>
      </c>
      <c r="G1875" s="23">
        <v>522.4</v>
      </c>
      <c r="H1875" s="40">
        <v>4.1219999999999999</v>
      </c>
      <c r="I1875" s="13">
        <f t="shared" si="29"/>
        <v>3.1051873198847262</v>
      </c>
      <c r="J1875" s="20"/>
    </row>
    <row r="1876" spans="2:10">
      <c r="C1876" s="40">
        <v>2.02</v>
      </c>
      <c r="D1876" s="34">
        <v>138.30000000000001</v>
      </c>
      <c r="E1876" s="23">
        <v>86.08</v>
      </c>
      <c r="F1876" s="23">
        <v>27.51</v>
      </c>
      <c r="G1876" s="23">
        <v>523.5</v>
      </c>
      <c r="H1876" s="40">
        <v>4.7080000000000002</v>
      </c>
      <c r="I1876" s="13">
        <f t="shared" si="29"/>
        <v>3.1290439840058157</v>
      </c>
      <c r="J1876" s="20"/>
    </row>
    <row r="1877" spans="2:10">
      <c r="C1877" s="40">
        <v>1.9530000000000001</v>
      </c>
      <c r="D1877" s="34">
        <v>164.1</v>
      </c>
      <c r="E1877" s="23">
        <v>86.14</v>
      </c>
      <c r="F1877" s="23">
        <v>27.67</v>
      </c>
      <c r="G1877" s="23">
        <v>525.4</v>
      </c>
      <c r="H1877" s="40">
        <v>4.6520000000000001</v>
      </c>
      <c r="I1877" s="13">
        <f t="shared" si="29"/>
        <v>3.113118901337188</v>
      </c>
      <c r="J1877" s="20"/>
    </row>
    <row r="1878" spans="2:10">
      <c r="C1878" s="40">
        <v>1.8819999999999999</v>
      </c>
      <c r="D1878" s="34">
        <v>143.19999999999999</v>
      </c>
      <c r="E1878" s="23">
        <v>86.13</v>
      </c>
      <c r="F1878" s="23">
        <v>27.87</v>
      </c>
      <c r="G1878" s="23">
        <v>528.4</v>
      </c>
      <c r="H1878" s="40">
        <v>4.843</v>
      </c>
      <c r="I1878" s="13">
        <f t="shared" si="29"/>
        <v>3.0904198062432719</v>
      </c>
      <c r="J1878" s="20"/>
    </row>
    <row r="1879" spans="2:10">
      <c r="C1879" s="40">
        <v>2.0139999999999998</v>
      </c>
      <c r="D1879" s="34">
        <v>167.7</v>
      </c>
      <c r="E1879" s="23">
        <v>86.5</v>
      </c>
      <c r="F1879" s="23">
        <v>28.23</v>
      </c>
      <c r="G1879" s="23">
        <v>528.5</v>
      </c>
      <c r="H1879" s="40">
        <v>5.6890000000000001</v>
      </c>
      <c r="I1879" s="13">
        <f t="shared" si="29"/>
        <v>3.0641161884520014</v>
      </c>
      <c r="J1879" s="20"/>
    </row>
    <row r="1880" spans="2:10">
      <c r="C1880" s="40">
        <v>2.12</v>
      </c>
      <c r="D1880" s="34">
        <v>155.69999999999999</v>
      </c>
      <c r="E1880" s="23">
        <v>85.77</v>
      </c>
      <c r="F1880" s="23">
        <v>28.07</v>
      </c>
      <c r="G1880" s="23">
        <v>525.70000000000005</v>
      </c>
      <c r="H1880" s="40">
        <v>5.2279999999999998</v>
      </c>
      <c r="I1880" s="13">
        <f t="shared" si="29"/>
        <v>3.0555753473459206</v>
      </c>
      <c r="J1880" s="20"/>
    </row>
    <row r="1881" spans="2:10">
      <c r="C1881" s="40">
        <v>2.101</v>
      </c>
      <c r="D1881" s="34">
        <v>123.4</v>
      </c>
      <c r="E1881" s="23">
        <v>85.34</v>
      </c>
      <c r="F1881" s="23">
        <v>27.41</v>
      </c>
      <c r="G1881" s="23">
        <v>524</v>
      </c>
      <c r="H1881" s="40">
        <v>5.5129999999999999</v>
      </c>
      <c r="I1881" s="13">
        <f t="shared" si="29"/>
        <v>3.1134622400583729</v>
      </c>
      <c r="J1881" s="20"/>
    </row>
    <row r="1882" spans="2:10">
      <c r="B1882" s="47">
        <v>95</v>
      </c>
      <c r="C1882" s="39">
        <v>1.641</v>
      </c>
      <c r="D1882" s="37">
        <v>128.6</v>
      </c>
      <c r="E1882" s="38">
        <v>75.88</v>
      </c>
      <c r="F1882" s="38">
        <v>25.07</v>
      </c>
      <c r="G1882" s="38">
        <v>517.5</v>
      </c>
      <c r="H1882" s="39">
        <v>2.3650000000000002</v>
      </c>
      <c r="I1882" s="13">
        <f t="shared" si="29"/>
        <v>3.0267251695253288</v>
      </c>
      <c r="J1882" s="20"/>
    </row>
    <row r="1883" spans="2:10">
      <c r="C1883" s="40">
        <v>1.6739999999999999</v>
      </c>
      <c r="D1883" s="34">
        <v>114.1</v>
      </c>
      <c r="E1883" s="23">
        <v>75.97</v>
      </c>
      <c r="F1883" s="23">
        <v>24.99</v>
      </c>
      <c r="G1883" s="23">
        <v>517.6</v>
      </c>
      <c r="H1883" s="40">
        <v>2.3969999999999998</v>
      </c>
      <c r="I1883" s="13">
        <f t="shared" si="29"/>
        <v>3.0400160064025612</v>
      </c>
      <c r="J1883" s="20"/>
    </row>
    <row r="1884" spans="2:10">
      <c r="C1884" s="40">
        <v>1.694</v>
      </c>
      <c r="D1884" s="34">
        <v>119</v>
      </c>
      <c r="E1884" s="23">
        <v>75.73</v>
      </c>
      <c r="F1884" s="23">
        <v>24.24</v>
      </c>
      <c r="G1884" s="23">
        <v>518.5</v>
      </c>
      <c r="H1884" s="40">
        <v>2.2999999999999998</v>
      </c>
      <c r="I1884" s="13">
        <f t="shared" si="29"/>
        <v>3.1241749174917497</v>
      </c>
      <c r="J1884" s="20"/>
    </row>
    <row r="1885" spans="2:10">
      <c r="C1885" s="40">
        <v>1.7070000000000001</v>
      </c>
      <c r="D1885" s="34">
        <v>124.2</v>
      </c>
      <c r="E1885" s="23">
        <v>75.56</v>
      </c>
      <c r="F1885" s="23">
        <v>24.57</v>
      </c>
      <c r="G1885" s="23">
        <v>518.79999999999995</v>
      </c>
      <c r="H1885" s="40">
        <v>2.2669999999999999</v>
      </c>
      <c r="I1885" s="13">
        <f t="shared" si="29"/>
        <v>3.0752950752950752</v>
      </c>
      <c r="J1885" s="20"/>
    </row>
    <row r="1886" spans="2:10">
      <c r="C1886" s="40">
        <v>1.694</v>
      </c>
      <c r="D1886" s="34">
        <v>130.80000000000001</v>
      </c>
      <c r="E1886" s="23">
        <v>75.069999999999993</v>
      </c>
      <c r="F1886" s="23">
        <v>24.65</v>
      </c>
      <c r="G1886" s="23">
        <v>518.6</v>
      </c>
      <c r="H1886" s="40">
        <v>2.2309999999999999</v>
      </c>
      <c r="I1886" s="13">
        <f t="shared" si="29"/>
        <v>3.0454361054766732</v>
      </c>
      <c r="J1886" s="20"/>
    </row>
    <row r="1887" spans="2:10">
      <c r="C1887" s="40">
        <v>1.702</v>
      </c>
      <c r="D1887" s="34">
        <v>124.1</v>
      </c>
      <c r="E1887" s="23">
        <v>75.400000000000006</v>
      </c>
      <c r="F1887" s="23">
        <v>24.48</v>
      </c>
      <c r="G1887" s="23">
        <v>520.5</v>
      </c>
      <c r="H1887" s="40">
        <v>2.3580000000000001</v>
      </c>
      <c r="I1887" s="13">
        <f t="shared" si="29"/>
        <v>3.0800653594771243</v>
      </c>
      <c r="J1887" s="20"/>
    </row>
    <row r="1888" spans="2:10">
      <c r="C1888" s="40">
        <v>1.6779999999999999</v>
      </c>
      <c r="D1888" s="34">
        <v>126.9</v>
      </c>
      <c r="E1888" s="23">
        <v>75.73</v>
      </c>
      <c r="F1888" s="23">
        <v>24.23</v>
      </c>
      <c r="G1888" s="23">
        <v>523.6</v>
      </c>
      <c r="H1888" s="40">
        <v>2.343</v>
      </c>
      <c r="I1888" s="13">
        <f t="shared" si="29"/>
        <v>3.1254643004539826</v>
      </c>
      <c r="J1888" s="20"/>
    </row>
    <row r="1889" spans="2:10">
      <c r="C1889" s="40">
        <v>1.6180000000000001</v>
      </c>
      <c r="D1889" s="34">
        <v>136.1</v>
      </c>
      <c r="E1889" s="23">
        <v>75.64</v>
      </c>
      <c r="F1889" s="23">
        <v>24.51</v>
      </c>
      <c r="G1889" s="23">
        <v>523.20000000000005</v>
      </c>
      <c r="H1889" s="40">
        <v>2.3650000000000002</v>
      </c>
      <c r="I1889" s="13">
        <f t="shared" si="29"/>
        <v>3.0860873113015095</v>
      </c>
      <c r="J1889" s="20"/>
    </row>
    <row r="1890" spans="2:10">
      <c r="C1890" s="40">
        <v>1.5920000000000001</v>
      </c>
      <c r="D1890" s="34">
        <v>140.19999999999999</v>
      </c>
      <c r="E1890" s="23">
        <v>75.400000000000006</v>
      </c>
      <c r="F1890" s="23">
        <v>24.42</v>
      </c>
      <c r="G1890" s="23">
        <v>518.6</v>
      </c>
      <c r="H1890" s="40">
        <v>2.391</v>
      </c>
      <c r="I1890" s="13">
        <f t="shared" si="29"/>
        <v>3.0876330876330877</v>
      </c>
      <c r="J1890" s="20"/>
    </row>
    <row r="1891" spans="2:10">
      <c r="C1891" s="40">
        <v>1.5780000000000001</v>
      </c>
      <c r="D1891" s="34">
        <v>130.9</v>
      </c>
      <c r="E1891" s="23">
        <v>76.05</v>
      </c>
      <c r="F1891" s="23">
        <v>24.32</v>
      </c>
      <c r="G1891" s="23">
        <v>518.5</v>
      </c>
      <c r="H1891" s="40">
        <v>2.3969999999999998</v>
      </c>
      <c r="I1891" s="13">
        <f t="shared" si="29"/>
        <v>3.1270559210526314</v>
      </c>
      <c r="J1891" s="20"/>
    </row>
    <row r="1892" spans="2:10">
      <c r="C1892" s="40">
        <v>1.5820000000000001</v>
      </c>
      <c r="D1892" s="34">
        <v>151.6</v>
      </c>
      <c r="E1892" s="23">
        <v>76.23</v>
      </c>
      <c r="F1892" s="23">
        <v>24.45</v>
      </c>
      <c r="G1892" s="23">
        <v>517.6</v>
      </c>
      <c r="H1892" s="40">
        <v>2.488</v>
      </c>
      <c r="I1892" s="13">
        <f t="shared" si="29"/>
        <v>3.117791411042945</v>
      </c>
      <c r="J1892" s="20"/>
    </row>
    <row r="1893" spans="2:10">
      <c r="C1893" s="40">
        <v>1.639</v>
      </c>
      <c r="D1893" s="34">
        <v>151.4</v>
      </c>
      <c r="E1893" s="23">
        <v>75.900000000000006</v>
      </c>
      <c r="F1893" s="23">
        <v>24.79</v>
      </c>
      <c r="G1893" s="23">
        <v>519.9</v>
      </c>
      <c r="H1893" s="40">
        <v>2.4489999999999998</v>
      </c>
      <c r="I1893" s="13">
        <f t="shared" si="29"/>
        <v>3.0617184348527635</v>
      </c>
      <c r="J1893" s="20"/>
    </row>
    <row r="1894" spans="2:10">
      <c r="C1894" s="40">
        <v>1.6859999999999999</v>
      </c>
      <c r="D1894" s="34">
        <v>166.3</v>
      </c>
      <c r="E1894" s="23">
        <v>75.739999999999995</v>
      </c>
      <c r="F1894" s="23">
        <v>24.3</v>
      </c>
      <c r="G1894" s="23">
        <v>513.29999999999995</v>
      </c>
      <c r="H1894" s="40">
        <v>2.4049999999999998</v>
      </c>
      <c r="I1894" s="13">
        <f t="shared" si="29"/>
        <v>3.1168724279835387</v>
      </c>
      <c r="J1894" s="20"/>
    </row>
    <row r="1895" spans="2:10">
      <c r="C1895" s="40">
        <v>1.694</v>
      </c>
      <c r="D1895" s="34">
        <v>142.6</v>
      </c>
      <c r="E1895" s="23">
        <v>75.069999999999993</v>
      </c>
      <c r="F1895" s="23">
        <v>24.83</v>
      </c>
      <c r="G1895" s="23">
        <v>511.4</v>
      </c>
      <c r="H1895" s="40">
        <v>2.3620000000000001</v>
      </c>
      <c r="I1895" s="13">
        <f t="shared" si="29"/>
        <v>3.0233588401127669</v>
      </c>
      <c r="J1895" s="20"/>
    </row>
    <row r="1896" spans="2:10">
      <c r="C1896" s="40">
        <v>1.6639999999999999</v>
      </c>
      <c r="D1896" s="34">
        <v>135.6</v>
      </c>
      <c r="E1896" s="23">
        <v>75.23</v>
      </c>
      <c r="F1896" s="23">
        <v>24.6</v>
      </c>
      <c r="G1896" s="23">
        <v>507</v>
      </c>
      <c r="H1896" s="40">
        <v>2.391</v>
      </c>
      <c r="I1896" s="13">
        <f t="shared" si="29"/>
        <v>3.058130081300813</v>
      </c>
      <c r="J1896" s="20"/>
    </row>
    <row r="1897" spans="2:10">
      <c r="C1897" s="40">
        <v>1.6160000000000001</v>
      </c>
      <c r="D1897" s="34">
        <v>157.5</v>
      </c>
      <c r="E1897" s="23">
        <v>75.31</v>
      </c>
      <c r="F1897" s="23">
        <v>24.53</v>
      </c>
      <c r="G1897" s="23">
        <v>504.9</v>
      </c>
      <c r="H1897" s="40">
        <v>2.3239999999999998</v>
      </c>
      <c r="I1897" s="13">
        <f t="shared" si="29"/>
        <v>3.0701182225845902</v>
      </c>
      <c r="J1897" s="20"/>
    </row>
    <row r="1898" spans="2:10">
      <c r="C1898" s="40">
        <v>1.649</v>
      </c>
      <c r="D1898" s="34">
        <v>141.6</v>
      </c>
      <c r="E1898" s="23">
        <v>75.8</v>
      </c>
      <c r="F1898" s="23">
        <v>24.62</v>
      </c>
      <c r="G1898" s="23">
        <v>505.8</v>
      </c>
      <c r="H1898" s="40">
        <v>2.2570000000000001</v>
      </c>
      <c r="I1898" s="13">
        <f t="shared" si="29"/>
        <v>3.0787977254264822</v>
      </c>
      <c r="J1898" s="20"/>
    </row>
    <row r="1899" spans="2:10">
      <c r="C1899" s="40">
        <v>1.667</v>
      </c>
      <c r="D1899" s="34">
        <v>130.9</v>
      </c>
      <c r="E1899" s="23">
        <v>75.64</v>
      </c>
      <c r="F1899" s="23">
        <v>24.95</v>
      </c>
      <c r="G1899" s="23">
        <v>506.9</v>
      </c>
      <c r="H1899" s="40">
        <v>2.2759999999999998</v>
      </c>
      <c r="I1899" s="13">
        <f t="shared" si="29"/>
        <v>3.0316633266533066</v>
      </c>
      <c r="J1899" s="20"/>
    </row>
    <row r="1900" spans="2:10">
      <c r="C1900" s="40">
        <v>1.617</v>
      </c>
      <c r="D1900" s="34">
        <v>140.19999999999999</v>
      </c>
      <c r="E1900" s="23">
        <v>75.47</v>
      </c>
      <c r="F1900" s="23">
        <v>24.66</v>
      </c>
      <c r="G1900" s="23">
        <v>503.5</v>
      </c>
      <c r="H1900" s="40">
        <v>2.3260000000000001</v>
      </c>
      <c r="I1900" s="13">
        <f t="shared" si="29"/>
        <v>3.0604217356042174</v>
      </c>
      <c r="J1900" s="20"/>
    </row>
    <row r="1901" spans="2:10">
      <c r="C1901" s="40">
        <v>1.667</v>
      </c>
      <c r="D1901" s="34">
        <v>127.4</v>
      </c>
      <c r="E1901" s="23">
        <v>75.56</v>
      </c>
      <c r="F1901" s="23">
        <v>20.47</v>
      </c>
      <c r="G1901" s="23">
        <v>507</v>
      </c>
      <c r="H1901" s="40">
        <v>2.3919999999999999</v>
      </c>
      <c r="I1901" s="13">
        <f t="shared" si="29"/>
        <v>3.6912554958475821</v>
      </c>
      <c r="J1901" s="20"/>
    </row>
    <row r="1902" spans="2:10">
      <c r="B1902" s="47">
        <v>96</v>
      </c>
      <c r="C1902" s="39">
        <v>1.8009999999999999</v>
      </c>
      <c r="D1902" s="37">
        <v>130.4</v>
      </c>
      <c r="E1902" s="38">
        <v>78.319999999999993</v>
      </c>
      <c r="F1902" s="38">
        <v>20.27</v>
      </c>
      <c r="G1902" s="38">
        <v>501.2</v>
      </c>
      <c r="H1902" s="39">
        <v>4.9400000000000004</v>
      </c>
      <c r="I1902" s="13">
        <f t="shared" si="29"/>
        <v>3.8638381845091265</v>
      </c>
      <c r="J1902" s="20"/>
    </row>
    <row r="1903" spans="2:10">
      <c r="C1903" s="40">
        <v>1.8</v>
      </c>
      <c r="D1903" s="34">
        <v>110.9</v>
      </c>
      <c r="E1903" s="23">
        <v>78.5</v>
      </c>
      <c r="F1903" s="23">
        <v>20.260000000000002</v>
      </c>
      <c r="G1903" s="23">
        <v>498.4</v>
      </c>
      <c r="H1903" s="40">
        <v>4.5999999999999996</v>
      </c>
      <c r="I1903" s="13">
        <f t="shared" si="29"/>
        <v>3.8746298124383016</v>
      </c>
      <c r="J1903" s="20"/>
    </row>
    <row r="1904" spans="2:10">
      <c r="C1904" s="40">
        <v>1.7849999999999999</v>
      </c>
      <c r="D1904" s="34">
        <v>107.8</v>
      </c>
      <c r="E1904" s="23">
        <v>78.69</v>
      </c>
      <c r="F1904" s="23">
        <v>20.46</v>
      </c>
      <c r="G1904" s="23">
        <v>501.2</v>
      </c>
      <c r="H1904" s="40">
        <v>4.79</v>
      </c>
      <c r="I1904" s="13">
        <f t="shared" si="29"/>
        <v>3.8460410557184748</v>
      </c>
      <c r="J1904" s="20"/>
    </row>
    <row r="1905" spans="3:10">
      <c r="C1905" s="40">
        <v>1.786</v>
      </c>
      <c r="D1905" s="34">
        <v>130</v>
      </c>
      <c r="E1905" s="23">
        <v>78.67</v>
      </c>
      <c r="F1905" s="23">
        <v>20.66</v>
      </c>
      <c r="G1905" s="23">
        <v>502.2</v>
      </c>
      <c r="H1905" s="40">
        <v>4.49</v>
      </c>
      <c r="I1905" s="13">
        <f t="shared" si="29"/>
        <v>3.8078412391093903</v>
      </c>
      <c r="J1905" s="20"/>
    </row>
    <row r="1906" spans="3:10">
      <c r="C1906" s="40">
        <v>1.778</v>
      </c>
      <c r="D1906" s="34">
        <v>98.4</v>
      </c>
      <c r="E1906" s="23">
        <v>78.239999999999995</v>
      </c>
      <c r="F1906" s="23">
        <v>20.67</v>
      </c>
      <c r="G1906" s="23">
        <v>504.4</v>
      </c>
      <c r="H1906" s="40">
        <v>4.1500000000000004</v>
      </c>
      <c r="I1906" s="13">
        <f t="shared" si="29"/>
        <v>3.7851959361393317</v>
      </c>
      <c r="J1906" s="20"/>
    </row>
    <row r="1907" spans="3:10">
      <c r="C1907" s="40">
        <v>1.7490000000000001</v>
      </c>
      <c r="D1907" s="34">
        <v>100.6</v>
      </c>
      <c r="E1907" s="23">
        <v>79.34</v>
      </c>
      <c r="F1907" s="23">
        <v>20.48</v>
      </c>
      <c r="G1907" s="23">
        <v>505.6</v>
      </c>
      <c r="H1907" s="40">
        <v>4.59</v>
      </c>
      <c r="I1907" s="13">
        <f t="shared" si="29"/>
        <v>3.8740234375</v>
      </c>
      <c r="J1907" s="20"/>
    </row>
    <row r="1908" spans="3:10">
      <c r="C1908" s="40">
        <v>1.7290000000000001</v>
      </c>
      <c r="D1908" s="34">
        <v>78.599999999999994</v>
      </c>
      <c r="E1908" s="23">
        <v>79.41</v>
      </c>
      <c r="F1908" s="23">
        <v>20.28</v>
      </c>
      <c r="G1908" s="23">
        <v>507.7</v>
      </c>
      <c r="H1908" s="40">
        <v>3.92</v>
      </c>
      <c r="I1908" s="13">
        <f t="shared" si="29"/>
        <v>3.9156804733727806</v>
      </c>
      <c r="J1908" s="20"/>
    </row>
    <row r="1909" spans="3:10">
      <c r="C1909" s="40">
        <v>1.7050000000000001</v>
      </c>
      <c r="D1909" s="34">
        <v>76.8</v>
      </c>
      <c r="E1909" s="23">
        <v>79.06</v>
      </c>
      <c r="F1909" s="23">
        <v>20.09</v>
      </c>
      <c r="G1909" s="23">
        <v>508.9</v>
      </c>
      <c r="H1909" s="40">
        <v>4.4530000000000003</v>
      </c>
      <c r="I1909" s="13">
        <f t="shared" si="29"/>
        <v>3.9352911896465903</v>
      </c>
      <c r="J1909" s="20"/>
    </row>
    <row r="1910" spans="3:10">
      <c r="C1910" s="40">
        <v>1.7330000000000001</v>
      </c>
      <c r="D1910" s="34">
        <v>100.28</v>
      </c>
      <c r="E1910" s="23">
        <v>79.2</v>
      </c>
      <c r="F1910" s="23">
        <v>20.87</v>
      </c>
      <c r="G1910" s="23">
        <v>510.4</v>
      </c>
      <c r="H1910" s="40">
        <v>3.9620000000000002</v>
      </c>
      <c r="I1910" s="13">
        <f t="shared" si="29"/>
        <v>3.7949209391471013</v>
      </c>
      <c r="J1910" s="20"/>
    </row>
    <row r="1911" spans="3:10">
      <c r="C1911" s="40">
        <v>1.7669999999999999</v>
      </c>
      <c r="D1911" s="34">
        <v>96.7</v>
      </c>
      <c r="E1911" s="23">
        <v>79.430000000000007</v>
      </c>
      <c r="F1911" s="23">
        <v>20.43</v>
      </c>
      <c r="G1911" s="23">
        <v>512</v>
      </c>
      <c r="H1911" s="40">
        <v>4.0640000000000001</v>
      </c>
      <c r="I1911" s="13">
        <f t="shared" si="29"/>
        <v>3.8879099363680867</v>
      </c>
      <c r="J1911" s="20"/>
    </row>
    <row r="1912" spans="3:10">
      <c r="C1912" s="40">
        <v>1.758</v>
      </c>
      <c r="D1912" s="34">
        <v>96</v>
      </c>
      <c r="E1912" s="23">
        <v>78.849999999999994</v>
      </c>
      <c r="F1912" s="23">
        <v>21.02</v>
      </c>
      <c r="G1912" s="23">
        <v>517</v>
      </c>
      <c r="H1912" s="40">
        <v>3.9590000000000001</v>
      </c>
      <c r="I1912" s="13">
        <f t="shared" si="29"/>
        <v>3.7511893434823977</v>
      </c>
      <c r="J1912" s="20"/>
    </row>
    <row r="1913" spans="3:10">
      <c r="C1913" s="40">
        <v>1.7989999999999999</v>
      </c>
      <c r="D1913" s="34">
        <v>98.5</v>
      </c>
      <c r="E1913" s="23">
        <v>78.760000000000005</v>
      </c>
      <c r="F1913" s="23">
        <v>21.03</v>
      </c>
      <c r="G1913" s="23">
        <v>517.6</v>
      </c>
      <c r="H1913" s="40">
        <v>3.8149999999999999</v>
      </c>
      <c r="I1913" s="13">
        <f t="shared" si="29"/>
        <v>3.745126010461246</v>
      </c>
      <c r="J1913" s="20"/>
    </row>
    <row r="1914" spans="3:10">
      <c r="C1914" s="40">
        <v>1.8009999999999999</v>
      </c>
      <c r="D1914" s="34">
        <v>98.4</v>
      </c>
      <c r="E1914" s="23">
        <v>78.75</v>
      </c>
      <c r="F1914" s="23">
        <v>20.46</v>
      </c>
      <c r="G1914" s="23">
        <v>517.1</v>
      </c>
      <c r="H1914" s="40">
        <v>4.2519999999999998</v>
      </c>
      <c r="I1914" s="13">
        <f t="shared" si="29"/>
        <v>3.8489736070381229</v>
      </c>
      <c r="J1914" s="20"/>
    </row>
    <row r="1915" spans="3:10">
      <c r="C1915" s="40">
        <v>1.7889999999999999</v>
      </c>
      <c r="D1915" s="34">
        <v>130.30000000000001</v>
      </c>
      <c r="E1915" s="23">
        <v>78.87</v>
      </c>
      <c r="F1915" s="23">
        <v>20.84</v>
      </c>
      <c r="G1915" s="23">
        <v>520.29999999999995</v>
      </c>
      <c r="H1915" s="40">
        <v>4.1449999999999996</v>
      </c>
      <c r="I1915" s="13">
        <f t="shared" si="29"/>
        <v>3.784548944337812</v>
      </c>
      <c r="J1915" s="20"/>
    </row>
    <row r="1916" spans="3:10">
      <c r="C1916" s="40">
        <v>1.7729999999999999</v>
      </c>
      <c r="D1916" s="34">
        <v>107.8</v>
      </c>
      <c r="E1916" s="23">
        <v>78.680000000000007</v>
      </c>
      <c r="F1916" s="23">
        <v>20.65</v>
      </c>
      <c r="G1916" s="23">
        <v>522.70000000000005</v>
      </c>
      <c r="H1916" s="40">
        <v>4.2649999999999997</v>
      </c>
      <c r="I1916" s="13">
        <f t="shared" si="29"/>
        <v>3.8101694915254245</v>
      </c>
      <c r="J1916" s="20"/>
    </row>
    <row r="1917" spans="3:10">
      <c r="C1917" s="40">
        <v>1.774</v>
      </c>
      <c r="D1917" s="34">
        <v>134.1</v>
      </c>
      <c r="E1917" s="23">
        <v>78.48</v>
      </c>
      <c r="F1917" s="23">
        <v>21.02</v>
      </c>
      <c r="G1917" s="23">
        <v>522.5</v>
      </c>
      <c r="H1917" s="40">
        <v>3.782</v>
      </c>
      <c r="I1917" s="13">
        <f t="shared" si="29"/>
        <v>3.733587059942912</v>
      </c>
      <c r="J1917" s="20"/>
    </row>
    <row r="1918" spans="3:10">
      <c r="C1918" s="40">
        <v>1.76</v>
      </c>
      <c r="D1918" s="34">
        <v>107.3</v>
      </c>
      <c r="E1918" s="23">
        <v>78.47</v>
      </c>
      <c r="F1918" s="23">
        <v>20.66</v>
      </c>
      <c r="G1918" s="23">
        <v>519.79999999999995</v>
      </c>
      <c r="H1918" s="40">
        <v>3.9630000000000001</v>
      </c>
      <c r="I1918" s="13">
        <f t="shared" si="29"/>
        <v>3.798160696999032</v>
      </c>
      <c r="J1918" s="20"/>
    </row>
    <row r="1919" spans="3:10">
      <c r="C1919" s="40">
        <v>1.74</v>
      </c>
      <c r="D1919" s="34">
        <v>99.9</v>
      </c>
      <c r="E1919" s="23">
        <v>78.63</v>
      </c>
      <c r="F1919" s="23">
        <v>20.68</v>
      </c>
      <c r="G1919" s="23">
        <v>516.29999999999995</v>
      </c>
      <c r="H1919" s="40">
        <v>4.069</v>
      </c>
      <c r="I1919" s="13">
        <f t="shared" si="29"/>
        <v>3.8022243713733075</v>
      </c>
      <c r="J1919" s="20"/>
    </row>
    <row r="1920" spans="3:10">
      <c r="C1920" s="40">
        <v>1.7030000000000001</v>
      </c>
      <c r="D1920" s="34">
        <v>105.8</v>
      </c>
      <c r="E1920" s="23">
        <v>78.67</v>
      </c>
      <c r="F1920" s="23">
        <v>20.74</v>
      </c>
      <c r="G1920" s="23">
        <v>513.6</v>
      </c>
      <c r="H1920" s="40">
        <v>4.032</v>
      </c>
      <c r="I1920" s="13">
        <f t="shared" si="29"/>
        <v>3.7931533269045326</v>
      </c>
      <c r="J1920" s="20"/>
    </row>
    <row r="1921" spans="2:10">
      <c r="C1921" s="40">
        <v>1.788</v>
      </c>
      <c r="D1921" s="34">
        <v>110</v>
      </c>
      <c r="E1921" s="23">
        <v>78.849999999999994</v>
      </c>
      <c r="F1921" s="23">
        <v>20.89</v>
      </c>
      <c r="G1921" s="23">
        <v>512.1</v>
      </c>
      <c r="H1921" s="40">
        <v>4.0410000000000004</v>
      </c>
      <c r="I1921" s="13">
        <f t="shared" si="29"/>
        <v>3.7745332695069407</v>
      </c>
      <c r="J1921" s="20"/>
    </row>
    <row r="1922" spans="2:10">
      <c r="B1922" s="47">
        <v>97</v>
      </c>
      <c r="C1922" s="39">
        <v>1.2370000000000001</v>
      </c>
      <c r="D1922" s="37">
        <v>111.6</v>
      </c>
      <c r="E1922" s="38">
        <v>85.86</v>
      </c>
      <c r="F1922" s="38">
        <v>28.52</v>
      </c>
      <c r="G1922" s="38">
        <v>492.7</v>
      </c>
      <c r="H1922" s="39">
        <v>4.82</v>
      </c>
      <c r="I1922" s="13">
        <f t="shared" si="29"/>
        <v>3.0105189340813463</v>
      </c>
      <c r="J1922" s="20"/>
    </row>
    <row r="1923" spans="2:10">
      <c r="C1923" s="40">
        <v>1.34</v>
      </c>
      <c r="D1923" s="34">
        <v>130.30000000000001</v>
      </c>
      <c r="E1923" s="23">
        <v>86.07</v>
      </c>
      <c r="F1923" s="23">
        <v>28.77</v>
      </c>
      <c r="G1923" s="23">
        <v>494.1</v>
      </c>
      <c r="H1923" s="40">
        <v>4.51</v>
      </c>
      <c r="I1923" s="13">
        <f t="shared" ref="I1923:I1986" si="30">E1923/F1923</f>
        <v>2.9916579770594369</v>
      </c>
      <c r="J1923" s="20"/>
    </row>
    <row r="1924" spans="2:10">
      <c r="C1924" s="40">
        <v>1.355</v>
      </c>
      <c r="D1924" s="34">
        <v>125.3</v>
      </c>
      <c r="E1924" s="23">
        <v>85.35</v>
      </c>
      <c r="F1924" s="23">
        <v>28.54</v>
      </c>
      <c r="G1924" s="23">
        <v>495.6</v>
      </c>
      <c r="H1924" s="40">
        <v>4.6500000000000004</v>
      </c>
      <c r="I1924" s="13">
        <f t="shared" si="30"/>
        <v>2.9905395935529082</v>
      </c>
      <c r="J1924" s="20"/>
    </row>
    <row r="1925" spans="2:10">
      <c r="C1925" s="40">
        <v>1.3420000000000001</v>
      </c>
      <c r="D1925" s="34">
        <v>120.1</v>
      </c>
      <c r="E1925" s="23">
        <v>85.83</v>
      </c>
      <c r="F1925" s="23">
        <v>27.6</v>
      </c>
      <c r="G1925" s="23">
        <v>498.4</v>
      </c>
      <c r="H1925" s="40">
        <v>4.38</v>
      </c>
      <c r="I1925" s="13">
        <f t="shared" si="30"/>
        <v>3.1097826086956522</v>
      </c>
      <c r="J1925" s="20"/>
    </row>
    <row r="1926" spans="2:10">
      <c r="C1926" s="40">
        <v>1.3580000000000001</v>
      </c>
      <c r="D1926" s="34">
        <v>181.6</v>
      </c>
      <c r="E1926" s="23">
        <v>85.6</v>
      </c>
      <c r="F1926" s="23">
        <v>27.83</v>
      </c>
      <c r="G1926" s="23">
        <v>493.8</v>
      </c>
      <c r="H1926" s="40">
        <v>4.1820000000000004</v>
      </c>
      <c r="I1926" s="13">
        <f t="shared" si="30"/>
        <v>3.0758174631692419</v>
      </c>
      <c r="J1926" s="20"/>
    </row>
    <row r="1927" spans="2:10">
      <c r="C1927" s="40">
        <v>1.3120000000000001</v>
      </c>
      <c r="D1927" s="34">
        <v>111.9</v>
      </c>
      <c r="E1927" s="23">
        <v>85.34</v>
      </c>
      <c r="F1927" s="23">
        <v>28.57</v>
      </c>
      <c r="G1927" s="23">
        <v>491.3</v>
      </c>
      <c r="H1927" s="40">
        <v>4.133</v>
      </c>
      <c r="I1927" s="13">
        <f t="shared" si="30"/>
        <v>2.9870493524676234</v>
      </c>
      <c r="J1927" s="20"/>
    </row>
    <row r="1928" spans="2:10">
      <c r="C1928" s="40">
        <v>1.323</v>
      </c>
      <c r="D1928" s="34">
        <v>132.19999999999999</v>
      </c>
      <c r="E1928" s="23">
        <v>85.1</v>
      </c>
      <c r="F1928" s="23">
        <v>28.54</v>
      </c>
      <c r="G1928" s="23">
        <v>489.5</v>
      </c>
      <c r="H1928" s="40">
        <v>4.3819999999999997</v>
      </c>
      <c r="I1928" s="13">
        <f t="shared" si="30"/>
        <v>2.9817799579537492</v>
      </c>
      <c r="J1928" s="20"/>
    </row>
    <row r="1929" spans="2:10">
      <c r="C1929" s="40">
        <v>1.3420000000000001</v>
      </c>
      <c r="D1929" s="34">
        <v>124</v>
      </c>
      <c r="E1929" s="23">
        <v>86.27</v>
      </c>
      <c r="F1929" s="23">
        <v>28.77</v>
      </c>
      <c r="G1929" s="23">
        <v>488.2</v>
      </c>
      <c r="H1929" s="40">
        <v>4.3570000000000002</v>
      </c>
      <c r="I1929" s="13">
        <f t="shared" si="30"/>
        <v>2.9986096628432395</v>
      </c>
      <c r="J1929" s="20"/>
    </row>
    <row r="1930" spans="2:10">
      <c r="C1930" s="40">
        <v>1.36</v>
      </c>
      <c r="D1930" s="34">
        <v>120.1</v>
      </c>
      <c r="E1930" s="23">
        <v>85.35</v>
      </c>
      <c r="F1930" s="23">
        <v>28.35</v>
      </c>
      <c r="G1930" s="23">
        <v>488.8</v>
      </c>
      <c r="H1930" s="40">
        <v>4.2960000000000003</v>
      </c>
      <c r="I1930" s="13">
        <f t="shared" si="30"/>
        <v>3.0105820105820102</v>
      </c>
      <c r="J1930" s="20"/>
    </row>
    <row r="1931" spans="2:10">
      <c r="C1931" s="40">
        <v>1.337</v>
      </c>
      <c r="D1931" s="34">
        <v>120.2</v>
      </c>
      <c r="E1931" s="23">
        <v>85.84</v>
      </c>
      <c r="F1931" s="23">
        <v>28.13</v>
      </c>
      <c r="G1931" s="23">
        <v>493.8</v>
      </c>
      <c r="H1931" s="40">
        <v>4.2590000000000003</v>
      </c>
      <c r="I1931" s="13">
        <f t="shared" si="30"/>
        <v>3.0515463917525776</v>
      </c>
      <c r="J1931" s="20"/>
    </row>
    <row r="1932" spans="2:10">
      <c r="C1932" s="40">
        <v>1.31</v>
      </c>
      <c r="D1932" s="34">
        <v>109.8</v>
      </c>
      <c r="E1932" s="23">
        <v>85.6</v>
      </c>
      <c r="F1932" s="23">
        <v>27.88</v>
      </c>
      <c r="G1932" s="23">
        <v>505.9</v>
      </c>
      <c r="H1932" s="40">
        <v>4.2629999999999999</v>
      </c>
      <c r="I1932" s="13">
        <f t="shared" si="30"/>
        <v>3.0703012912482066</v>
      </c>
      <c r="J1932" s="20"/>
    </row>
    <row r="1933" spans="2:10">
      <c r="C1933" s="40">
        <v>1.3</v>
      </c>
      <c r="D1933" s="34">
        <v>133.69999999999999</v>
      </c>
      <c r="E1933" s="23">
        <v>85.39</v>
      </c>
      <c r="F1933" s="23">
        <v>28.51</v>
      </c>
      <c r="G1933" s="23">
        <v>500.9</v>
      </c>
      <c r="H1933" s="40">
        <v>4.2050000000000001</v>
      </c>
      <c r="I1933" s="13">
        <f t="shared" si="30"/>
        <v>2.9950894423009471</v>
      </c>
      <c r="J1933" s="20"/>
    </row>
    <row r="1934" spans="2:10">
      <c r="C1934" s="40">
        <v>1.282</v>
      </c>
      <c r="D1934" s="34">
        <v>120</v>
      </c>
      <c r="E1934" s="23">
        <v>85.16</v>
      </c>
      <c r="F1934" s="23">
        <v>27.59</v>
      </c>
      <c r="G1934" s="23">
        <v>488.8</v>
      </c>
      <c r="H1934" s="40">
        <v>4.3280000000000003</v>
      </c>
      <c r="I1934" s="13">
        <f t="shared" si="30"/>
        <v>3.0866255889815148</v>
      </c>
      <c r="J1934" s="20"/>
    </row>
    <row r="1935" spans="2:10">
      <c r="C1935" s="40">
        <v>1.2649999999999999</v>
      </c>
      <c r="D1935" s="34">
        <v>123</v>
      </c>
      <c r="E1935" s="23">
        <v>85.21</v>
      </c>
      <c r="F1935" s="23">
        <v>27.94</v>
      </c>
      <c r="G1935" s="23">
        <v>491.1</v>
      </c>
      <c r="H1935" s="40">
        <v>4.3639999999999999</v>
      </c>
      <c r="I1935" s="13">
        <f t="shared" si="30"/>
        <v>3.0497494631352895</v>
      </c>
      <c r="J1935" s="20"/>
    </row>
    <row r="1936" spans="2:10">
      <c r="C1936" s="40">
        <v>1.244</v>
      </c>
      <c r="D1936" s="34">
        <v>125.3</v>
      </c>
      <c r="E1936" s="23">
        <v>85.36</v>
      </c>
      <c r="F1936" s="23">
        <v>28.19</v>
      </c>
      <c r="G1936" s="23">
        <v>493.3</v>
      </c>
      <c r="H1936" s="40">
        <v>4.3940000000000001</v>
      </c>
      <c r="I1936" s="13">
        <f t="shared" si="30"/>
        <v>3.028024122029088</v>
      </c>
      <c r="J1936" s="20"/>
    </row>
    <row r="1937" spans="2:10">
      <c r="C1937" s="40">
        <v>1.2569999999999999</v>
      </c>
      <c r="D1937" s="34">
        <v>132.19999999999999</v>
      </c>
      <c r="E1937" s="23">
        <v>85.58</v>
      </c>
      <c r="F1937" s="23">
        <v>28.67</v>
      </c>
      <c r="G1937" s="23">
        <v>493.4</v>
      </c>
      <c r="H1937" s="40">
        <v>4.3970000000000002</v>
      </c>
      <c r="I1937" s="13">
        <f t="shared" si="30"/>
        <v>2.9850017439832577</v>
      </c>
      <c r="J1937" s="20"/>
    </row>
    <row r="1938" spans="2:10">
      <c r="C1938" s="40">
        <v>1.2230000000000001</v>
      </c>
      <c r="D1938" s="34">
        <v>148.5</v>
      </c>
      <c r="E1938" s="23">
        <v>85.6</v>
      </c>
      <c r="F1938" s="23">
        <v>28.84</v>
      </c>
      <c r="G1938" s="23">
        <v>497.4</v>
      </c>
      <c r="H1938" s="40">
        <v>4.4649999999999999</v>
      </c>
      <c r="I1938" s="13">
        <f t="shared" si="30"/>
        <v>2.9680998613037448</v>
      </c>
      <c r="J1938" s="20"/>
    </row>
    <row r="1939" spans="2:10">
      <c r="C1939" s="40">
        <v>1.2350000000000001</v>
      </c>
      <c r="D1939" s="34">
        <v>124</v>
      </c>
      <c r="E1939" s="23">
        <v>85.3</v>
      </c>
      <c r="F1939" s="23">
        <v>28.529</v>
      </c>
      <c r="G1939" s="23">
        <v>501.9</v>
      </c>
      <c r="H1939" s="40">
        <v>4.4509999999999996</v>
      </c>
      <c r="I1939" s="13">
        <f t="shared" si="30"/>
        <v>2.9899400609905711</v>
      </c>
      <c r="J1939" s="20"/>
    </row>
    <row r="1940" spans="2:10">
      <c r="C1940" s="40">
        <v>1.212</v>
      </c>
      <c r="D1940" s="34">
        <v>165.3</v>
      </c>
      <c r="E1940" s="23">
        <v>86.1</v>
      </c>
      <c r="F1940" s="23">
        <v>27.83</v>
      </c>
      <c r="G1940" s="23">
        <v>498.6</v>
      </c>
      <c r="H1940" s="40">
        <v>4.3639999999999999</v>
      </c>
      <c r="I1940" s="13">
        <f t="shared" si="30"/>
        <v>3.0937836866690622</v>
      </c>
      <c r="J1940" s="20"/>
    </row>
    <row r="1941" spans="2:10">
      <c r="C1941" s="40">
        <v>1.2949999999999999</v>
      </c>
      <c r="D1941" s="34">
        <v>163</v>
      </c>
      <c r="E1941" s="23">
        <v>85.8</v>
      </c>
      <c r="F1941" s="23">
        <v>28.41</v>
      </c>
      <c r="G1941" s="23">
        <v>501.6</v>
      </c>
      <c r="H1941" s="40">
        <v>4.2709999999999999</v>
      </c>
      <c r="I1941" s="13">
        <f t="shared" si="30"/>
        <v>3.0200633579725449</v>
      </c>
      <c r="J1941" s="20"/>
    </row>
    <row r="1942" spans="2:10">
      <c r="B1942" s="47">
        <v>98</v>
      </c>
      <c r="C1942" s="39">
        <v>1.9530000000000001</v>
      </c>
      <c r="D1942" s="37">
        <v>94.11</v>
      </c>
      <c r="E1942" s="38">
        <v>98.19</v>
      </c>
      <c r="F1942" s="38">
        <v>33.19</v>
      </c>
      <c r="G1942" s="38">
        <v>553.1</v>
      </c>
      <c r="H1942" s="39">
        <v>5.4059999999999997</v>
      </c>
      <c r="I1942" s="13">
        <f t="shared" si="30"/>
        <v>2.9584212112081953</v>
      </c>
      <c r="J1942" s="20"/>
    </row>
    <row r="1943" spans="2:10">
      <c r="C1943" s="40">
        <v>1.9630000000000001</v>
      </c>
      <c r="D1943" s="34">
        <v>91.97</v>
      </c>
      <c r="E1943" s="23">
        <v>98.33</v>
      </c>
      <c r="F1943" s="23">
        <v>32.840000000000003</v>
      </c>
      <c r="G1943" s="23">
        <v>554.29999999999995</v>
      </c>
      <c r="H1943" s="40">
        <v>6.3810000000000002</v>
      </c>
      <c r="I1943" s="13">
        <f t="shared" si="30"/>
        <v>2.9942143727161996</v>
      </c>
      <c r="J1943" s="20"/>
    </row>
    <row r="1944" spans="2:10">
      <c r="C1944" s="40">
        <v>1.98</v>
      </c>
      <c r="D1944" s="34">
        <v>98.9</v>
      </c>
      <c r="E1944" s="23">
        <v>98.48</v>
      </c>
      <c r="F1944" s="23">
        <v>32.880000000000003</v>
      </c>
      <c r="G1944" s="23">
        <v>554.5</v>
      </c>
      <c r="H1944" s="40">
        <v>5.7119999999999997</v>
      </c>
      <c r="I1944" s="13">
        <f t="shared" si="30"/>
        <v>2.995133819951338</v>
      </c>
      <c r="J1944" s="20"/>
    </row>
    <row r="1945" spans="2:10">
      <c r="C1945" s="40">
        <v>1.9750000000000001</v>
      </c>
      <c r="D1945" s="34">
        <v>104.4</v>
      </c>
      <c r="E1945" s="23">
        <v>98.36</v>
      </c>
      <c r="F1945" s="23">
        <v>32.979999999999997</v>
      </c>
      <c r="G1945" s="23">
        <v>553</v>
      </c>
      <c r="H1945" s="40">
        <v>5.726</v>
      </c>
      <c r="I1945" s="13">
        <f t="shared" si="30"/>
        <v>2.9824135839902972</v>
      </c>
      <c r="J1945" s="20"/>
    </row>
    <row r="1946" spans="2:10">
      <c r="C1946" s="40">
        <v>1.9670000000000001</v>
      </c>
      <c r="D1946" s="34">
        <v>105.5</v>
      </c>
      <c r="E1946" s="23">
        <v>98.71</v>
      </c>
      <c r="F1946" s="23">
        <v>32.93</v>
      </c>
      <c r="G1946" s="23">
        <v>554.70000000000005</v>
      </c>
      <c r="H1946" s="40">
        <v>4.9180000000000001</v>
      </c>
      <c r="I1946" s="13">
        <f t="shared" si="30"/>
        <v>2.9975706043121773</v>
      </c>
      <c r="J1946" s="20"/>
    </row>
    <row r="1947" spans="2:10">
      <c r="C1947" s="40">
        <v>1.9590000000000001</v>
      </c>
      <c r="D1947" s="34">
        <v>97</v>
      </c>
      <c r="E1947" s="23">
        <v>98.48</v>
      </c>
      <c r="F1947" s="23">
        <v>32.72</v>
      </c>
      <c r="G1947" s="23">
        <v>555</v>
      </c>
      <c r="H1947" s="40">
        <v>4.9320000000000004</v>
      </c>
      <c r="I1947" s="13">
        <f t="shared" si="30"/>
        <v>3.0097799511002448</v>
      </c>
      <c r="J1947" s="20"/>
    </row>
    <row r="1948" spans="2:10">
      <c r="C1948" s="40">
        <v>1.92</v>
      </c>
      <c r="D1948" s="34">
        <v>100.9</v>
      </c>
      <c r="E1948" s="23">
        <v>98.45</v>
      </c>
      <c r="F1948" s="23">
        <v>32.619999999999997</v>
      </c>
      <c r="G1948" s="23">
        <v>554.70000000000005</v>
      </c>
      <c r="H1948" s="40">
        <v>4.9009999999999998</v>
      </c>
      <c r="I1948" s="13">
        <f t="shared" si="30"/>
        <v>3.0180870631514414</v>
      </c>
      <c r="J1948" s="20"/>
    </row>
    <row r="1949" spans="2:10">
      <c r="C1949" s="40">
        <v>1.919</v>
      </c>
      <c r="D1949" s="34">
        <v>105.9</v>
      </c>
      <c r="E1949" s="23">
        <v>98.74</v>
      </c>
      <c r="F1949" s="23">
        <v>32.65</v>
      </c>
      <c r="G1949" s="23">
        <v>553.6</v>
      </c>
      <c r="H1949" s="40">
        <v>5.0289999999999999</v>
      </c>
      <c r="I1949" s="13">
        <f t="shared" si="30"/>
        <v>3.0241960183767227</v>
      </c>
      <c r="J1949" s="20"/>
    </row>
    <row r="1950" spans="2:10">
      <c r="C1950" s="40">
        <v>1.8540000000000001</v>
      </c>
      <c r="D1950" s="34">
        <v>105.5</v>
      </c>
      <c r="E1950" s="23">
        <v>98.83</v>
      </c>
      <c r="F1950" s="23">
        <v>32.520000000000003</v>
      </c>
      <c r="G1950" s="23">
        <v>554</v>
      </c>
      <c r="H1950" s="40">
        <v>5.4039999999999999</v>
      </c>
      <c r="I1950" s="13">
        <f t="shared" si="30"/>
        <v>3.0390528905289051</v>
      </c>
      <c r="J1950" s="20"/>
    </row>
    <row r="1951" spans="2:10">
      <c r="C1951" s="40">
        <v>1.8680000000000001</v>
      </c>
      <c r="D1951" s="34">
        <v>110.7</v>
      </c>
      <c r="E1951" s="23">
        <v>98.72</v>
      </c>
      <c r="F1951" s="23">
        <v>32.479999999999997</v>
      </c>
      <c r="G1951" s="23">
        <v>559.4</v>
      </c>
      <c r="H1951" s="40">
        <v>5.39</v>
      </c>
      <c r="I1951" s="13">
        <f t="shared" si="30"/>
        <v>3.0394088669950743</v>
      </c>
      <c r="J1951" s="20"/>
    </row>
    <row r="1952" spans="2:10">
      <c r="C1952" s="40">
        <v>1.8180000000000001</v>
      </c>
      <c r="D1952" s="34">
        <v>94.57</v>
      </c>
      <c r="E1952" s="23">
        <v>98.98</v>
      </c>
      <c r="F1952" s="23">
        <v>32.65</v>
      </c>
      <c r="G1952" s="23">
        <v>560.9</v>
      </c>
      <c r="H1952" s="40">
        <v>5.2489999999999997</v>
      </c>
      <c r="I1952" s="13">
        <f t="shared" si="30"/>
        <v>3.0315467075038289</v>
      </c>
      <c r="J1952" s="20"/>
    </row>
    <row r="1953" spans="2:10">
      <c r="C1953" s="40">
        <v>1.8240000000000001</v>
      </c>
      <c r="D1953" s="34">
        <v>105.6</v>
      </c>
      <c r="E1953" s="23">
        <v>98.76</v>
      </c>
      <c r="F1953" s="23">
        <v>32.64</v>
      </c>
      <c r="G1953" s="23">
        <v>559.4</v>
      </c>
      <c r="H1953" s="40">
        <v>5.1459999999999999</v>
      </c>
      <c r="I1953" s="13">
        <f t="shared" si="30"/>
        <v>3.0257352941176472</v>
      </c>
      <c r="J1953" s="20"/>
    </row>
    <row r="1954" spans="2:10">
      <c r="C1954" s="40">
        <v>1.843</v>
      </c>
      <c r="D1954" s="34">
        <v>94.78</v>
      </c>
      <c r="E1954" s="23">
        <v>98.61</v>
      </c>
      <c r="F1954" s="23">
        <v>32.799999999999997</v>
      </c>
      <c r="G1954" s="23">
        <v>554.79999999999995</v>
      </c>
      <c r="H1954" s="40">
        <v>5.032</v>
      </c>
      <c r="I1954" s="13">
        <f t="shared" si="30"/>
        <v>3.0064024390243906</v>
      </c>
      <c r="J1954" s="20"/>
    </row>
    <row r="1955" spans="2:10">
      <c r="C1955" s="40">
        <v>1.964</v>
      </c>
      <c r="D1955" s="34">
        <v>116.5</v>
      </c>
      <c r="E1955" s="23">
        <v>98.2</v>
      </c>
      <c r="F1955" s="23">
        <v>32.94</v>
      </c>
      <c r="G1955" s="23">
        <v>554.70000000000005</v>
      </c>
      <c r="H1955" s="40">
        <v>4.9180000000000001</v>
      </c>
      <c r="I1955" s="13">
        <f t="shared" si="30"/>
        <v>2.9811778992106865</v>
      </c>
      <c r="J1955" s="20"/>
    </row>
    <row r="1956" spans="2:10">
      <c r="C1956" s="40">
        <v>1.99</v>
      </c>
      <c r="D1956" s="34">
        <v>106</v>
      </c>
      <c r="E1956" s="23">
        <v>98.56</v>
      </c>
      <c r="F1956" s="23">
        <v>32.78</v>
      </c>
      <c r="G1956" s="23">
        <v>553.1</v>
      </c>
      <c r="H1956" s="40">
        <v>5.1120000000000001</v>
      </c>
      <c r="I1956" s="13">
        <f t="shared" si="30"/>
        <v>3.0067114093959733</v>
      </c>
      <c r="J1956" s="20"/>
    </row>
    <row r="1957" spans="2:10">
      <c r="C1957" s="40">
        <v>1.98</v>
      </c>
      <c r="D1957" s="34">
        <v>109.1</v>
      </c>
      <c r="E1957" s="23">
        <v>98.83</v>
      </c>
      <c r="F1957" s="23">
        <v>31.98</v>
      </c>
      <c r="G1957" s="23">
        <v>553</v>
      </c>
      <c r="H1957" s="40">
        <v>5.27</v>
      </c>
      <c r="I1957" s="13">
        <f t="shared" si="30"/>
        <v>3.0903689806128831</v>
      </c>
      <c r="J1957" s="20"/>
    </row>
    <row r="1958" spans="2:10">
      <c r="C1958" s="40">
        <v>1.968</v>
      </c>
      <c r="D1958" s="34">
        <v>106</v>
      </c>
      <c r="E1958" s="23">
        <v>98.69</v>
      </c>
      <c r="F1958" s="23">
        <v>32.36</v>
      </c>
      <c r="G1958" s="23">
        <v>553.20000000000005</v>
      </c>
      <c r="H1958" s="40">
        <v>5.4039999999999999</v>
      </c>
      <c r="I1958" s="13">
        <f t="shared" si="30"/>
        <v>3.0497527812113718</v>
      </c>
      <c r="J1958" s="20"/>
    </row>
    <row r="1959" spans="2:10">
      <c r="C1959" s="40">
        <v>1.9530000000000001</v>
      </c>
      <c r="D1959" s="34">
        <v>100</v>
      </c>
      <c r="E1959" s="23">
        <v>98.54</v>
      </c>
      <c r="F1959" s="23">
        <v>32.56</v>
      </c>
      <c r="G1959" s="23">
        <v>557.1</v>
      </c>
      <c r="H1959" s="40">
        <v>5.4480000000000004</v>
      </c>
      <c r="I1959" s="13">
        <f t="shared" si="30"/>
        <v>3.0264127764127764</v>
      </c>
      <c r="J1959" s="20"/>
    </row>
    <row r="1960" spans="2:10">
      <c r="C1960" s="40">
        <v>1.921</v>
      </c>
      <c r="D1960" s="34">
        <v>98.91</v>
      </c>
      <c r="E1960" s="23">
        <v>98.42</v>
      </c>
      <c r="F1960" s="23">
        <v>32.78</v>
      </c>
      <c r="G1960" s="23">
        <v>556.29999999999995</v>
      </c>
      <c r="H1960" s="40">
        <v>5.25</v>
      </c>
      <c r="I1960" s="13">
        <f t="shared" si="30"/>
        <v>3.0024405125076266</v>
      </c>
      <c r="J1960" s="20"/>
    </row>
    <row r="1961" spans="2:10">
      <c r="C1961" s="40">
        <v>1.8919999999999999</v>
      </c>
      <c r="D1961" s="34">
        <v>99.6</v>
      </c>
      <c r="E1961" s="23">
        <v>98.57</v>
      </c>
      <c r="F1961" s="23">
        <v>32.729999999999997</v>
      </c>
      <c r="G1961" s="23">
        <v>555</v>
      </c>
      <c r="H1961" s="40">
        <v>5.1239999999999997</v>
      </c>
      <c r="I1961" s="13">
        <f t="shared" si="30"/>
        <v>3.0116101435991447</v>
      </c>
      <c r="J1961" s="20"/>
    </row>
    <row r="1962" spans="2:10">
      <c r="B1962" s="47">
        <v>99</v>
      </c>
      <c r="C1962" s="39">
        <v>2.1551</v>
      </c>
      <c r="D1962" s="37">
        <v>124.1</v>
      </c>
      <c r="E1962" s="38">
        <v>101</v>
      </c>
      <c r="F1962" s="38">
        <v>24.28</v>
      </c>
      <c r="G1962" s="38">
        <v>529.29999999999995</v>
      </c>
      <c r="H1962" s="39">
        <v>4.9189999999999996</v>
      </c>
      <c r="I1962" s="13">
        <f t="shared" si="30"/>
        <v>4.1598023064250409</v>
      </c>
      <c r="J1962" s="20"/>
    </row>
    <row r="1963" spans="2:10">
      <c r="C1963" s="40">
        <v>2.2519999999999998</v>
      </c>
      <c r="D1963" s="34">
        <v>131.69999999999999</v>
      </c>
      <c r="E1963" s="23">
        <v>101.7</v>
      </c>
      <c r="F1963" s="23">
        <v>24.55</v>
      </c>
      <c r="G1963" s="23">
        <v>527.79999999999995</v>
      </c>
      <c r="H1963" s="40">
        <v>4.6289999999999996</v>
      </c>
      <c r="I1963" s="13">
        <f t="shared" si="30"/>
        <v>4.1425661914460283</v>
      </c>
      <c r="J1963" s="20"/>
    </row>
    <row r="1964" spans="2:10">
      <c r="C1964" s="40">
        <v>2.3140000000000001</v>
      </c>
      <c r="D1964" s="34">
        <v>124.1</v>
      </c>
      <c r="E1964" s="23">
        <v>101.7</v>
      </c>
      <c r="F1964" s="23">
        <v>24.46</v>
      </c>
      <c r="G1964" s="23">
        <v>528.20000000000005</v>
      </c>
      <c r="H1964" s="40">
        <v>4.4429999999999996</v>
      </c>
      <c r="I1964" s="13">
        <f t="shared" si="30"/>
        <v>4.157808667211774</v>
      </c>
      <c r="J1964" s="20"/>
    </row>
    <row r="1965" spans="2:10">
      <c r="C1965" s="40">
        <v>2.3290000000000002</v>
      </c>
      <c r="D1965" s="34">
        <v>112.6</v>
      </c>
      <c r="E1965" s="23">
        <v>101</v>
      </c>
      <c r="F1965" s="23">
        <v>24.79</v>
      </c>
      <c r="G1965" s="23">
        <v>531.4</v>
      </c>
      <c r="H1965" s="40">
        <v>4.492</v>
      </c>
      <c r="I1965" s="13">
        <f t="shared" si="30"/>
        <v>4.0742234772085517</v>
      </c>
      <c r="J1965" s="20"/>
    </row>
    <row r="1966" spans="2:10">
      <c r="C1966" s="40">
        <v>2.331</v>
      </c>
      <c r="D1966" s="34">
        <v>117.9</v>
      </c>
      <c r="E1966" s="23">
        <v>101.3</v>
      </c>
      <c r="F1966" s="23">
        <v>24.88</v>
      </c>
      <c r="G1966" s="23">
        <v>531.6</v>
      </c>
      <c r="H1966" s="40">
        <v>4.6470000000000002</v>
      </c>
      <c r="I1966" s="13">
        <f t="shared" si="30"/>
        <v>4.071543408360129</v>
      </c>
      <c r="J1966" s="20"/>
    </row>
    <row r="1967" spans="2:10">
      <c r="C1967" s="40">
        <v>2.34</v>
      </c>
      <c r="D1967" s="34">
        <v>118.2</v>
      </c>
      <c r="E1967" s="23">
        <v>101.4</v>
      </c>
      <c r="F1967" s="23">
        <v>24.81</v>
      </c>
      <c r="G1967" s="23">
        <v>529.29999999999995</v>
      </c>
      <c r="H1967" s="40">
        <v>4.4809999999999999</v>
      </c>
      <c r="I1967" s="13">
        <f t="shared" si="30"/>
        <v>4.0870616686819838</v>
      </c>
      <c r="J1967" s="20"/>
    </row>
    <row r="1968" spans="2:10">
      <c r="C1968" s="40">
        <v>2.3559999999999999</v>
      </c>
      <c r="D1968" s="34">
        <v>108.7</v>
      </c>
      <c r="E1968" s="23">
        <v>100.9</v>
      </c>
      <c r="F1968" s="23">
        <v>24.74</v>
      </c>
      <c r="G1968" s="23">
        <v>526.29999999999995</v>
      </c>
      <c r="H1968" s="40">
        <v>4.0090000000000003</v>
      </c>
      <c r="I1968" s="13">
        <f t="shared" si="30"/>
        <v>4.078415521422798</v>
      </c>
      <c r="J1968" s="20"/>
    </row>
    <row r="1969" spans="2:10">
      <c r="C1969" s="40">
        <v>2.347</v>
      </c>
      <c r="D1969" s="34">
        <v>112</v>
      </c>
      <c r="E1969" s="23">
        <v>100.8</v>
      </c>
      <c r="F1969" s="23">
        <v>24.46</v>
      </c>
      <c r="G1969" s="23">
        <v>532.79999999999995</v>
      </c>
      <c r="H1969" s="40">
        <v>4.1479999999999997</v>
      </c>
      <c r="I1969" s="13">
        <f t="shared" si="30"/>
        <v>4.1210139002452983</v>
      </c>
      <c r="J1969" s="20"/>
    </row>
    <row r="1970" spans="2:10">
      <c r="C1970" s="40">
        <v>2.2989999999999999</v>
      </c>
      <c r="D1970" s="34">
        <v>100.3</v>
      </c>
      <c r="E1970" s="23">
        <v>101.4</v>
      </c>
      <c r="F1970" s="23">
        <v>24.55</v>
      </c>
      <c r="G1970" s="23">
        <v>528.29999999999995</v>
      </c>
      <c r="H1970" s="40">
        <v>4.4640000000000004</v>
      </c>
      <c r="I1970" s="13">
        <f t="shared" si="30"/>
        <v>4.1303462321792264</v>
      </c>
      <c r="J1970" s="20"/>
    </row>
    <row r="1971" spans="2:10">
      <c r="C1971" s="40">
        <v>2.1819999999999999</v>
      </c>
      <c r="D1971" s="34">
        <v>114.8</v>
      </c>
      <c r="E1971" s="23">
        <v>101.5</v>
      </c>
      <c r="F1971" s="23">
        <v>24.3</v>
      </c>
      <c r="G1971" s="23">
        <v>522.9</v>
      </c>
      <c r="H1971" s="40">
        <v>4.3849999999999998</v>
      </c>
      <c r="I1971" s="13">
        <f t="shared" si="30"/>
        <v>4.1769547325102883</v>
      </c>
      <c r="J1971" s="20"/>
    </row>
    <row r="1972" spans="2:10">
      <c r="C1972" s="40">
        <v>2.1440000000000001</v>
      </c>
      <c r="D1972" s="34">
        <v>116.3</v>
      </c>
      <c r="E1972" s="23">
        <v>101.6</v>
      </c>
      <c r="F1972" s="23">
        <v>24.72</v>
      </c>
      <c r="G1972" s="23">
        <v>527.79999999999995</v>
      </c>
      <c r="H1972" s="40">
        <v>4.8609999999999998</v>
      </c>
      <c r="I1972" s="13">
        <f t="shared" si="30"/>
        <v>4.1100323624595472</v>
      </c>
      <c r="J1972" s="20"/>
    </row>
    <row r="1973" spans="2:10">
      <c r="C1973" s="40">
        <v>2.1819999999999999</v>
      </c>
      <c r="D1973" s="34">
        <v>148</v>
      </c>
      <c r="E1973" s="23">
        <v>101.2</v>
      </c>
      <c r="F1973" s="23">
        <v>24.88</v>
      </c>
      <c r="G1973" s="23">
        <v>526.1</v>
      </c>
      <c r="H1973" s="40">
        <v>4.7380000000000004</v>
      </c>
      <c r="I1973" s="13">
        <f t="shared" si="30"/>
        <v>4.067524115755627</v>
      </c>
      <c r="J1973" s="20"/>
    </row>
    <row r="1974" spans="2:10">
      <c r="C1974" s="40">
        <v>2.1143999999999998</v>
      </c>
      <c r="D1974" s="34">
        <v>111.4</v>
      </c>
      <c r="E1974" s="23">
        <v>100.7</v>
      </c>
      <c r="F1974" s="23">
        <v>24.79</v>
      </c>
      <c r="G1974" s="23">
        <v>528.4</v>
      </c>
      <c r="H1974" s="40">
        <v>4.1630000000000003</v>
      </c>
      <c r="I1974" s="13">
        <f t="shared" si="30"/>
        <v>4.0621218233158531</v>
      </c>
      <c r="J1974" s="20"/>
    </row>
    <row r="1975" spans="2:10">
      <c r="C1975" s="40">
        <v>2.3479999999999999</v>
      </c>
      <c r="D1975" s="34">
        <v>100.3</v>
      </c>
      <c r="E1975" s="23">
        <v>100.6</v>
      </c>
      <c r="F1975" s="23">
        <v>24.27</v>
      </c>
      <c r="G1975" s="23">
        <v>522.9</v>
      </c>
      <c r="H1975" s="40">
        <v>4.03</v>
      </c>
      <c r="I1975" s="13">
        <f t="shared" si="30"/>
        <v>4.1450350226617223</v>
      </c>
      <c r="J1975" s="20"/>
    </row>
    <row r="1976" spans="2:10">
      <c r="C1976" s="40">
        <v>2.331</v>
      </c>
      <c r="D1976" s="34">
        <v>101.6</v>
      </c>
      <c r="E1976" s="23">
        <v>100.9</v>
      </c>
      <c r="F1976" s="23">
        <v>24.57</v>
      </c>
      <c r="G1976" s="23">
        <v>526.70000000000005</v>
      </c>
      <c r="H1976" s="40">
        <v>4.766</v>
      </c>
      <c r="I1976" s="13">
        <f t="shared" si="30"/>
        <v>4.1066341066341066</v>
      </c>
      <c r="J1976" s="20"/>
    </row>
    <row r="1977" spans="2:10">
      <c r="C1977" s="40">
        <v>2.2709999999999999</v>
      </c>
      <c r="D1977" s="34">
        <v>108.1</v>
      </c>
      <c r="E1977" s="23">
        <v>101.3</v>
      </c>
      <c r="F1977" s="23">
        <v>24.06</v>
      </c>
      <c r="G1977" s="23">
        <v>529.29999999999995</v>
      </c>
      <c r="H1977" s="40">
        <v>4.5620000000000003</v>
      </c>
      <c r="I1977" s="13">
        <f t="shared" si="30"/>
        <v>4.210307564422278</v>
      </c>
      <c r="J1977" s="20"/>
    </row>
    <row r="1978" spans="2:10">
      <c r="C1978" s="40">
        <v>2.202</v>
      </c>
      <c r="D1978" s="34">
        <v>122.4</v>
      </c>
      <c r="E1978" s="23">
        <v>101.5</v>
      </c>
      <c r="F1978" s="23">
        <v>24.6</v>
      </c>
      <c r="G1978" s="23">
        <v>531.4</v>
      </c>
      <c r="H1978" s="40">
        <v>4.6589999999999998</v>
      </c>
      <c r="I1978" s="13">
        <f t="shared" si="30"/>
        <v>4.1260162601626016</v>
      </c>
      <c r="J1978" s="20"/>
    </row>
    <row r="1979" spans="2:10">
      <c r="C1979" s="40">
        <v>2.089</v>
      </c>
      <c r="D1979" s="34">
        <v>108.7</v>
      </c>
      <c r="E1979" s="23">
        <v>101</v>
      </c>
      <c r="F1979" s="23">
        <v>24.43</v>
      </c>
      <c r="G1979" s="23">
        <v>533.79999999999995</v>
      </c>
      <c r="H1979" s="40">
        <v>4.5069999999999997</v>
      </c>
      <c r="I1979" s="13">
        <f t="shared" si="30"/>
        <v>4.1342611543184606</v>
      </c>
      <c r="J1979" s="20"/>
    </row>
    <row r="1980" spans="2:10">
      <c r="C1980" s="40">
        <v>2.0649999999999999</v>
      </c>
      <c r="D1980" s="34">
        <v>106.9</v>
      </c>
      <c r="E1980" s="23">
        <v>101.1</v>
      </c>
      <c r="F1980" s="23">
        <v>24.27</v>
      </c>
      <c r="G1980" s="23">
        <v>536.70000000000005</v>
      </c>
      <c r="H1980" s="40">
        <v>4.7110000000000003</v>
      </c>
      <c r="I1980" s="13">
        <f t="shared" si="30"/>
        <v>4.1656365883807167</v>
      </c>
      <c r="J1980" s="20"/>
    </row>
    <row r="1981" spans="2:10">
      <c r="C1981" s="40">
        <v>2.052</v>
      </c>
      <c r="D1981" s="34">
        <v>118.2</v>
      </c>
      <c r="E1981" s="23">
        <v>101.2</v>
      </c>
      <c r="F1981" s="23">
        <v>24.35</v>
      </c>
      <c r="G1981" s="23">
        <v>531</v>
      </c>
      <c r="H1981" s="40">
        <v>4.38</v>
      </c>
      <c r="I1981" s="13">
        <f t="shared" si="30"/>
        <v>4.1560574948665296</v>
      </c>
      <c r="J1981" s="20"/>
    </row>
    <row r="1982" spans="2:10">
      <c r="B1982" s="47">
        <v>100</v>
      </c>
      <c r="C1982" s="39">
        <v>2.073</v>
      </c>
      <c r="D1982" s="37">
        <v>53.61</v>
      </c>
      <c r="E1982" s="38">
        <v>84.18</v>
      </c>
      <c r="F1982" s="38">
        <v>32.21</v>
      </c>
      <c r="G1982" s="38">
        <v>521.70000000000005</v>
      </c>
      <c r="H1982" s="39">
        <v>5.4169999999999998</v>
      </c>
      <c r="I1982" s="13">
        <f t="shared" si="30"/>
        <v>2.6134740763737971</v>
      </c>
      <c r="J1982" s="20"/>
    </row>
    <row r="1983" spans="2:10">
      <c r="C1983" s="40">
        <v>2.0830000000000002</v>
      </c>
      <c r="D1983" s="34">
        <v>70.12</v>
      </c>
      <c r="E1983" s="23">
        <v>84.14</v>
      </c>
      <c r="F1983" s="23">
        <v>32.36</v>
      </c>
      <c r="G1983" s="23">
        <v>524.29999999999995</v>
      </c>
      <c r="H1983" s="40">
        <v>5.2169999999999996</v>
      </c>
      <c r="I1983" s="13">
        <f t="shared" si="30"/>
        <v>2.6001236093943141</v>
      </c>
      <c r="J1983" s="20"/>
    </row>
    <row r="1984" spans="2:10">
      <c r="C1984" s="40">
        <v>2.0699999999999998</v>
      </c>
      <c r="D1984" s="34">
        <v>82.98</v>
      </c>
      <c r="E1984" s="23">
        <v>84.51</v>
      </c>
      <c r="F1984" s="23">
        <v>32.47</v>
      </c>
      <c r="G1984" s="23">
        <v>522.9</v>
      </c>
      <c r="H1984" s="40">
        <v>5.1970000000000001</v>
      </c>
      <c r="I1984" s="13">
        <f t="shared" si="30"/>
        <v>2.6027101940252542</v>
      </c>
      <c r="J1984" s="20"/>
    </row>
    <row r="1985" spans="3:10">
      <c r="C1985" s="40">
        <v>2.0750000000000002</v>
      </c>
      <c r="D1985" s="34">
        <v>88.63</v>
      </c>
      <c r="E1985" s="23">
        <v>84.62</v>
      </c>
      <c r="F1985" s="23">
        <v>32.06</v>
      </c>
      <c r="G1985" s="23">
        <v>524</v>
      </c>
      <c r="H1985" s="40">
        <v>5.5469999999999997</v>
      </c>
      <c r="I1985" s="13">
        <f t="shared" si="30"/>
        <v>2.639426076107299</v>
      </c>
      <c r="J1985" s="20"/>
    </row>
    <row r="1986" spans="3:10">
      <c r="C1986" s="40">
        <v>2.056</v>
      </c>
      <c r="D1986" s="34">
        <v>98.21</v>
      </c>
      <c r="E1986" s="23">
        <v>84.73</v>
      </c>
      <c r="F1986" s="23">
        <v>32.06</v>
      </c>
      <c r="G1986" s="23">
        <v>518.6</v>
      </c>
      <c r="H1986" s="40">
        <v>5.3449999999999998</v>
      </c>
      <c r="I1986" s="13">
        <f t="shared" si="30"/>
        <v>2.6428571428571428</v>
      </c>
      <c r="J1986" s="20"/>
    </row>
    <row r="1987" spans="3:10">
      <c r="C1987" s="40">
        <v>2.0569999999999999</v>
      </c>
      <c r="D1987" s="34">
        <v>92.1</v>
      </c>
      <c r="E1987" s="23">
        <v>85.03</v>
      </c>
      <c r="F1987" s="23">
        <v>32.15</v>
      </c>
      <c r="G1987" s="23">
        <v>519.9</v>
      </c>
      <c r="H1987" s="40">
        <v>5.6529999999999996</v>
      </c>
      <c r="I1987" s="13">
        <f t="shared" ref="I1987:I2001" si="31">E1987/F1987</f>
        <v>2.6447900466562988</v>
      </c>
      <c r="J1987" s="20"/>
    </row>
    <row r="1988" spans="3:10">
      <c r="C1988" s="40">
        <v>2.06</v>
      </c>
      <c r="D1988" s="34">
        <v>86.7</v>
      </c>
      <c r="E1988" s="23">
        <v>84.25</v>
      </c>
      <c r="F1988" s="23">
        <v>32.21</v>
      </c>
      <c r="G1988" s="23">
        <v>518.6</v>
      </c>
      <c r="H1988" s="40">
        <v>6.05</v>
      </c>
      <c r="I1988" s="13">
        <f t="shared" si="31"/>
        <v>2.6156473144986028</v>
      </c>
      <c r="J1988" s="20"/>
    </row>
    <row r="1989" spans="3:10">
      <c r="C1989" s="40">
        <v>2.0750000000000002</v>
      </c>
      <c r="D1989" s="34">
        <v>92.1</v>
      </c>
      <c r="E1989" s="23">
        <v>84.69</v>
      </c>
      <c r="F1989" s="23">
        <v>32.04</v>
      </c>
      <c r="G1989" s="23">
        <v>522.20000000000005</v>
      </c>
      <c r="H1989" s="40">
        <v>6.65</v>
      </c>
      <c r="I1989" s="13">
        <f t="shared" si="31"/>
        <v>2.643258426966292</v>
      </c>
      <c r="J1989" s="20"/>
    </row>
    <row r="1990" spans="3:10">
      <c r="C1990" s="40">
        <v>2.09</v>
      </c>
      <c r="D1990" s="34">
        <v>99.78</v>
      </c>
      <c r="E1990" s="23">
        <v>84.81</v>
      </c>
      <c r="F1990" s="23">
        <v>32.35</v>
      </c>
      <c r="G1990" s="23">
        <v>521.5</v>
      </c>
      <c r="H1990" s="40">
        <v>6.13</v>
      </c>
      <c r="I1990" s="13">
        <f t="shared" si="31"/>
        <v>2.6216383307573414</v>
      </c>
      <c r="J1990" s="20"/>
    </row>
    <row r="1991" spans="3:10">
      <c r="C1991" s="40">
        <v>2.073</v>
      </c>
      <c r="D1991" s="34">
        <v>110.5</v>
      </c>
      <c r="E1991" s="23">
        <v>84.88</v>
      </c>
      <c r="F1991" s="23">
        <v>32.14</v>
      </c>
      <c r="G1991" s="23">
        <v>518.4</v>
      </c>
      <c r="H1991" s="40">
        <v>6.18</v>
      </c>
      <c r="I1991" s="13">
        <f t="shared" si="31"/>
        <v>2.6409458618543868</v>
      </c>
      <c r="J1991" s="20"/>
    </row>
    <row r="1992" spans="3:10">
      <c r="C1992" s="40">
        <v>2.0510000000000002</v>
      </c>
      <c r="D1992" s="34">
        <v>99.09</v>
      </c>
      <c r="E1992" s="23">
        <v>84.92</v>
      </c>
      <c r="F1992" s="23">
        <v>32.450000000000003</v>
      </c>
      <c r="G1992" s="23">
        <v>515.20000000000005</v>
      </c>
      <c r="H1992" s="40">
        <v>5.05</v>
      </c>
      <c r="I1992" s="13">
        <f t="shared" si="31"/>
        <v>2.6169491525423729</v>
      </c>
      <c r="J1992" s="20"/>
    </row>
    <row r="1993" spans="3:10">
      <c r="C1993" s="40">
        <v>1.9790000000000001</v>
      </c>
      <c r="D1993" s="34">
        <v>79.599999999999994</v>
      </c>
      <c r="E1993" s="23">
        <v>84.37</v>
      </c>
      <c r="F1993" s="23">
        <v>32.61</v>
      </c>
      <c r="G1993" s="23">
        <v>519.79999999999995</v>
      </c>
      <c r="H1993" s="40">
        <v>5.1420000000000003</v>
      </c>
      <c r="I1993" s="13">
        <f t="shared" si="31"/>
        <v>2.5872431769395892</v>
      </c>
      <c r="J1993" s="20"/>
    </row>
    <row r="1994" spans="3:10">
      <c r="C1994" s="40">
        <v>2</v>
      </c>
      <c r="D1994" s="34">
        <v>93.45</v>
      </c>
      <c r="E1994" s="23">
        <v>84.52</v>
      </c>
      <c r="F1994" s="23">
        <v>32.51</v>
      </c>
      <c r="G1994" s="23">
        <v>520.6</v>
      </c>
      <c r="H1994" s="40">
        <v>5.3730000000000002</v>
      </c>
      <c r="I1994" s="13">
        <f t="shared" si="31"/>
        <v>2.5998154414026455</v>
      </c>
      <c r="J1994" s="20"/>
    </row>
    <row r="1995" spans="3:10">
      <c r="C1995" s="40">
        <v>2.0339999999999998</v>
      </c>
      <c r="D1995" s="34">
        <v>110.6</v>
      </c>
      <c r="E1995" s="23">
        <v>84.67</v>
      </c>
      <c r="F1995" s="23">
        <v>32.31</v>
      </c>
      <c r="G1995" s="23">
        <v>524</v>
      </c>
      <c r="H1995" s="40">
        <v>5.7720000000000002</v>
      </c>
      <c r="I1995" s="13">
        <f t="shared" si="31"/>
        <v>2.6205509130300215</v>
      </c>
      <c r="J1995" s="20"/>
    </row>
    <row r="1996" spans="3:10">
      <c r="C1996" s="40">
        <v>2.0510000000000002</v>
      </c>
      <c r="D1996" s="34">
        <v>93.45</v>
      </c>
      <c r="E1996" s="23">
        <v>84.78</v>
      </c>
      <c r="F1996" s="23">
        <v>32.119999999999997</v>
      </c>
      <c r="G1996" s="23">
        <v>521</v>
      </c>
      <c r="H1996" s="40">
        <v>5.3049999999999997</v>
      </c>
      <c r="I1996" s="13">
        <f t="shared" si="31"/>
        <v>2.6394769613947697</v>
      </c>
      <c r="J1996" s="20"/>
    </row>
    <row r="1997" spans="3:10">
      <c r="C1997" s="40">
        <v>2.0550000000000002</v>
      </c>
      <c r="D1997" s="34">
        <v>99.6</v>
      </c>
      <c r="E1997" s="23">
        <v>85.04</v>
      </c>
      <c r="F1997" s="23">
        <v>32</v>
      </c>
      <c r="G1997" s="23">
        <v>519.9</v>
      </c>
      <c r="H1997" s="40">
        <v>5.8959999999999999</v>
      </c>
      <c r="I1997" s="13">
        <f t="shared" si="31"/>
        <v>2.6575000000000002</v>
      </c>
      <c r="J1997" s="20"/>
    </row>
    <row r="1998" spans="3:10">
      <c r="C1998" s="40">
        <v>2.0699999999999998</v>
      </c>
      <c r="D1998" s="34">
        <v>86.7</v>
      </c>
      <c r="E1998" s="23">
        <v>85.05</v>
      </c>
      <c r="F1998" s="23">
        <v>31.84</v>
      </c>
      <c r="G1998" s="23">
        <v>520.6</v>
      </c>
      <c r="H1998" s="40">
        <v>5.3049999999999997</v>
      </c>
      <c r="I1998" s="13">
        <f t="shared" si="31"/>
        <v>2.6711683417085426</v>
      </c>
      <c r="J1998" s="20"/>
    </row>
    <row r="1999" spans="3:10">
      <c r="C1999" s="40">
        <v>2.0750000000000002</v>
      </c>
      <c r="D1999" s="34">
        <v>88.63</v>
      </c>
      <c r="E1999" s="23">
        <v>85.15</v>
      </c>
      <c r="F1999" s="23">
        <v>31.89</v>
      </c>
      <c r="G1999" s="23">
        <v>528.20000000000005</v>
      </c>
      <c r="H1999" s="40">
        <v>5.1239999999999997</v>
      </c>
      <c r="I1999" s="13">
        <f t="shared" si="31"/>
        <v>2.6701160238319224</v>
      </c>
      <c r="J1999" s="20"/>
    </row>
    <row r="2000" spans="3:10">
      <c r="C2000" s="40">
        <v>2.073</v>
      </c>
      <c r="D2000" s="34">
        <v>104.1</v>
      </c>
      <c r="E2000" s="23">
        <v>85.26</v>
      </c>
      <c r="F2000" s="23">
        <v>32.200000000000003</v>
      </c>
      <c r="G2000" s="23">
        <v>527.70000000000005</v>
      </c>
      <c r="H2000" s="40">
        <v>5.5519999999999996</v>
      </c>
      <c r="I2000" s="13">
        <f t="shared" si="31"/>
        <v>2.6478260869565218</v>
      </c>
      <c r="J2000" s="20"/>
    </row>
    <row r="2001" spans="2:10">
      <c r="C2001" s="40">
        <v>2.06</v>
      </c>
      <c r="D2001" s="34">
        <v>123.4</v>
      </c>
      <c r="E2001" s="23">
        <v>84.26</v>
      </c>
      <c r="F2001" s="23">
        <v>32.61</v>
      </c>
      <c r="G2001" s="23">
        <v>521.79999999999995</v>
      </c>
      <c r="H2001" s="40">
        <v>6.06</v>
      </c>
      <c r="I2001" s="13">
        <f t="shared" si="31"/>
        <v>2.5838699785341923</v>
      </c>
      <c r="J2001" s="20"/>
    </row>
    <row r="2002" spans="2:10">
      <c r="B2002" s="53" t="s">
        <v>8</v>
      </c>
      <c r="C2002" s="44">
        <f>AVERAGE(C2:C2001)</f>
        <v>2.3549795000000024</v>
      </c>
      <c r="D2002" s="43">
        <f>AVERAGE(D2:D2001)</f>
        <v>137.79347999999993</v>
      </c>
      <c r="E2002" s="44">
        <f>AVERAGE(E2:E2001)</f>
        <v>94.027364999999918</v>
      </c>
      <c r="F2002" s="44">
        <f>AVERAGE(F2:F2001)</f>
        <v>30.068404499999975</v>
      </c>
      <c r="G2002" s="44">
        <f>AVERAGE(G2:G2001)</f>
        <v>515.55801499999961</v>
      </c>
      <c r="H2002" s="44">
        <f>AVERAGE(H2:H2001)</f>
        <v>3.9871384999999977</v>
      </c>
      <c r="I2002" s="32">
        <f>AVERAGE(I2:I2001)</f>
        <v>3.328943780845413</v>
      </c>
    </row>
    <row r="2003" spans="2:10">
      <c r="E2003" s="40"/>
      <c r="F2003" s="40"/>
      <c r="G2003" s="40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003"/>
  <sheetViews>
    <sheetView topLeftCell="A1943" zoomScale="70" zoomScaleNormal="70" workbookViewId="0">
      <selection activeCell="L13" sqref="L13"/>
    </sheetView>
  </sheetViews>
  <sheetFormatPr defaultColWidth="9.21875" defaultRowHeight="14.4"/>
  <cols>
    <col min="2" max="2" width="13.33203125" customWidth="1"/>
    <col min="3" max="3" width="20.5546875" style="33" customWidth="1"/>
    <col min="4" max="4" width="23.5546875" style="23" customWidth="1"/>
    <col min="5" max="5" width="13.33203125" style="23" customWidth="1"/>
    <col min="6" max="6" width="13" style="23" customWidth="1"/>
    <col min="7" max="7" width="21.77734375" style="23" customWidth="1"/>
    <col min="8" max="8" width="31.77734375" style="23" customWidth="1"/>
    <col min="9" max="9" width="12.88671875" style="13" customWidth="1"/>
    <col min="11" max="11" width="21.77734375" style="23" customWidth="1"/>
  </cols>
  <sheetData>
    <row r="1" spans="2:9" ht="21">
      <c r="B1" s="14" t="s">
        <v>0</v>
      </c>
      <c r="C1" s="54" t="s">
        <v>1</v>
      </c>
      <c r="D1" s="5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35">
        <v>1</v>
      </c>
      <c r="C2" s="36">
        <v>2.6880000000000002</v>
      </c>
      <c r="D2" s="38">
        <v>147.9</v>
      </c>
      <c r="E2" s="38">
        <v>83.18</v>
      </c>
      <c r="F2" s="38">
        <v>19.28</v>
      </c>
      <c r="G2" s="38">
        <v>550.9</v>
      </c>
      <c r="H2" s="38">
        <v>6.73</v>
      </c>
      <c r="I2" s="13">
        <f>E2/F2</f>
        <v>4.3143153526970952</v>
      </c>
    </row>
    <row r="3" spans="2:9">
      <c r="C3" s="33">
        <v>2.657</v>
      </c>
      <c r="D3" s="23">
        <v>165.7</v>
      </c>
      <c r="E3" s="23">
        <v>83.56</v>
      </c>
      <c r="F3" s="23">
        <v>19.39</v>
      </c>
      <c r="G3" s="23">
        <v>565.20000000000005</v>
      </c>
      <c r="H3" s="23">
        <v>7.26</v>
      </c>
      <c r="I3" s="13">
        <f t="shared" ref="I3:I66" si="0">E3/F3</f>
        <v>4.3094378545642087</v>
      </c>
    </row>
    <row r="4" spans="2:9">
      <c r="C4" s="33">
        <v>2.6389999999999998</v>
      </c>
      <c r="D4" s="23">
        <v>165.7</v>
      </c>
      <c r="E4" s="23">
        <v>83.65</v>
      </c>
      <c r="F4" s="23">
        <v>19.010000000000002</v>
      </c>
      <c r="G4" s="23">
        <v>552.20000000000005</v>
      </c>
      <c r="H4" s="23">
        <v>7.39</v>
      </c>
      <c r="I4" s="13">
        <f t="shared" si="0"/>
        <v>4.4003156233561285</v>
      </c>
    </row>
    <row r="5" spans="2:9">
      <c r="C5" s="33">
        <v>2.58</v>
      </c>
      <c r="D5" s="23">
        <v>152.1</v>
      </c>
      <c r="E5" s="23">
        <v>83.81</v>
      </c>
      <c r="F5" s="23">
        <v>19.23</v>
      </c>
      <c r="G5" s="23">
        <v>558.70000000000005</v>
      </c>
      <c r="H5" s="23">
        <v>7.93</v>
      </c>
      <c r="I5" s="13">
        <f t="shared" si="0"/>
        <v>4.358294331773271</v>
      </c>
    </row>
    <row r="6" spans="2:9">
      <c r="C6" s="33">
        <v>2.625</v>
      </c>
      <c r="D6" s="23">
        <v>143.30000000000001</v>
      </c>
      <c r="E6" s="23">
        <v>83.88</v>
      </c>
      <c r="F6" s="23">
        <v>19.670000000000002</v>
      </c>
      <c r="G6" s="23">
        <v>552.29999999999995</v>
      </c>
      <c r="H6" s="23">
        <v>6.73</v>
      </c>
      <c r="I6" s="13">
        <f t="shared" si="0"/>
        <v>4.2643619725470252</v>
      </c>
    </row>
    <row r="7" spans="2:9">
      <c r="C7" s="33">
        <v>2.64</v>
      </c>
      <c r="D7" s="23">
        <v>147.9</v>
      </c>
      <c r="E7" s="23">
        <v>84</v>
      </c>
      <c r="F7" s="23">
        <v>19.829999999999998</v>
      </c>
      <c r="G7" s="23">
        <v>546</v>
      </c>
      <c r="H7" s="23">
        <v>7.08</v>
      </c>
      <c r="I7" s="13">
        <f t="shared" si="0"/>
        <v>4.2360060514372169</v>
      </c>
    </row>
    <row r="8" spans="2:9">
      <c r="C8" s="33">
        <v>2.6080000000000001</v>
      </c>
      <c r="D8" s="23">
        <v>165.7</v>
      </c>
      <c r="E8" s="23">
        <v>84.06</v>
      </c>
      <c r="F8" s="23">
        <v>19.559999999999999</v>
      </c>
      <c r="G8" s="23">
        <v>548.5</v>
      </c>
      <c r="H8" s="23">
        <v>6.54</v>
      </c>
      <c r="I8" s="13">
        <f t="shared" si="0"/>
        <v>4.2975460122699394</v>
      </c>
    </row>
    <row r="9" spans="2:9">
      <c r="C9" s="33">
        <v>2.5990000000000002</v>
      </c>
      <c r="D9" s="23">
        <v>139.4</v>
      </c>
      <c r="E9" s="23">
        <v>83.96</v>
      </c>
      <c r="F9" s="23">
        <v>19.23</v>
      </c>
      <c r="G9" s="23">
        <v>544.5</v>
      </c>
      <c r="H9" s="23">
        <v>6.03</v>
      </c>
      <c r="I9" s="13">
        <f t="shared" si="0"/>
        <v>4.3660946437857513</v>
      </c>
    </row>
    <row r="10" spans="2:9">
      <c r="C10" s="33">
        <v>2.613</v>
      </c>
      <c r="D10" s="23">
        <v>152.1</v>
      </c>
      <c r="E10" s="23">
        <v>83.49</v>
      </c>
      <c r="F10" s="23">
        <v>19.75</v>
      </c>
      <c r="G10" s="23">
        <v>546.20000000000005</v>
      </c>
      <c r="H10" s="23">
        <v>5.5880000000000001</v>
      </c>
      <c r="I10" s="13">
        <f t="shared" si="0"/>
        <v>4.2273417721518989</v>
      </c>
    </row>
    <row r="11" spans="2:9">
      <c r="C11" s="33">
        <v>2.6480000000000001</v>
      </c>
      <c r="D11" s="23">
        <v>165.7</v>
      </c>
      <c r="E11" s="23">
        <v>83.39</v>
      </c>
      <c r="F11" s="23">
        <v>20.05</v>
      </c>
      <c r="G11" s="23">
        <v>546.6</v>
      </c>
      <c r="H11" s="23">
        <v>5.8620000000000001</v>
      </c>
      <c r="I11" s="13">
        <f t="shared" si="0"/>
        <v>4.1591022443890271</v>
      </c>
    </row>
    <row r="12" spans="2:9">
      <c r="C12" s="33">
        <v>2.617</v>
      </c>
      <c r="D12" s="23">
        <v>147.9</v>
      </c>
      <c r="E12" s="23">
        <v>83.29</v>
      </c>
      <c r="F12" s="23">
        <v>19.73</v>
      </c>
      <c r="G12" s="23">
        <v>545.1</v>
      </c>
      <c r="H12" s="23">
        <v>7.23</v>
      </c>
      <c r="I12" s="13">
        <f t="shared" si="0"/>
        <v>4.2214901165737455</v>
      </c>
    </row>
    <row r="13" spans="2:9">
      <c r="C13" s="33">
        <v>2.5870000000000002</v>
      </c>
      <c r="D13" s="23">
        <v>152.69999999999999</v>
      </c>
      <c r="E13" s="23">
        <v>83.85</v>
      </c>
      <c r="F13" s="23">
        <v>19.62</v>
      </c>
      <c r="G13" s="23">
        <v>545</v>
      </c>
      <c r="H13" s="23">
        <v>6.54</v>
      </c>
      <c r="I13" s="13">
        <f t="shared" si="0"/>
        <v>4.2737003058103973</v>
      </c>
    </row>
    <row r="14" spans="2:9">
      <c r="C14" s="33">
        <v>2.6379999999999999</v>
      </c>
      <c r="D14" s="23">
        <v>140</v>
      </c>
      <c r="E14" s="23">
        <v>84.02</v>
      </c>
      <c r="F14" s="23">
        <v>19.89</v>
      </c>
      <c r="G14" s="23">
        <v>546</v>
      </c>
      <c r="H14" s="23">
        <v>6.03</v>
      </c>
      <c r="I14" s="13">
        <f t="shared" si="0"/>
        <v>4.2242332830568126</v>
      </c>
    </row>
    <row r="15" spans="2:9">
      <c r="C15" s="33">
        <v>2.6549999999999998</v>
      </c>
      <c r="D15" s="23">
        <v>148.69999999999999</v>
      </c>
      <c r="E15" s="23">
        <v>83.56</v>
      </c>
      <c r="F15" s="23">
        <v>20.32</v>
      </c>
      <c r="G15" s="23">
        <v>555.5</v>
      </c>
      <c r="H15" s="23">
        <v>6.39</v>
      </c>
      <c r="I15" s="13">
        <f t="shared" si="0"/>
        <v>4.1122047244094491</v>
      </c>
    </row>
    <row r="16" spans="2:9">
      <c r="C16" s="33">
        <v>2.6949999999999998</v>
      </c>
      <c r="D16" s="23">
        <v>126.4</v>
      </c>
      <c r="E16" s="23">
        <v>83.17</v>
      </c>
      <c r="F16" s="23">
        <v>19.89</v>
      </c>
      <c r="G16" s="23">
        <v>558</v>
      </c>
      <c r="H16" s="23">
        <v>6.91</v>
      </c>
      <c r="I16" s="13">
        <f t="shared" si="0"/>
        <v>4.18149824032177</v>
      </c>
    </row>
    <row r="17" spans="2:9">
      <c r="C17" s="33">
        <v>2.6880000000000002</v>
      </c>
      <c r="D17" s="23">
        <v>145.80000000000001</v>
      </c>
      <c r="E17" s="23">
        <v>83.42</v>
      </c>
      <c r="F17" s="23">
        <v>19.62</v>
      </c>
      <c r="G17" s="23">
        <v>561.6</v>
      </c>
      <c r="H17" s="23">
        <v>6.71</v>
      </c>
      <c r="I17" s="13">
        <f t="shared" si="0"/>
        <v>4.2517838939857286</v>
      </c>
    </row>
    <row r="18" spans="2:9">
      <c r="C18" s="33">
        <v>2.6819999999999999</v>
      </c>
      <c r="D18" s="23">
        <v>135.6</v>
      </c>
      <c r="E18" s="23">
        <v>83.54</v>
      </c>
      <c r="F18" s="23">
        <v>19.18</v>
      </c>
      <c r="G18" s="23">
        <v>563.6</v>
      </c>
      <c r="H18" s="23">
        <v>7.08</v>
      </c>
      <c r="I18" s="13">
        <f t="shared" si="0"/>
        <v>4.3555787278415021</v>
      </c>
    </row>
    <row r="19" spans="2:9">
      <c r="C19" s="33">
        <v>2.4369999999999998</v>
      </c>
      <c r="D19" s="23">
        <v>126</v>
      </c>
      <c r="E19" s="23">
        <v>83.37</v>
      </c>
      <c r="F19" s="23">
        <v>19.07</v>
      </c>
      <c r="G19" s="23">
        <v>549.6</v>
      </c>
      <c r="H19" s="23">
        <v>7.25</v>
      </c>
      <c r="I19" s="13">
        <f t="shared" si="0"/>
        <v>4.3717881489250132</v>
      </c>
    </row>
    <row r="20" spans="2:9">
      <c r="C20" s="33">
        <v>2.4279999999999999</v>
      </c>
      <c r="D20" s="23">
        <v>126.3</v>
      </c>
      <c r="E20" s="23">
        <v>83.47</v>
      </c>
      <c r="F20" s="23">
        <v>19.23</v>
      </c>
      <c r="G20" s="23">
        <v>544.20000000000005</v>
      </c>
      <c r="H20" s="23">
        <v>7.23</v>
      </c>
      <c r="I20" s="13">
        <f t="shared" si="0"/>
        <v>4.3406136245449813</v>
      </c>
    </row>
    <row r="21" spans="2:9">
      <c r="C21" s="33">
        <v>2.4249999999999998</v>
      </c>
      <c r="D21" s="23">
        <v>149.69999999999999</v>
      </c>
      <c r="E21" s="23">
        <v>83.75</v>
      </c>
      <c r="F21" s="23">
        <v>19.46</v>
      </c>
      <c r="G21" s="23">
        <v>546.4</v>
      </c>
      <c r="H21" s="23">
        <v>6.62</v>
      </c>
      <c r="I21" s="13">
        <f t="shared" si="0"/>
        <v>4.3036998972250773</v>
      </c>
    </row>
    <row r="22" spans="2:9">
      <c r="B22" s="35">
        <v>2</v>
      </c>
      <c r="C22" s="36">
        <v>2.125</v>
      </c>
      <c r="D22" s="38">
        <v>191.5</v>
      </c>
      <c r="E22" s="38">
        <v>104.1</v>
      </c>
      <c r="F22" s="38">
        <v>17.89</v>
      </c>
      <c r="G22" s="38">
        <v>545.29999999999995</v>
      </c>
      <c r="H22" s="38">
        <v>5.9790000000000001</v>
      </c>
      <c r="I22" s="13">
        <f t="shared" si="0"/>
        <v>5.8188932364449411</v>
      </c>
    </row>
    <row r="23" spans="2:9">
      <c r="C23" s="33">
        <v>2.0939999999999999</v>
      </c>
      <c r="D23" s="23">
        <v>171.8</v>
      </c>
      <c r="E23" s="23">
        <v>103.7</v>
      </c>
      <c r="F23" s="23">
        <v>17.63</v>
      </c>
      <c r="G23" s="23">
        <v>543</v>
      </c>
      <c r="H23" s="23">
        <v>6.0869999999999997</v>
      </c>
      <c r="I23" s="13">
        <f t="shared" si="0"/>
        <v>5.8820192853091324</v>
      </c>
    </row>
    <row r="24" spans="2:9">
      <c r="C24" s="33">
        <v>2.1920000000000002</v>
      </c>
      <c r="D24" s="23">
        <v>181.9</v>
      </c>
      <c r="E24" s="23">
        <v>103.8</v>
      </c>
      <c r="F24" s="23">
        <v>18.16</v>
      </c>
      <c r="G24" s="23">
        <v>544.20000000000005</v>
      </c>
      <c r="H24" s="23">
        <v>4.4260000000000002</v>
      </c>
      <c r="I24" s="13">
        <f t="shared" si="0"/>
        <v>5.7158590308370041</v>
      </c>
    </row>
    <row r="25" spans="2:9">
      <c r="C25" s="33">
        <v>2.1259999999999999</v>
      </c>
      <c r="D25" s="23">
        <v>150.5</v>
      </c>
      <c r="E25" s="23">
        <v>104</v>
      </c>
      <c r="F25" s="23">
        <v>17.25</v>
      </c>
      <c r="G25" s="23">
        <v>547.5</v>
      </c>
      <c r="H25" s="23">
        <v>5.71</v>
      </c>
      <c r="I25" s="13">
        <f t="shared" si="0"/>
        <v>6.0289855072463769</v>
      </c>
    </row>
    <row r="26" spans="2:9">
      <c r="C26" s="33">
        <v>2.1269999999999998</v>
      </c>
      <c r="D26" s="23">
        <v>201.7</v>
      </c>
      <c r="E26" s="23">
        <v>104.4</v>
      </c>
      <c r="F26" s="23">
        <v>18.47</v>
      </c>
      <c r="G26" s="23">
        <v>549.79999999999995</v>
      </c>
      <c r="H26" s="23">
        <v>4.6429999999999998</v>
      </c>
      <c r="I26" s="13">
        <f t="shared" si="0"/>
        <v>5.6524093123984844</v>
      </c>
    </row>
    <row r="27" spans="2:9">
      <c r="C27" s="33">
        <v>2.1970000000000001</v>
      </c>
      <c r="D27" s="23">
        <v>179.4</v>
      </c>
      <c r="E27" s="23">
        <v>103.2</v>
      </c>
      <c r="F27" s="23">
        <v>17.77</v>
      </c>
      <c r="G27" s="23">
        <v>560.79999999999995</v>
      </c>
      <c r="H27" s="23">
        <v>4.4260000000000002</v>
      </c>
      <c r="I27" s="13">
        <f t="shared" si="0"/>
        <v>5.8075407990996064</v>
      </c>
    </row>
    <row r="28" spans="2:9">
      <c r="C28" s="33">
        <v>1.98</v>
      </c>
      <c r="D28" s="23">
        <v>191.5</v>
      </c>
      <c r="E28" s="23">
        <v>103</v>
      </c>
      <c r="F28" s="23">
        <v>17.63</v>
      </c>
      <c r="G28" s="23">
        <v>547.6</v>
      </c>
      <c r="H28" s="23">
        <v>4.6550000000000002</v>
      </c>
      <c r="I28" s="13">
        <f t="shared" si="0"/>
        <v>5.8423142370958594</v>
      </c>
    </row>
    <row r="29" spans="2:9">
      <c r="C29" s="33">
        <v>1.9390000000000001</v>
      </c>
      <c r="D29" s="23">
        <v>170.8</v>
      </c>
      <c r="E29" s="23">
        <v>104</v>
      </c>
      <c r="F29" s="23">
        <v>17.23</v>
      </c>
      <c r="G29" s="23">
        <v>545.29999999999995</v>
      </c>
      <c r="H29" s="23">
        <v>4.9539999999999997</v>
      </c>
      <c r="I29" s="13">
        <f t="shared" si="0"/>
        <v>6.0359837492745214</v>
      </c>
    </row>
    <row r="30" spans="2:9">
      <c r="C30" s="33">
        <v>2.0049999999999999</v>
      </c>
      <c r="D30" s="23">
        <v>150.5</v>
      </c>
      <c r="E30" s="23">
        <v>103.5</v>
      </c>
      <c r="F30" s="23">
        <v>17.73</v>
      </c>
      <c r="G30" s="23">
        <v>544.6</v>
      </c>
      <c r="H30" s="23">
        <v>6.7329999999999997</v>
      </c>
      <c r="I30" s="13">
        <f t="shared" si="0"/>
        <v>5.8375634517766493</v>
      </c>
    </row>
    <row r="31" spans="2:9">
      <c r="C31" s="33">
        <v>1.9630000000000001</v>
      </c>
      <c r="D31" s="23">
        <v>150.69999999999999</v>
      </c>
      <c r="E31" s="23">
        <v>103.8</v>
      </c>
      <c r="F31" s="23">
        <v>18.22</v>
      </c>
      <c r="G31" s="23">
        <v>544.9</v>
      </c>
      <c r="H31" s="23">
        <v>5.1740000000000004</v>
      </c>
      <c r="I31" s="13">
        <f t="shared" si="0"/>
        <v>5.6970362239297474</v>
      </c>
    </row>
    <row r="32" spans="2:9">
      <c r="C32" s="33">
        <v>2.056</v>
      </c>
      <c r="D32" s="23">
        <v>159.19999999999999</v>
      </c>
      <c r="E32" s="23">
        <v>104</v>
      </c>
      <c r="F32" s="23">
        <v>18.45</v>
      </c>
      <c r="G32" s="23">
        <v>553.79999999999995</v>
      </c>
      <c r="H32" s="23">
        <v>5.4359999999999999</v>
      </c>
      <c r="I32" s="13">
        <f t="shared" si="0"/>
        <v>5.6368563685636861</v>
      </c>
    </row>
    <row r="33" spans="2:9">
      <c r="C33" s="33">
        <v>2.1259999999999999</v>
      </c>
      <c r="D33" s="23">
        <v>170.7</v>
      </c>
      <c r="E33" s="23">
        <v>103.7</v>
      </c>
      <c r="F33" s="23">
        <v>18.62</v>
      </c>
      <c r="G33" s="23">
        <v>557.9</v>
      </c>
      <c r="H33" s="23">
        <v>4.6459999999999999</v>
      </c>
      <c r="I33" s="13">
        <f t="shared" si="0"/>
        <v>5.569280343716434</v>
      </c>
    </row>
    <row r="34" spans="2:9">
      <c r="C34" s="33">
        <v>2.1909999999999998</v>
      </c>
      <c r="D34" s="23">
        <v>179.4</v>
      </c>
      <c r="E34" s="23">
        <v>103.5</v>
      </c>
      <c r="F34" s="23">
        <v>18.14</v>
      </c>
      <c r="G34" s="23">
        <v>553.5</v>
      </c>
      <c r="H34" s="23">
        <v>5.9790000000000001</v>
      </c>
      <c r="I34" s="13">
        <f t="shared" si="0"/>
        <v>5.7056229327453138</v>
      </c>
    </row>
    <row r="35" spans="2:9">
      <c r="C35" s="33">
        <v>2.1309999999999998</v>
      </c>
      <c r="D35" s="23">
        <v>159.19999999999999</v>
      </c>
      <c r="E35" s="23">
        <v>103.6</v>
      </c>
      <c r="F35" s="23">
        <v>18.059999999999999</v>
      </c>
      <c r="G35" s="23">
        <v>544.4</v>
      </c>
      <c r="H35" s="23">
        <v>4.6580000000000004</v>
      </c>
      <c r="I35" s="13">
        <f t="shared" si="0"/>
        <v>5.7364341085271322</v>
      </c>
    </row>
    <row r="36" spans="2:9">
      <c r="C36" s="33">
        <v>2.0259999999999998</v>
      </c>
      <c r="D36" s="23">
        <v>172.5</v>
      </c>
      <c r="E36" s="23">
        <v>104.2</v>
      </c>
      <c r="F36" s="23">
        <v>17.64</v>
      </c>
      <c r="G36" s="23">
        <v>542.79999999999995</v>
      </c>
      <c r="H36" s="23">
        <v>5.9850000000000003</v>
      </c>
      <c r="I36" s="13">
        <f t="shared" si="0"/>
        <v>5.9070294784580497</v>
      </c>
    </row>
    <row r="37" spans="2:9">
      <c r="C37" s="33">
        <v>1.99</v>
      </c>
      <c r="D37" s="23">
        <v>160.5</v>
      </c>
      <c r="E37" s="23">
        <v>103.2</v>
      </c>
      <c r="F37" s="23">
        <v>17.84</v>
      </c>
      <c r="G37" s="23">
        <v>545.29999999999995</v>
      </c>
      <c r="H37" s="23">
        <v>6.0869999999999997</v>
      </c>
      <c r="I37" s="13">
        <f t="shared" si="0"/>
        <v>5.7847533632286998</v>
      </c>
    </row>
    <row r="38" spans="2:9">
      <c r="C38" s="33">
        <v>2.1920000000000002</v>
      </c>
      <c r="D38" s="23">
        <v>150.5</v>
      </c>
      <c r="E38" s="23">
        <v>103.6</v>
      </c>
      <c r="F38" s="23">
        <v>18.32</v>
      </c>
      <c r="G38" s="23">
        <v>547.20000000000005</v>
      </c>
      <c r="H38" s="23">
        <v>3.8119999999999998</v>
      </c>
      <c r="I38" s="13">
        <f t="shared" si="0"/>
        <v>5.6550218340611353</v>
      </c>
    </row>
    <row r="39" spans="2:9">
      <c r="C39" s="33">
        <v>2.036</v>
      </c>
      <c r="D39" s="23">
        <v>170.8</v>
      </c>
      <c r="E39" s="23">
        <v>103.2</v>
      </c>
      <c r="F39" s="23">
        <v>18.239999999999998</v>
      </c>
      <c r="G39" s="23">
        <v>547.4</v>
      </c>
      <c r="H39" s="23">
        <v>3.9159999999999999</v>
      </c>
      <c r="I39" s="13">
        <f t="shared" si="0"/>
        <v>5.6578947368421062</v>
      </c>
    </row>
    <row r="40" spans="2:9">
      <c r="C40" s="33">
        <v>2.0049999999999999</v>
      </c>
      <c r="D40" s="23">
        <v>179.4</v>
      </c>
      <c r="E40" s="23">
        <v>103.3</v>
      </c>
      <c r="F40" s="23">
        <v>18.07</v>
      </c>
      <c r="G40" s="23">
        <v>546.70000000000005</v>
      </c>
      <c r="H40" s="23">
        <v>2.879</v>
      </c>
      <c r="I40" s="13">
        <f t="shared" si="0"/>
        <v>5.7166574432761479</v>
      </c>
    </row>
    <row r="41" spans="2:9">
      <c r="C41" s="33">
        <v>2.04</v>
      </c>
      <c r="D41" s="23">
        <v>207.2</v>
      </c>
      <c r="E41" s="23">
        <v>103.5</v>
      </c>
      <c r="F41" s="23">
        <v>18.510000000000002</v>
      </c>
      <c r="G41" s="23">
        <v>544.29999999999995</v>
      </c>
      <c r="H41" s="23">
        <v>3.8809999999999998</v>
      </c>
      <c r="I41" s="13">
        <f t="shared" si="0"/>
        <v>5.5915721231766611</v>
      </c>
    </row>
    <row r="42" spans="2:9">
      <c r="B42" s="35">
        <v>3</v>
      </c>
      <c r="C42" s="36">
        <v>1.1879999999999999</v>
      </c>
      <c r="D42" s="38">
        <v>151.1</v>
      </c>
      <c r="E42" s="38">
        <v>88.78</v>
      </c>
      <c r="F42" s="38">
        <v>34.92</v>
      </c>
      <c r="G42" s="38">
        <v>537.5</v>
      </c>
      <c r="H42" s="38">
        <v>6.1050000000000004</v>
      </c>
      <c r="I42" s="13">
        <f t="shared" si="0"/>
        <v>2.5423825887743412</v>
      </c>
    </row>
    <row r="43" spans="2:9">
      <c r="C43" s="33">
        <v>1.234</v>
      </c>
      <c r="D43" s="23">
        <v>126.6</v>
      </c>
      <c r="E43" s="23">
        <v>88.14</v>
      </c>
      <c r="F43" s="23">
        <v>35.28</v>
      </c>
      <c r="G43" s="23">
        <v>542.5</v>
      </c>
      <c r="H43" s="23">
        <v>5.6680000000000001</v>
      </c>
      <c r="I43" s="13">
        <f t="shared" si="0"/>
        <v>2.4982993197278911</v>
      </c>
    </row>
    <row r="44" spans="2:9">
      <c r="C44" s="33">
        <v>1.2569999999999999</v>
      </c>
      <c r="D44" s="23">
        <v>152.80000000000001</v>
      </c>
      <c r="E44" s="23">
        <v>87.96</v>
      </c>
      <c r="F44" s="23">
        <v>34.880000000000003</v>
      </c>
      <c r="G44" s="23">
        <v>544.5</v>
      </c>
      <c r="H44" s="23">
        <v>5.0220000000000002</v>
      </c>
      <c r="I44" s="13">
        <f t="shared" si="0"/>
        <v>2.5217889908256876</v>
      </c>
    </row>
    <row r="45" spans="2:9">
      <c r="C45" s="33">
        <v>1.232</v>
      </c>
      <c r="D45" s="23">
        <v>161.30000000000001</v>
      </c>
      <c r="E45" s="23">
        <v>87.56</v>
      </c>
      <c r="F45" s="23">
        <v>34.92</v>
      </c>
      <c r="G45" s="23">
        <v>552.6</v>
      </c>
      <c r="H45" s="23">
        <v>4.6710000000000003</v>
      </c>
      <c r="I45" s="13">
        <f t="shared" si="0"/>
        <v>2.5074455899198167</v>
      </c>
    </row>
    <row r="46" spans="2:9">
      <c r="C46" s="33">
        <v>1.25</v>
      </c>
      <c r="D46" s="23">
        <v>147.69999999999999</v>
      </c>
      <c r="E46" s="23">
        <v>87.17</v>
      </c>
      <c r="F46" s="23">
        <v>34.86</v>
      </c>
      <c r="G46" s="23">
        <v>555.79999999999995</v>
      </c>
      <c r="H46" s="23">
        <v>5.0789999999999997</v>
      </c>
      <c r="I46" s="13">
        <f t="shared" si="0"/>
        <v>2.5005737234652896</v>
      </c>
    </row>
    <row r="47" spans="2:9">
      <c r="C47" s="33">
        <v>1.234</v>
      </c>
      <c r="D47" s="23">
        <v>123.7</v>
      </c>
      <c r="E47" s="23">
        <v>87.68</v>
      </c>
      <c r="F47" s="23">
        <v>35.4</v>
      </c>
      <c r="G47" s="23">
        <v>553.79999999999995</v>
      </c>
      <c r="H47" s="23">
        <v>5.7149999999999999</v>
      </c>
      <c r="I47" s="13">
        <f t="shared" si="0"/>
        <v>2.4768361581920906</v>
      </c>
    </row>
    <row r="48" spans="2:9">
      <c r="C48" s="33">
        <v>1.214</v>
      </c>
      <c r="D48" s="23">
        <v>132.6</v>
      </c>
      <c r="E48" s="23">
        <v>88.63</v>
      </c>
      <c r="F48" s="23">
        <v>35.130000000000003</v>
      </c>
      <c r="G48" s="23">
        <v>553.1</v>
      </c>
      <c r="H48" s="23">
        <v>5.4219999999999997</v>
      </c>
      <c r="I48" s="13">
        <f t="shared" si="0"/>
        <v>2.5229148875604892</v>
      </c>
    </row>
    <row r="49" spans="2:9">
      <c r="C49" s="33">
        <v>1.248</v>
      </c>
      <c r="D49" s="23">
        <v>160.69999999999999</v>
      </c>
      <c r="E49" s="23">
        <v>88.11</v>
      </c>
      <c r="F49" s="23">
        <v>34.72</v>
      </c>
      <c r="G49" s="23">
        <v>545.4</v>
      </c>
      <c r="H49" s="23">
        <v>5.1840000000000002</v>
      </c>
      <c r="I49" s="13">
        <f t="shared" si="0"/>
        <v>2.537730414746544</v>
      </c>
    </row>
    <row r="50" spans="2:9">
      <c r="C50" s="33">
        <v>1.157</v>
      </c>
      <c r="D50" s="23">
        <v>151.1</v>
      </c>
      <c r="E50" s="23">
        <v>88.5</v>
      </c>
      <c r="F50" s="23">
        <v>35.020000000000003</v>
      </c>
      <c r="G50" s="23">
        <v>540.70000000000005</v>
      </c>
      <c r="H50" s="23">
        <v>4.968</v>
      </c>
      <c r="I50" s="13">
        <f t="shared" si="0"/>
        <v>2.5271273557966873</v>
      </c>
    </row>
    <row r="51" spans="2:9">
      <c r="C51" s="33">
        <v>1.1160000000000001</v>
      </c>
      <c r="D51" s="23">
        <v>140.19999999999999</v>
      </c>
      <c r="E51" s="23">
        <v>88.76</v>
      </c>
      <c r="F51" s="23">
        <v>35.369999999999997</v>
      </c>
      <c r="G51" s="23">
        <v>543.70000000000005</v>
      </c>
      <c r="H51" s="23">
        <v>4.1959999999999997</v>
      </c>
      <c r="I51" s="13">
        <f t="shared" si="0"/>
        <v>2.5094713033644336</v>
      </c>
    </row>
    <row r="52" spans="2:9">
      <c r="C52" s="33">
        <v>1.214</v>
      </c>
      <c r="D52" s="23">
        <v>151.1</v>
      </c>
      <c r="E52" s="23">
        <v>88.62</v>
      </c>
      <c r="F52" s="23">
        <v>34.93</v>
      </c>
      <c r="G52" s="23">
        <v>542.5</v>
      </c>
      <c r="H52" s="23">
        <v>4.4240000000000004</v>
      </c>
      <c r="I52" s="13">
        <f t="shared" si="0"/>
        <v>2.5370741482965933</v>
      </c>
    </row>
    <row r="53" spans="2:9">
      <c r="C53" s="33">
        <v>1.2450000000000001</v>
      </c>
      <c r="D53" s="23">
        <v>134.9</v>
      </c>
      <c r="E53" s="23">
        <v>88.22</v>
      </c>
      <c r="F53" s="23">
        <v>35.14</v>
      </c>
      <c r="G53" s="23">
        <v>536.29999999999995</v>
      </c>
      <c r="H53" s="23">
        <v>4.3689999999999998</v>
      </c>
      <c r="I53" s="13">
        <f t="shared" si="0"/>
        <v>2.510529311326124</v>
      </c>
    </row>
    <row r="54" spans="2:9">
      <c r="C54" s="33">
        <v>1.1850000000000001</v>
      </c>
      <c r="D54" s="23">
        <v>132.6</v>
      </c>
      <c r="E54" s="23">
        <v>88.77</v>
      </c>
      <c r="F54" s="23">
        <v>34.86</v>
      </c>
      <c r="G54" s="23">
        <v>532.9</v>
      </c>
      <c r="H54" s="23">
        <v>5.4480000000000004</v>
      </c>
      <c r="I54" s="13">
        <f t="shared" si="0"/>
        <v>2.5464716006884682</v>
      </c>
    </row>
    <row r="55" spans="2:9">
      <c r="C55" s="33">
        <v>1.2529999999999999</v>
      </c>
      <c r="D55" s="23">
        <v>172.3</v>
      </c>
      <c r="E55" s="23">
        <v>88.36</v>
      </c>
      <c r="F55" s="23">
        <v>35.270000000000003</v>
      </c>
      <c r="G55" s="23">
        <v>547.29999999999995</v>
      </c>
      <c r="H55" s="23">
        <v>6.085</v>
      </c>
      <c r="I55" s="13">
        <f t="shared" si="0"/>
        <v>2.5052452509214627</v>
      </c>
    </row>
    <row r="56" spans="2:9">
      <c r="C56" s="33">
        <v>1.286</v>
      </c>
      <c r="D56" s="23">
        <v>113.2</v>
      </c>
      <c r="E56" s="23">
        <v>88.62</v>
      </c>
      <c r="F56" s="23">
        <v>35.119999999999997</v>
      </c>
      <c r="G56" s="23">
        <v>552.6</v>
      </c>
      <c r="H56" s="23">
        <v>5.7850000000000001</v>
      </c>
      <c r="I56" s="13">
        <f t="shared" si="0"/>
        <v>2.523348519362187</v>
      </c>
    </row>
    <row r="57" spans="2:9">
      <c r="C57" s="33">
        <v>1.2430000000000001</v>
      </c>
      <c r="D57" s="23">
        <v>177.1</v>
      </c>
      <c r="E57" s="23">
        <v>88.23</v>
      </c>
      <c r="F57" s="23">
        <v>35.369999999999997</v>
      </c>
      <c r="G57" s="23">
        <v>559.29999999999995</v>
      </c>
      <c r="H57" s="23">
        <v>5.49</v>
      </c>
      <c r="I57" s="13">
        <f t="shared" si="0"/>
        <v>2.4944868532654794</v>
      </c>
    </row>
    <row r="58" spans="2:9">
      <c r="C58" s="33">
        <v>1.264</v>
      </c>
      <c r="D58" s="23">
        <v>142.9</v>
      </c>
      <c r="E58" s="23">
        <v>87.79</v>
      </c>
      <c r="F58" s="23">
        <v>35.07</v>
      </c>
      <c r="G58" s="23">
        <v>551.1</v>
      </c>
      <c r="H58" s="23">
        <v>5.0629999999999997</v>
      </c>
      <c r="I58" s="13">
        <f t="shared" si="0"/>
        <v>2.5032791559737668</v>
      </c>
    </row>
    <row r="59" spans="2:9">
      <c r="C59" s="33">
        <v>1.256</v>
      </c>
      <c r="D59" s="23">
        <v>112.9</v>
      </c>
      <c r="E59" s="23">
        <v>88.38</v>
      </c>
      <c r="F59" s="23">
        <v>35.409999999999997</v>
      </c>
      <c r="G59" s="23">
        <v>548.5</v>
      </c>
      <c r="H59" s="23">
        <v>4.5</v>
      </c>
      <c r="I59" s="13">
        <f t="shared" si="0"/>
        <v>2.4959051115504094</v>
      </c>
    </row>
    <row r="60" spans="2:9">
      <c r="C60" s="33">
        <v>1.284</v>
      </c>
      <c r="D60" s="23">
        <v>143.5</v>
      </c>
      <c r="E60" s="23">
        <v>88.79</v>
      </c>
      <c r="F60" s="23">
        <v>33.619999999999997</v>
      </c>
      <c r="G60" s="23">
        <v>542.29999999999995</v>
      </c>
      <c r="H60" s="23">
        <v>5.3010000000000002</v>
      </c>
      <c r="I60" s="13">
        <f t="shared" si="0"/>
        <v>2.6409875074360505</v>
      </c>
    </row>
    <row r="61" spans="2:9">
      <c r="C61" s="33">
        <v>1.2749999999999999</v>
      </c>
      <c r="D61" s="23">
        <v>160.69999999999999</v>
      </c>
      <c r="E61" s="23">
        <v>88.8</v>
      </c>
      <c r="F61" s="23">
        <v>34.04</v>
      </c>
      <c r="G61" s="23">
        <v>545.4</v>
      </c>
      <c r="H61" s="23">
        <v>5.7850000000000001</v>
      </c>
      <c r="I61" s="13">
        <f t="shared" si="0"/>
        <v>2.6086956521739131</v>
      </c>
    </row>
    <row r="62" spans="2:9">
      <c r="B62" s="35">
        <v>4</v>
      </c>
      <c r="C62" s="36">
        <v>2.8180000000000001</v>
      </c>
      <c r="D62" s="38">
        <v>130.44</v>
      </c>
      <c r="E62" s="38">
        <v>94.46</v>
      </c>
      <c r="F62" s="38">
        <v>24.87</v>
      </c>
      <c r="G62" s="38">
        <v>521.9</v>
      </c>
      <c r="H62" s="38">
        <v>5.3239999999999998</v>
      </c>
      <c r="I62" s="13">
        <f t="shared" si="0"/>
        <v>3.7981503819863285</v>
      </c>
    </row>
    <row r="63" spans="2:9">
      <c r="C63" s="33">
        <v>2.82</v>
      </c>
      <c r="D63" s="23">
        <v>120.16</v>
      </c>
      <c r="E63" s="23">
        <v>94.21</v>
      </c>
      <c r="F63" s="23">
        <v>24.49</v>
      </c>
      <c r="G63" s="23">
        <v>520.1</v>
      </c>
      <c r="H63" s="23">
        <v>5.31</v>
      </c>
      <c r="I63" s="13">
        <f t="shared" si="0"/>
        <v>3.8468762760310331</v>
      </c>
    </row>
    <row r="64" spans="2:9">
      <c r="C64" s="33">
        <v>2.843</v>
      </c>
      <c r="D64" s="23">
        <v>130.03</v>
      </c>
      <c r="E64" s="23">
        <v>93.58</v>
      </c>
      <c r="F64" s="23">
        <v>24.56</v>
      </c>
      <c r="G64" s="23">
        <v>522.4</v>
      </c>
      <c r="H64" s="23">
        <v>5.42</v>
      </c>
      <c r="I64" s="13">
        <f t="shared" si="0"/>
        <v>3.8102605863192185</v>
      </c>
    </row>
    <row r="65" spans="3:9">
      <c r="C65" s="33">
        <v>2.8159999999999998</v>
      </c>
      <c r="D65" s="23">
        <v>145.22</v>
      </c>
      <c r="E65" s="23">
        <v>94.25</v>
      </c>
      <c r="F65" s="23">
        <v>24.47</v>
      </c>
      <c r="G65" s="23">
        <v>522</v>
      </c>
      <c r="H65" s="23">
        <v>5.3620000000000001</v>
      </c>
      <c r="I65" s="13">
        <f t="shared" si="0"/>
        <v>3.8516550878626892</v>
      </c>
    </row>
    <row r="66" spans="3:9">
      <c r="C66" s="33">
        <v>2.835</v>
      </c>
      <c r="D66" s="23">
        <v>130.29</v>
      </c>
      <c r="E66" s="23">
        <v>94.41</v>
      </c>
      <c r="F66" s="23">
        <v>24.85</v>
      </c>
      <c r="G66" s="23">
        <v>523.20000000000005</v>
      </c>
      <c r="H66" s="23">
        <v>5.2119999999999997</v>
      </c>
      <c r="I66" s="13">
        <f t="shared" si="0"/>
        <v>3.7991951710261564</v>
      </c>
    </row>
    <row r="67" spans="3:9">
      <c r="C67" s="33">
        <v>2.7570000000000001</v>
      </c>
      <c r="D67" s="23">
        <v>130.83000000000001</v>
      </c>
      <c r="E67" s="23">
        <v>94.83</v>
      </c>
      <c r="F67" s="23">
        <v>24.69</v>
      </c>
      <c r="G67" s="23">
        <v>524.5</v>
      </c>
      <c r="H67" s="23">
        <v>5.2640000000000002</v>
      </c>
      <c r="I67" s="13">
        <f t="shared" ref="I67:I130" si="1">E67/F67</f>
        <v>3.8408262454434992</v>
      </c>
    </row>
    <row r="68" spans="3:9">
      <c r="C68" s="33">
        <v>2.6760000000000002</v>
      </c>
      <c r="D68" s="23">
        <v>120.16</v>
      </c>
      <c r="E68" s="23">
        <v>95.07</v>
      </c>
      <c r="F68" s="23">
        <v>24.52</v>
      </c>
      <c r="G68" s="23">
        <v>526.20000000000005</v>
      </c>
      <c r="H68" s="23">
        <v>5.1929999999999996</v>
      </c>
      <c r="I68" s="13">
        <f t="shared" si="1"/>
        <v>3.877243066884176</v>
      </c>
    </row>
    <row r="69" spans="3:9">
      <c r="C69" s="33">
        <v>2.6520000000000001</v>
      </c>
      <c r="D69" s="23">
        <v>130.83000000000001</v>
      </c>
      <c r="E69" s="23">
        <v>94.89</v>
      </c>
      <c r="F69" s="23">
        <v>24.09</v>
      </c>
      <c r="G69" s="23">
        <v>532.1</v>
      </c>
      <c r="H69" s="23">
        <v>5.3769999999999998</v>
      </c>
      <c r="I69" s="13">
        <f t="shared" si="1"/>
        <v>3.9389788293897885</v>
      </c>
    </row>
    <row r="70" spans="3:9">
      <c r="C70" s="33">
        <v>2.66</v>
      </c>
      <c r="D70" s="23">
        <v>119.47</v>
      </c>
      <c r="E70" s="23">
        <v>94.54</v>
      </c>
      <c r="F70" s="23">
        <v>24.2</v>
      </c>
      <c r="G70" s="23">
        <v>534.1</v>
      </c>
      <c r="H70" s="23">
        <v>5.46</v>
      </c>
      <c r="I70" s="13">
        <f t="shared" si="1"/>
        <v>3.906611570247934</v>
      </c>
    </row>
    <row r="71" spans="3:9">
      <c r="C71" s="33">
        <v>2.5489999999999999</v>
      </c>
      <c r="D71" s="23">
        <v>131.18</v>
      </c>
      <c r="E71" s="23">
        <v>94.37</v>
      </c>
      <c r="F71" s="23">
        <v>24.3</v>
      </c>
      <c r="G71" s="23">
        <v>535.29999999999995</v>
      </c>
      <c r="H71" s="23">
        <v>5.42</v>
      </c>
      <c r="I71" s="13">
        <f t="shared" si="1"/>
        <v>3.8835390946502057</v>
      </c>
    </row>
    <row r="72" spans="3:9">
      <c r="C72" s="33">
        <v>2.4319999999999999</v>
      </c>
      <c r="D72" s="23">
        <v>130.13999999999999</v>
      </c>
      <c r="E72" s="23">
        <v>94.2</v>
      </c>
      <c r="F72" s="23">
        <v>24.89</v>
      </c>
      <c r="G72" s="23">
        <v>538.9</v>
      </c>
      <c r="H72" s="23">
        <v>5.4080000000000004</v>
      </c>
      <c r="I72" s="13">
        <f t="shared" si="1"/>
        <v>3.7846524708718361</v>
      </c>
    </row>
    <row r="73" spans="3:9">
      <c r="C73" s="33">
        <v>2.6749999999999998</v>
      </c>
      <c r="D73" s="23">
        <v>122.42</v>
      </c>
      <c r="E73" s="23">
        <v>94.02</v>
      </c>
      <c r="F73" s="23">
        <v>24.79</v>
      </c>
      <c r="G73" s="23">
        <v>520.1</v>
      </c>
      <c r="H73" s="23">
        <v>5.3369999999999997</v>
      </c>
      <c r="I73" s="13">
        <f t="shared" si="1"/>
        <v>3.7926583299717627</v>
      </c>
    </row>
    <row r="74" spans="3:9">
      <c r="C74" s="33">
        <v>2.7869999999999999</v>
      </c>
      <c r="D74" s="23">
        <v>120.99</v>
      </c>
      <c r="E74" s="23">
        <v>95.06</v>
      </c>
      <c r="F74" s="23">
        <v>24.68</v>
      </c>
      <c r="G74" s="23">
        <v>521.79999999999995</v>
      </c>
      <c r="H74" s="23">
        <v>5.2839999999999998</v>
      </c>
      <c r="I74" s="13">
        <f t="shared" si="1"/>
        <v>3.8517017828200975</v>
      </c>
    </row>
    <row r="75" spans="3:9">
      <c r="C75" s="33">
        <v>2.8340000000000001</v>
      </c>
      <c r="D75" s="23">
        <v>130.83000000000001</v>
      </c>
      <c r="E75" s="23">
        <v>94.89</v>
      </c>
      <c r="F75" s="23">
        <v>24.57</v>
      </c>
      <c r="G75" s="23">
        <v>520.29999999999995</v>
      </c>
      <c r="H75" s="23">
        <v>5.2469999999999999</v>
      </c>
      <c r="I75" s="13">
        <f t="shared" si="1"/>
        <v>3.8620268620268621</v>
      </c>
    </row>
    <row r="76" spans="3:9">
      <c r="C76" s="33">
        <v>2.82</v>
      </c>
      <c r="D76" s="23">
        <v>129.91</v>
      </c>
      <c r="E76" s="23">
        <v>94.71</v>
      </c>
      <c r="F76" s="23">
        <v>24.36</v>
      </c>
      <c r="G76" s="23">
        <v>520.4</v>
      </c>
      <c r="H76" s="23">
        <v>5.2069999999999999</v>
      </c>
      <c r="I76" s="13">
        <f t="shared" si="1"/>
        <v>3.8879310344827585</v>
      </c>
    </row>
    <row r="77" spans="3:9">
      <c r="C77" s="33">
        <v>2.8450000000000002</v>
      </c>
      <c r="D77" s="23">
        <v>120.09</v>
      </c>
      <c r="E77" s="23">
        <v>94.04</v>
      </c>
      <c r="F77" s="23">
        <v>24.63</v>
      </c>
      <c r="G77" s="23">
        <v>528.79999999999995</v>
      </c>
      <c r="H77" s="23">
        <v>5.1660000000000004</v>
      </c>
      <c r="I77" s="13">
        <f t="shared" si="1"/>
        <v>3.8181079983759645</v>
      </c>
    </row>
    <row r="78" spans="3:9">
      <c r="C78" s="33">
        <v>2.79</v>
      </c>
      <c r="D78" s="23">
        <v>120.16</v>
      </c>
      <c r="E78" s="23">
        <v>94.62</v>
      </c>
      <c r="F78" s="23">
        <v>24.14</v>
      </c>
      <c r="G78" s="23">
        <v>529.4</v>
      </c>
      <c r="H78" s="23">
        <v>5.1689999999999996</v>
      </c>
      <c r="I78" s="13">
        <f t="shared" si="1"/>
        <v>3.9196354598177301</v>
      </c>
    </row>
    <row r="79" spans="3:9">
      <c r="C79" s="33">
        <v>2.8180000000000001</v>
      </c>
      <c r="D79" s="23">
        <v>122.42</v>
      </c>
      <c r="E79" s="23">
        <v>94.72</v>
      </c>
      <c r="F79" s="23">
        <v>24.36</v>
      </c>
      <c r="G79" s="23">
        <v>524.79999999999995</v>
      </c>
      <c r="H79" s="23">
        <v>5.1989999999999998</v>
      </c>
      <c r="I79" s="13">
        <f t="shared" si="1"/>
        <v>3.8883415435139574</v>
      </c>
    </row>
    <row r="80" spans="3:9">
      <c r="C80" s="33">
        <v>2.714</v>
      </c>
      <c r="D80" s="23">
        <v>130.44</v>
      </c>
      <c r="E80" s="23">
        <v>95.33</v>
      </c>
      <c r="F80" s="23">
        <v>24.04</v>
      </c>
      <c r="G80" s="23">
        <v>526.4</v>
      </c>
      <c r="H80" s="23">
        <v>5.2910000000000004</v>
      </c>
      <c r="I80" s="13">
        <f t="shared" si="1"/>
        <v>3.9654742096505826</v>
      </c>
    </row>
    <row r="81" spans="2:9">
      <c r="C81" s="33">
        <v>2.6120000000000001</v>
      </c>
      <c r="D81" s="23">
        <v>120.16</v>
      </c>
      <c r="E81" s="23">
        <v>94.63</v>
      </c>
      <c r="F81" s="23">
        <v>24.53</v>
      </c>
      <c r="G81" s="23">
        <v>522.70000000000005</v>
      </c>
      <c r="H81" s="23">
        <v>5.3659999999999997</v>
      </c>
      <c r="I81" s="13">
        <f t="shared" si="1"/>
        <v>3.8577252344068484</v>
      </c>
    </row>
    <row r="82" spans="2:9">
      <c r="B82" s="35">
        <v>5</v>
      </c>
      <c r="C82" s="36">
        <v>2.4609999999999999</v>
      </c>
      <c r="D82" s="38">
        <v>101.3</v>
      </c>
      <c r="E82" s="38">
        <v>75.48</v>
      </c>
      <c r="F82" s="38">
        <v>24.59</v>
      </c>
      <c r="G82" s="38">
        <v>554.20000000000005</v>
      </c>
      <c r="H82" s="38">
        <v>4.4039999999999999</v>
      </c>
      <c r="I82" s="13">
        <f t="shared" si="1"/>
        <v>3.069540463603091</v>
      </c>
    </row>
    <row r="83" spans="2:9">
      <c r="C83" s="33">
        <v>2.4350000000000001</v>
      </c>
      <c r="D83" s="23">
        <v>97.4</v>
      </c>
      <c r="E83" s="23">
        <v>75.14</v>
      </c>
      <c r="F83" s="23">
        <v>25</v>
      </c>
      <c r="G83" s="23">
        <v>557.20000000000005</v>
      </c>
      <c r="H83" s="23">
        <v>4.0140000000000002</v>
      </c>
      <c r="I83" s="13">
        <f t="shared" si="1"/>
        <v>3.0055999999999998</v>
      </c>
    </row>
    <row r="84" spans="2:9">
      <c r="C84" s="33">
        <v>2.3980000000000001</v>
      </c>
      <c r="D84" s="23">
        <v>115.3</v>
      </c>
      <c r="E84" s="23">
        <v>75.75</v>
      </c>
      <c r="F84" s="23">
        <v>25.2</v>
      </c>
      <c r="G84" s="23">
        <v>557.5</v>
      </c>
      <c r="H84" s="23">
        <v>3.9609999999999999</v>
      </c>
      <c r="I84" s="13">
        <f t="shared" si="1"/>
        <v>3.0059523809523809</v>
      </c>
    </row>
    <row r="85" spans="2:9">
      <c r="C85" s="33">
        <v>2.4430000000000001</v>
      </c>
      <c r="D85" s="23">
        <v>114.3</v>
      </c>
      <c r="E85" s="23">
        <v>76.34</v>
      </c>
      <c r="F85" s="23">
        <v>24.68</v>
      </c>
      <c r="G85" s="23">
        <v>566</v>
      </c>
      <c r="H85" s="23">
        <v>4.0129999999999999</v>
      </c>
      <c r="I85" s="13">
        <f t="shared" si="1"/>
        <v>3.0931928687196111</v>
      </c>
    </row>
    <row r="86" spans="2:9">
      <c r="C86" s="33">
        <v>2.4369999999999998</v>
      </c>
      <c r="D86" s="23">
        <v>114.7</v>
      </c>
      <c r="E86" s="23">
        <v>76</v>
      </c>
      <c r="F86" s="23">
        <v>25.34</v>
      </c>
      <c r="G86" s="23">
        <v>556.79999999999995</v>
      </c>
      <c r="H86" s="23">
        <v>4.0640000000000001</v>
      </c>
      <c r="I86" s="13">
        <f t="shared" si="1"/>
        <v>2.9992107340173639</v>
      </c>
    </row>
    <row r="87" spans="2:9">
      <c r="C87" s="33">
        <v>2.4710000000000001</v>
      </c>
      <c r="D87" s="23">
        <v>117.1</v>
      </c>
      <c r="E87" s="23">
        <v>75.8</v>
      </c>
      <c r="F87" s="23">
        <v>24.5</v>
      </c>
      <c r="G87" s="23">
        <v>554.5</v>
      </c>
      <c r="H87" s="23">
        <v>4.1639999999999997</v>
      </c>
      <c r="I87" s="13">
        <f t="shared" si="1"/>
        <v>3.093877551020408</v>
      </c>
    </row>
    <row r="88" spans="2:9">
      <c r="C88" s="33">
        <v>2.46</v>
      </c>
      <c r="D88" s="23">
        <v>112.2</v>
      </c>
      <c r="E88" s="23">
        <v>75</v>
      </c>
      <c r="F88" s="23">
        <v>24.88</v>
      </c>
      <c r="G88" s="23">
        <v>546.29999999999995</v>
      </c>
      <c r="H88" s="23">
        <v>4.03</v>
      </c>
      <c r="I88" s="13">
        <f t="shared" si="1"/>
        <v>3.014469453376206</v>
      </c>
    </row>
    <row r="89" spans="2:9">
      <c r="C89" s="33">
        <v>2.4820000000000002</v>
      </c>
      <c r="D89" s="23">
        <v>99.7</v>
      </c>
      <c r="E89" s="23">
        <v>75.400000000000006</v>
      </c>
      <c r="F89" s="23">
        <v>24.72</v>
      </c>
      <c r="G89" s="23">
        <v>543.4</v>
      </c>
      <c r="H89" s="23">
        <v>4.0049999999999999</v>
      </c>
      <c r="I89" s="13">
        <f t="shared" si="1"/>
        <v>3.050161812297735</v>
      </c>
    </row>
    <row r="90" spans="2:9">
      <c r="C90" s="33">
        <v>2.4849999999999999</v>
      </c>
      <c r="D90" s="23">
        <v>113</v>
      </c>
      <c r="E90" s="23">
        <v>76.069999999999993</v>
      </c>
      <c r="F90" s="23">
        <v>24.89</v>
      </c>
      <c r="G90" s="23">
        <v>545.1</v>
      </c>
      <c r="H90" s="23">
        <v>4.0039999999999996</v>
      </c>
      <c r="I90" s="13">
        <f t="shared" si="1"/>
        <v>3.0562474889513855</v>
      </c>
    </row>
    <row r="91" spans="2:9">
      <c r="C91" s="33">
        <v>2.476</v>
      </c>
      <c r="D91" s="23">
        <v>117.5</v>
      </c>
      <c r="E91" s="23">
        <v>76.400000000000006</v>
      </c>
      <c r="F91" s="23">
        <v>25</v>
      </c>
      <c r="G91" s="23">
        <v>544.1</v>
      </c>
      <c r="H91" s="23">
        <v>4.0449999999999999</v>
      </c>
      <c r="I91" s="13">
        <f t="shared" si="1"/>
        <v>3.056</v>
      </c>
    </row>
    <row r="92" spans="2:9">
      <c r="C92" s="33">
        <v>2.4750000000000001</v>
      </c>
      <c r="D92" s="23">
        <v>105.6</v>
      </c>
      <c r="E92" s="23">
        <v>75.73</v>
      </c>
      <c r="F92" s="23">
        <v>25.22</v>
      </c>
      <c r="G92" s="23">
        <v>538.79999999999995</v>
      </c>
      <c r="H92" s="23">
        <v>4.0640000000000001</v>
      </c>
      <c r="I92" s="13">
        <f t="shared" si="1"/>
        <v>3.0027755749405238</v>
      </c>
    </row>
    <row r="93" spans="2:9">
      <c r="C93" s="33">
        <v>2.4820000000000002</v>
      </c>
      <c r="D93" s="23">
        <v>124.6</v>
      </c>
      <c r="E93" s="23">
        <v>75.53</v>
      </c>
      <c r="F93" s="23">
        <v>25.95</v>
      </c>
      <c r="G93" s="23">
        <v>537.79999999999995</v>
      </c>
      <c r="H93" s="23">
        <v>4.1900000000000004</v>
      </c>
      <c r="I93" s="13">
        <f t="shared" si="1"/>
        <v>2.9105973025048173</v>
      </c>
    </row>
    <row r="94" spans="2:9">
      <c r="C94" s="33">
        <v>2.4809999999999999</v>
      </c>
      <c r="D94" s="23">
        <v>93.5</v>
      </c>
      <c r="E94" s="23">
        <v>76.14</v>
      </c>
      <c r="F94" s="23">
        <v>25.78</v>
      </c>
      <c r="G94" s="23">
        <v>544.20000000000005</v>
      </c>
      <c r="H94" s="23">
        <v>4.0759999999999996</v>
      </c>
      <c r="I94" s="13">
        <f t="shared" si="1"/>
        <v>2.9534522885958108</v>
      </c>
    </row>
    <row r="95" spans="2:9">
      <c r="C95" s="33">
        <v>2.444</v>
      </c>
      <c r="D95" s="23">
        <v>108.6</v>
      </c>
      <c r="E95" s="23">
        <v>76.400000000000006</v>
      </c>
      <c r="F95" s="23">
        <v>25.42</v>
      </c>
      <c r="G95" s="23">
        <v>549.5</v>
      </c>
      <c r="H95" s="23">
        <v>3.9039999999999999</v>
      </c>
      <c r="I95" s="13">
        <f t="shared" si="1"/>
        <v>3.0055074744295829</v>
      </c>
    </row>
    <row r="96" spans="2:9">
      <c r="C96" s="33">
        <v>2.4460000000000002</v>
      </c>
      <c r="D96" s="23">
        <v>98.9</v>
      </c>
      <c r="E96" s="23">
        <v>75.48</v>
      </c>
      <c r="F96" s="23">
        <v>24.96</v>
      </c>
      <c r="G96" s="23">
        <v>560.29999999999995</v>
      </c>
      <c r="H96" s="23">
        <v>4.0449999999999999</v>
      </c>
      <c r="I96" s="13">
        <f t="shared" si="1"/>
        <v>3.0240384615384617</v>
      </c>
    </row>
    <row r="97" spans="2:9">
      <c r="C97" s="33">
        <v>2.3959999999999999</v>
      </c>
      <c r="D97" s="23">
        <v>101.8</v>
      </c>
      <c r="E97" s="23">
        <v>75.8</v>
      </c>
      <c r="F97" s="23">
        <v>25.45</v>
      </c>
      <c r="G97" s="23">
        <v>563.20000000000005</v>
      </c>
      <c r="H97" s="23">
        <v>3.9620000000000002</v>
      </c>
      <c r="I97" s="13">
        <f t="shared" si="1"/>
        <v>2.9783889980353635</v>
      </c>
    </row>
    <row r="98" spans="2:9">
      <c r="C98" s="33">
        <v>2.3410000000000002</v>
      </c>
      <c r="D98" s="23">
        <v>105.6</v>
      </c>
      <c r="E98" s="23">
        <v>75.75</v>
      </c>
      <c r="F98" s="23">
        <v>25.35</v>
      </c>
      <c r="G98" s="23">
        <v>555.29999999999995</v>
      </c>
      <c r="H98" s="23">
        <v>3.99</v>
      </c>
      <c r="I98" s="13">
        <f t="shared" si="1"/>
        <v>2.9881656804733727</v>
      </c>
    </row>
    <row r="99" spans="2:9">
      <c r="C99" s="33">
        <v>2.3530000000000002</v>
      </c>
      <c r="D99" s="23">
        <v>99.7</v>
      </c>
      <c r="E99" s="23">
        <v>74.89</v>
      </c>
      <c r="F99" s="23">
        <v>25.19</v>
      </c>
      <c r="G99" s="23">
        <v>555.1</v>
      </c>
      <c r="H99" s="23">
        <v>4.0039999999999996</v>
      </c>
      <c r="I99" s="13">
        <f t="shared" si="1"/>
        <v>2.9730051607780865</v>
      </c>
    </row>
    <row r="100" spans="2:9">
      <c r="C100" s="33">
        <v>2.395</v>
      </c>
      <c r="D100" s="23">
        <v>97.4</v>
      </c>
      <c r="E100" s="23">
        <v>75.73</v>
      </c>
      <c r="F100" s="23">
        <v>25</v>
      </c>
      <c r="G100" s="23">
        <v>559.70000000000005</v>
      </c>
      <c r="H100" s="23">
        <v>3.9609999999999999</v>
      </c>
      <c r="I100" s="13">
        <f t="shared" si="1"/>
        <v>3.0292000000000003</v>
      </c>
    </row>
    <row r="101" spans="2:9">
      <c r="C101" s="33">
        <v>2.4710000000000001</v>
      </c>
      <c r="D101" s="23">
        <v>97.4</v>
      </c>
      <c r="E101" s="23">
        <v>75.56</v>
      </c>
      <c r="F101" s="23">
        <v>24.96</v>
      </c>
      <c r="G101" s="23">
        <v>560.1</v>
      </c>
      <c r="H101" s="23">
        <v>4.0620000000000003</v>
      </c>
      <c r="I101" s="13">
        <f t="shared" si="1"/>
        <v>3.0272435897435899</v>
      </c>
    </row>
    <row r="102" spans="2:9">
      <c r="B102" s="35">
        <v>6</v>
      </c>
      <c r="C102" s="36">
        <v>2.3439999999999999</v>
      </c>
      <c r="D102" s="38">
        <v>121.1</v>
      </c>
      <c r="E102" s="38">
        <v>97.07</v>
      </c>
      <c r="F102" s="38">
        <v>34.549999999999997</v>
      </c>
      <c r="G102" s="38">
        <v>584.79999999999995</v>
      </c>
      <c r="H102" s="38">
        <v>5.2039999999999997</v>
      </c>
      <c r="I102" s="13">
        <f t="shared" si="1"/>
        <v>2.8095513748191028</v>
      </c>
    </row>
    <row r="103" spans="2:9">
      <c r="C103" s="33">
        <v>2.339</v>
      </c>
      <c r="D103" s="23">
        <v>154.30000000000001</v>
      </c>
      <c r="E103" s="23">
        <v>97.14</v>
      </c>
      <c r="F103" s="23">
        <v>34.799999999999997</v>
      </c>
      <c r="G103" s="23">
        <v>590.79999999999995</v>
      </c>
      <c r="H103" s="23">
        <v>5.47</v>
      </c>
      <c r="I103" s="13">
        <f t="shared" si="1"/>
        <v>2.7913793103448277</v>
      </c>
    </row>
    <row r="104" spans="2:9">
      <c r="C104" s="33">
        <v>2.3860000000000001</v>
      </c>
      <c r="D104" s="23">
        <v>133</v>
      </c>
      <c r="E104" s="23">
        <v>97.29</v>
      </c>
      <c r="F104" s="23">
        <v>34.64</v>
      </c>
      <c r="G104" s="23">
        <v>590.20000000000005</v>
      </c>
      <c r="H104" s="23">
        <v>5.9089999999999998</v>
      </c>
      <c r="I104" s="13">
        <f t="shared" si="1"/>
        <v>2.8086027713625867</v>
      </c>
    </row>
    <row r="105" spans="2:9">
      <c r="C105" s="33">
        <v>2.367</v>
      </c>
      <c r="D105" s="23">
        <v>134.4</v>
      </c>
      <c r="E105" s="23">
        <v>97.65</v>
      </c>
      <c r="F105" s="23">
        <v>34.020000000000003</v>
      </c>
      <c r="G105" s="23">
        <v>594.5</v>
      </c>
      <c r="H105" s="23">
        <v>5.3810000000000002</v>
      </c>
      <c r="I105" s="13">
        <f t="shared" si="1"/>
        <v>2.8703703703703702</v>
      </c>
    </row>
    <row r="106" spans="2:9">
      <c r="C106" s="33">
        <v>2.3439999999999999</v>
      </c>
      <c r="D106" s="23">
        <v>154.30000000000001</v>
      </c>
      <c r="E106" s="23">
        <v>97.3</v>
      </c>
      <c r="F106" s="23">
        <v>34.15</v>
      </c>
      <c r="G106" s="23">
        <v>583.6</v>
      </c>
      <c r="H106" s="23">
        <v>5.1079999999999997</v>
      </c>
      <c r="I106" s="13">
        <f t="shared" si="1"/>
        <v>2.8491947291361641</v>
      </c>
    </row>
    <row r="107" spans="2:9">
      <c r="C107" s="33">
        <v>2.355</v>
      </c>
      <c r="D107" s="23">
        <v>122.1</v>
      </c>
      <c r="E107" s="23">
        <v>97.42</v>
      </c>
      <c r="F107" s="23">
        <v>34.39</v>
      </c>
      <c r="G107" s="23">
        <v>596.6</v>
      </c>
      <c r="H107" s="23">
        <v>4.7240000000000002</v>
      </c>
      <c r="I107" s="13">
        <f t="shared" si="1"/>
        <v>2.8328002326257633</v>
      </c>
    </row>
    <row r="108" spans="2:9">
      <c r="C108" s="33">
        <v>2.3090000000000002</v>
      </c>
      <c r="D108" s="23">
        <v>130.1</v>
      </c>
      <c r="E108" s="23">
        <v>97.07</v>
      </c>
      <c r="F108" s="23">
        <v>34.700000000000003</v>
      </c>
      <c r="G108" s="23">
        <v>597.4</v>
      </c>
      <c r="H108" s="23">
        <v>5.0309999999999997</v>
      </c>
      <c r="I108" s="13">
        <f t="shared" si="1"/>
        <v>2.7974063400576363</v>
      </c>
    </row>
    <row r="109" spans="2:9">
      <c r="C109" s="33">
        <v>2.323</v>
      </c>
      <c r="D109" s="23">
        <v>130.1</v>
      </c>
      <c r="E109" s="23">
        <v>97.7</v>
      </c>
      <c r="F109" s="23">
        <v>34.54</v>
      </c>
      <c r="G109" s="23">
        <v>592.6</v>
      </c>
      <c r="H109" s="23">
        <v>4.8029999999999999</v>
      </c>
      <c r="I109" s="13">
        <f t="shared" si="1"/>
        <v>2.8286045165026059</v>
      </c>
    </row>
    <row r="110" spans="2:9">
      <c r="C110" s="33">
        <v>2.3370000000000002</v>
      </c>
      <c r="D110" s="23">
        <v>129.1</v>
      </c>
      <c r="E110" s="23">
        <v>97.21</v>
      </c>
      <c r="F110" s="23">
        <v>34.79</v>
      </c>
      <c r="G110" s="23">
        <v>581.20000000000005</v>
      </c>
      <c r="H110" s="23">
        <v>5.4139999999999997</v>
      </c>
      <c r="I110" s="13">
        <f t="shared" si="1"/>
        <v>2.7941937338315608</v>
      </c>
    </row>
    <row r="111" spans="2:9">
      <c r="C111" s="33">
        <v>2.3439999999999999</v>
      </c>
      <c r="D111" s="23">
        <v>167.9</v>
      </c>
      <c r="E111" s="23">
        <v>97.84</v>
      </c>
      <c r="F111" s="23">
        <v>34.950000000000003</v>
      </c>
      <c r="G111" s="23">
        <v>583.79999999999995</v>
      </c>
      <c r="H111" s="23">
        <v>5.8220000000000001</v>
      </c>
      <c r="I111" s="13">
        <f t="shared" si="1"/>
        <v>2.7994277539341916</v>
      </c>
    </row>
    <row r="112" spans="2:9">
      <c r="C112" s="33">
        <v>2.3639999999999999</v>
      </c>
      <c r="D112" s="23">
        <v>146.9</v>
      </c>
      <c r="E112" s="23">
        <v>97.71</v>
      </c>
      <c r="F112" s="23">
        <v>34.75</v>
      </c>
      <c r="G112" s="23">
        <v>583</v>
      </c>
      <c r="H112" s="23">
        <v>5.1550000000000002</v>
      </c>
      <c r="I112" s="13">
        <f t="shared" si="1"/>
        <v>2.811798561151079</v>
      </c>
    </row>
    <row r="113" spans="2:9">
      <c r="C113" s="33">
        <v>2.3860000000000001</v>
      </c>
      <c r="D113" s="23">
        <v>133.80000000000001</v>
      </c>
      <c r="E113" s="23">
        <v>97.58</v>
      </c>
      <c r="F113" s="23">
        <v>34.96</v>
      </c>
      <c r="G113" s="23">
        <v>580</v>
      </c>
      <c r="H113" s="23">
        <v>5.4429999999999996</v>
      </c>
      <c r="I113" s="13">
        <f t="shared" si="1"/>
        <v>2.7911899313501145</v>
      </c>
    </row>
    <row r="114" spans="2:9">
      <c r="C114" s="33">
        <v>2.3759999999999999</v>
      </c>
      <c r="D114" s="23">
        <v>147.9</v>
      </c>
      <c r="E114" s="23">
        <v>97.32</v>
      </c>
      <c r="F114" s="23">
        <v>34.770000000000003</v>
      </c>
      <c r="G114" s="23">
        <v>577.20000000000005</v>
      </c>
      <c r="H114" s="23">
        <v>5.3659999999999997</v>
      </c>
      <c r="I114" s="13">
        <f t="shared" si="1"/>
        <v>2.7989646246764446</v>
      </c>
    </row>
    <row r="115" spans="2:9">
      <c r="C115" s="33">
        <v>2.319</v>
      </c>
      <c r="D115" s="23">
        <v>139.1</v>
      </c>
      <c r="E115" s="23">
        <v>98</v>
      </c>
      <c r="F115" s="23">
        <v>34.950000000000003</v>
      </c>
      <c r="G115" s="23">
        <v>578.9</v>
      </c>
      <c r="H115" s="23">
        <v>5.2409999999999997</v>
      </c>
      <c r="I115" s="13">
        <f t="shared" si="1"/>
        <v>2.804005722460658</v>
      </c>
    </row>
    <row r="116" spans="2:9">
      <c r="C116" s="33">
        <v>2.37</v>
      </c>
      <c r="D116" s="23">
        <v>120.1</v>
      </c>
      <c r="E116" s="23">
        <v>97.63</v>
      </c>
      <c r="F116" s="23">
        <v>34.909999999999997</v>
      </c>
      <c r="G116" s="23">
        <v>590.79999999999995</v>
      </c>
      <c r="H116" s="23">
        <v>4.8849999999999998</v>
      </c>
      <c r="I116" s="13">
        <f t="shared" si="1"/>
        <v>2.7966198796906334</v>
      </c>
    </row>
    <row r="117" spans="2:9">
      <c r="C117" s="33">
        <v>2.367</v>
      </c>
      <c r="D117" s="23">
        <v>139.69999999999999</v>
      </c>
      <c r="E117" s="23">
        <v>97.53</v>
      </c>
      <c r="F117" s="23">
        <v>34.729999999999997</v>
      </c>
      <c r="G117" s="23">
        <v>589.4</v>
      </c>
      <c r="H117" s="23">
        <v>4.8029999999999999</v>
      </c>
      <c r="I117" s="13">
        <f t="shared" si="1"/>
        <v>2.8082349553699975</v>
      </c>
    </row>
    <row r="118" spans="2:9">
      <c r="C118" s="33">
        <v>2.339</v>
      </c>
      <c r="D118" s="23">
        <v>172.9</v>
      </c>
      <c r="E118" s="23">
        <v>97.29</v>
      </c>
      <c r="F118" s="23">
        <v>34.700000000000003</v>
      </c>
      <c r="G118" s="23">
        <v>598.4</v>
      </c>
      <c r="H118" s="23">
        <v>5.0309999999999997</v>
      </c>
      <c r="I118" s="13">
        <f t="shared" si="1"/>
        <v>2.8037463976945243</v>
      </c>
    </row>
    <row r="119" spans="2:9">
      <c r="C119" s="33">
        <v>2.323</v>
      </c>
      <c r="D119" s="23">
        <v>232.1</v>
      </c>
      <c r="E119" s="23">
        <v>97.18</v>
      </c>
      <c r="F119" s="23">
        <v>35.049999999999997</v>
      </c>
      <c r="G119" s="23">
        <v>591.4</v>
      </c>
      <c r="H119" s="23">
        <v>5.4429999999999996</v>
      </c>
      <c r="I119" s="13">
        <f t="shared" si="1"/>
        <v>2.7726105563480745</v>
      </c>
    </row>
    <row r="120" spans="2:9">
      <c r="C120" s="33">
        <v>2.339</v>
      </c>
      <c r="D120" s="23">
        <v>135.19999999999999</v>
      </c>
      <c r="E120" s="23">
        <v>97.09</v>
      </c>
      <c r="F120" s="23">
        <v>34.96</v>
      </c>
      <c r="G120" s="23">
        <v>602.5</v>
      </c>
      <c r="H120" s="23">
        <v>5.2409999999999997</v>
      </c>
      <c r="I120" s="13">
        <f t="shared" si="1"/>
        <v>2.7771739130434785</v>
      </c>
    </row>
    <row r="121" spans="2:9">
      <c r="C121" s="33">
        <v>2.3439999999999999</v>
      </c>
      <c r="D121" s="23">
        <v>167.1</v>
      </c>
      <c r="E121" s="23">
        <v>97.11</v>
      </c>
      <c r="F121" s="23">
        <v>34.69</v>
      </c>
      <c r="G121" s="23">
        <v>582.4</v>
      </c>
      <c r="H121" s="23">
        <v>5.5270000000000001</v>
      </c>
      <c r="I121" s="13">
        <f t="shared" si="1"/>
        <v>2.7993658114730473</v>
      </c>
    </row>
    <row r="122" spans="2:9">
      <c r="B122" s="35">
        <v>7</v>
      </c>
      <c r="C122" s="36">
        <v>2.7519999999999998</v>
      </c>
      <c r="D122" s="38">
        <v>160.4</v>
      </c>
      <c r="E122" s="38">
        <v>92.85</v>
      </c>
      <c r="F122" s="38">
        <v>31.31</v>
      </c>
      <c r="G122" s="38">
        <v>520.6</v>
      </c>
      <c r="H122" s="38">
        <v>4.8129999999999997</v>
      </c>
      <c r="I122" s="13">
        <f t="shared" si="1"/>
        <v>2.9655062280421589</v>
      </c>
    </row>
    <row r="123" spans="2:9">
      <c r="C123" s="33">
        <v>2.7370000000000001</v>
      </c>
      <c r="D123" s="23">
        <v>177.9</v>
      </c>
      <c r="E123" s="23">
        <v>91.78</v>
      </c>
      <c r="F123" s="23">
        <v>31.01</v>
      </c>
      <c r="G123" s="23">
        <v>516.1</v>
      </c>
      <c r="H123" s="23">
        <v>4.9740000000000002</v>
      </c>
      <c r="I123" s="13">
        <f t="shared" si="1"/>
        <v>2.9596904224443725</v>
      </c>
    </row>
    <row r="124" spans="2:9">
      <c r="C124" s="33">
        <v>2.706</v>
      </c>
      <c r="D124" s="23">
        <v>165.8</v>
      </c>
      <c r="E124" s="23">
        <v>92.11</v>
      </c>
      <c r="F124" s="23">
        <v>31.16</v>
      </c>
      <c r="G124" s="23">
        <v>517.9</v>
      </c>
      <c r="H124" s="23">
        <v>5.0919999999999996</v>
      </c>
      <c r="I124" s="13">
        <f t="shared" si="1"/>
        <v>2.9560333761232349</v>
      </c>
    </row>
    <row r="125" spans="2:9">
      <c r="C125" s="33">
        <v>2.7639999999999998</v>
      </c>
      <c r="D125" s="23">
        <v>175.9</v>
      </c>
      <c r="E125" s="23">
        <v>93.12</v>
      </c>
      <c r="F125" s="23">
        <v>31.6</v>
      </c>
      <c r="G125" s="23">
        <v>518.6</v>
      </c>
      <c r="H125" s="23">
        <v>4.859</v>
      </c>
      <c r="I125" s="13">
        <f t="shared" si="1"/>
        <v>2.9468354430379748</v>
      </c>
    </row>
    <row r="126" spans="2:9">
      <c r="C126" s="33">
        <v>2.706</v>
      </c>
      <c r="D126" s="23">
        <v>170.9</v>
      </c>
      <c r="E126" s="23">
        <v>92.88</v>
      </c>
      <c r="F126" s="23">
        <v>31.34</v>
      </c>
      <c r="G126" s="23">
        <v>520.29999999999995</v>
      </c>
      <c r="H126" s="23">
        <v>4.7930000000000001</v>
      </c>
      <c r="I126" s="13">
        <f t="shared" si="1"/>
        <v>2.963624760689215</v>
      </c>
    </row>
    <row r="127" spans="2:9">
      <c r="C127" s="33">
        <v>2.6179999999999999</v>
      </c>
      <c r="D127" s="23">
        <v>177.9</v>
      </c>
      <c r="E127" s="23">
        <v>92.57</v>
      </c>
      <c r="F127" s="23">
        <v>31.46</v>
      </c>
      <c r="G127" s="23">
        <v>522.29999999999995</v>
      </c>
      <c r="H127" s="23">
        <v>5.1109999999999998</v>
      </c>
      <c r="I127" s="13">
        <f t="shared" si="1"/>
        <v>2.9424666242848057</v>
      </c>
    </row>
    <row r="128" spans="2:9">
      <c r="C128" s="33">
        <v>2.64</v>
      </c>
      <c r="D128" s="23">
        <v>212.4</v>
      </c>
      <c r="E128" s="23">
        <v>93.2</v>
      </c>
      <c r="F128" s="23">
        <v>31.88</v>
      </c>
      <c r="G128" s="23">
        <v>523.9</v>
      </c>
      <c r="H128" s="23">
        <v>5.0590000000000002</v>
      </c>
      <c r="I128" s="13">
        <f t="shared" si="1"/>
        <v>2.9234629861982437</v>
      </c>
    </row>
    <row r="129" spans="2:9">
      <c r="C129" s="33">
        <v>2.72</v>
      </c>
      <c r="D129" s="23">
        <v>175.9</v>
      </c>
      <c r="E129" s="23">
        <v>93.07</v>
      </c>
      <c r="F129" s="23">
        <v>31.57</v>
      </c>
      <c r="G129" s="23">
        <v>526.29999999999995</v>
      </c>
      <c r="H129" s="23">
        <v>5.1139999999999999</v>
      </c>
      <c r="I129" s="13">
        <f t="shared" si="1"/>
        <v>2.9480519480519476</v>
      </c>
    </row>
    <row r="130" spans="2:9">
      <c r="C130" s="33">
        <v>2.7549999999999999</v>
      </c>
      <c r="D130" s="23">
        <v>165.8</v>
      </c>
      <c r="E130" s="23">
        <v>91.92</v>
      </c>
      <c r="F130" s="23">
        <v>31.34</v>
      </c>
      <c r="G130" s="23">
        <v>530.70000000000005</v>
      </c>
      <c r="H130" s="23">
        <v>5.7140000000000004</v>
      </c>
      <c r="I130" s="13">
        <f t="shared" si="1"/>
        <v>2.9329929802169752</v>
      </c>
    </row>
    <row r="131" spans="2:9">
      <c r="C131" s="33">
        <v>2.7519999999999998</v>
      </c>
      <c r="D131" s="23">
        <v>202.5</v>
      </c>
      <c r="E131" s="23">
        <v>92.38</v>
      </c>
      <c r="F131" s="23">
        <v>31.26</v>
      </c>
      <c r="G131" s="23">
        <v>527.79999999999995</v>
      </c>
      <c r="H131" s="23">
        <v>5.6429999999999998</v>
      </c>
      <c r="I131" s="13">
        <f t="shared" ref="I131:I194" si="2">E131/F131</f>
        <v>2.9552143314139472</v>
      </c>
    </row>
    <row r="132" spans="2:9">
      <c r="C132" s="33">
        <v>2.7410000000000001</v>
      </c>
      <c r="D132" s="23">
        <v>192.4</v>
      </c>
      <c r="E132" s="23">
        <v>93.15</v>
      </c>
      <c r="F132" s="23">
        <v>30.88</v>
      </c>
      <c r="G132" s="23">
        <v>525.1</v>
      </c>
      <c r="H132" s="23">
        <v>5.9409999999999998</v>
      </c>
      <c r="I132" s="13">
        <f t="shared" si="2"/>
        <v>3.0165155440414511</v>
      </c>
    </row>
    <row r="133" spans="2:9">
      <c r="C133" s="33">
        <v>2.72</v>
      </c>
      <c r="D133" s="23">
        <v>176.7</v>
      </c>
      <c r="E133" s="23">
        <v>92.87</v>
      </c>
      <c r="F133" s="23">
        <v>31.25</v>
      </c>
      <c r="G133" s="23">
        <v>523.70000000000005</v>
      </c>
      <c r="H133" s="23">
        <v>5.1050000000000004</v>
      </c>
      <c r="I133" s="13">
        <f t="shared" si="2"/>
        <v>2.9718400000000003</v>
      </c>
    </row>
    <row r="134" spans="2:9">
      <c r="C134" s="33">
        <v>2.7370000000000001</v>
      </c>
      <c r="D134" s="23">
        <v>202.2</v>
      </c>
      <c r="E134" s="23">
        <v>92.19</v>
      </c>
      <c r="F134" s="23">
        <v>31.19</v>
      </c>
      <c r="G134" s="23">
        <v>523.1</v>
      </c>
      <c r="H134" s="23">
        <v>5.319</v>
      </c>
      <c r="I134" s="13">
        <f t="shared" si="2"/>
        <v>2.9557550496954148</v>
      </c>
    </row>
    <row r="135" spans="2:9">
      <c r="C135" s="33">
        <v>2.766</v>
      </c>
      <c r="D135" s="23">
        <v>160.4</v>
      </c>
      <c r="E135" s="23">
        <v>92.85</v>
      </c>
      <c r="F135" s="23">
        <v>32.19</v>
      </c>
      <c r="G135" s="23">
        <v>519.6</v>
      </c>
      <c r="H135" s="23">
        <v>5.3150000000000004</v>
      </c>
      <c r="I135" s="13">
        <f t="shared" si="2"/>
        <v>2.8844361602982294</v>
      </c>
    </row>
    <row r="136" spans="2:9">
      <c r="C136" s="33">
        <v>2.6680000000000001</v>
      </c>
      <c r="D136" s="23">
        <v>168.8</v>
      </c>
      <c r="E136" s="23">
        <v>93.12</v>
      </c>
      <c r="F136" s="23">
        <v>31.57</v>
      </c>
      <c r="G136" s="23">
        <v>518.4</v>
      </c>
      <c r="H136" s="23">
        <v>5.383</v>
      </c>
      <c r="I136" s="13">
        <f t="shared" si="2"/>
        <v>2.9496357301235352</v>
      </c>
    </row>
    <row r="137" spans="2:9">
      <c r="C137" s="33">
        <v>2.649</v>
      </c>
      <c r="D137" s="23">
        <v>158.30000000000001</v>
      </c>
      <c r="E137" s="23">
        <v>92.81</v>
      </c>
      <c r="F137" s="23">
        <v>31.88</v>
      </c>
      <c r="G137" s="23">
        <v>515.70000000000005</v>
      </c>
      <c r="H137" s="23">
        <v>5.0709999999999997</v>
      </c>
      <c r="I137" s="13">
        <f t="shared" si="2"/>
        <v>2.9112296110414055</v>
      </c>
    </row>
    <row r="138" spans="2:9">
      <c r="C138" s="33">
        <v>2.6970000000000001</v>
      </c>
      <c r="D138" s="23">
        <v>165.8</v>
      </c>
      <c r="E138" s="23">
        <v>93.2</v>
      </c>
      <c r="F138" s="23">
        <v>31.65</v>
      </c>
      <c r="G138" s="23">
        <v>513.20000000000005</v>
      </c>
      <c r="H138" s="23">
        <v>4.819</v>
      </c>
      <c r="I138" s="13">
        <f t="shared" si="2"/>
        <v>2.9447077409162721</v>
      </c>
    </row>
    <row r="139" spans="2:9">
      <c r="C139" s="33">
        <v>2.76</v>
      </c>
      <c r="D139" s="23">
        <v>171.6</v>
      </c>
      <c r="E139" s="23">
        <v>92.2</v>
      </c>
      <c r="F139" s="23">
        <v>36.869999999999997</v>
      </c>
      <c r="G139" s="23">
        <v>510.6</v>
      </c>
      <c r="H139" s="23">
        <v>4.8609999999999998</v>
      </c>
      <c r="I139" s="13">
        <f t="shared" si="2"/>
        <v>2.5006780580417685</v>
      </c>
    </row>
    <row r="140" spans="2:9">
      <c r="C140" s="33">
        <v>2.718</v>
      </c>
      <c r="D140" s="23">
        <v>192.4</v>
      </c>
      <c r="E140" s="23">
        <v>92.4</v>
      </c>
      <c r="F140" s="23">
        <v>31.82</v>
      </c>
      <c r="G140" s="23">
        <v>513.20000000000005</v>
      </c>
      <c r="H140" s="23">
        <v>4.9589999999999996</v>
      </c>
      <c r="I140" s="13">
        <f t="shared" si="2"/>
        <v>2.9038340666247646</v>
      </c>
    </row>
    <row r="141" spans="2:9">
      <c r="C141" s="33">
        <v>2.677</v>
      </c>
      <c r="D141" s="23">
        <v>165.8</v>
      </c>
      <c r="E141" s="23">
        <v>93.07</v>
      </c>
      <c r="F141" s="23">
        <v>31.64</v>
      </c>
      <c r="G141" s="23">
        <v>520.29999999999995</v>
      </c>
      <c r="H141" s="23">
        <v>5.3150000000000004</v>
      </c>
      <c r="I141" s="13">
        <f t="shared" si="2"/>
        <v>2.9415297092288242</v>
      </c>
    </row>
    <row r="142" spans="2:9">
      <c r="B142" s="35">
        <v>8</v>
      </c>
      <c r="C142" s="36">
        <v>2.375</v>
      </c>
      <c r="D142" s="38">
        <v>122.12</v>
      </c>
      <c r="E142" s="38">
        <v>120.8</v>
      </c>
      <c r="F142" s="38">
        <v>20.72</v>
      </c>
      <c r="G142" s="38">
        <v>555.9</v>
      </c>
      <c r="H142" s="38">
        <v>3.4990000000000001</v>
      </c>
      <c r="I142" s="13">
        <f t="shared" si="2"/>
        <v>5.8301158301158305</v>
      </c>
    </row>
    <row r="143" spans="2:9">
      <c r="C143" s="33">
        <v>2.4140000000000001</v>
      </c>
      <c r="D143" s="23">
        <v>131.19</v>
      </c>
      <c r="E143" s="23">
        <v>120.5</v>
      </c>
      <c r="F143" s="23">
        <v>20.47</v>
      </c>
      <c r="G143" s="23">
        <v>559.5</v>
      </c>
      <c r="H143" s="23">
        <v>3.0979999999999999</v>
      </c>
      <c r="I143" s="13">
        <f t="shared" si="2"/>
        <v>5.8866634098680999</v>
      </c>
    </row>
    <row r="144" spans="2:9">
      <c r="C144" s="33">
        <v>2.4460000000000002</v>
      </c>
      <c r="D144" s="23">
        <v>131.65</v>
      </c>
      <c r="E144" s="23">
        <v>120.3</v>
      </c>
      <c r="F144" s="23">
        <v>20.46</v>
      </c>
      <c r="G144" s="23">
        <v>561.29999999999995</v>
      </c>
      <c r="H144" s="23">
        <v>3.1509999999999998</v>
      </c>
      <c r="I144" s="13">
        <f t="shared" si="2"/>
        <v>5.8797653958944274</v>
      </c>
    </row>
    <row r="145" spans="3:9">
      <c r="C145" s="33">
        <v>2.3820000000000001</v>
      </c>
      <c r="D145" s="23">
        <v>127.38</v>
      </c>
      <c r="E145" s="23">
        <v>120.4</v>
      </c>
      <c r="F145" s="23">
        <v>20.16</v>
      </c>
      <c r="G145" s="23">
        <v>560.1</v>
      </c>
      <c r="H145" s="23">
        <v>3.298</v>
      </c>
      <c r="I145" s="13">
        <f t="shared" si="2"/>
        <v>5.9722222222222223</v>
      </c>
    </row>
    <row r="146" spans="3:9">
      <c r="C146" s="33">
        <v>2.3719999999999999</v>
      </c>
      <c r="D146" s="23">
        <v>134.49</v>
      </c>
      <c r="E146" s="23">
        <v>120.8</v>
      </c>
      <c r="F146" s="23">
        <v>20.41</v>
      </c>
      <c r="G146" s="23">
        <v>560.70000000000005</v>
      </c>
      <c r="H146" s="23">
        <v>3.7029999999999998</v>
      </c>
      <c r="I146" s="13">
        <f t="shared" si="2"/>
        <v>5.9186673199412052</v>
      </c>
    </row>
    <row r="147" spans="3:9">
      <c r="C147" s="33">
        <v>2.3759999999999999</v>
      </c>
      <c r="D147" s="23">
        <v>115.09</v>
      </c>
      <c r="E147" s="23">
        <v>120.5</v>
      </c>
      <c r="F147" s="23">
        <v>20.57</v>
      </c>
      <c r="G147" s="23">
        <v>563.79999999999995</v>
      </c>
      <c r="H147" s="23">
        <v>4.0960000000000001</v>
      </c>
      <c r="I147" s="13">
        <f t="shared" si="2"/>
        <v>5.8580456976178903</v>
      </c>
    </row>
    <row r="148" spans="3:9">
      <c r="C148" s="33">
        <v>2.395</v>
      </c>
      <c r="D148" s="23">
        <v>118.89</v>
      </c>
      <c r="E148" s="23">
        <v>120.2</v>
      </c>
      <c r="F148" s="23">
        <v>20.83</v>
      </c>
      <c r="G148" s="23">
        <v>561.79999999999995</v>
      </c>
      <c r="H148" s="23">
        <v>4.4950000000000001</v>
      </c>
      <c r="I148" s="13">
        <f t="shared" si="2"/>
        <v>5.7705232837253968</v>
      </c>
    </row>
    <row r="149" spans="3:9">
      <c r="C149" s="33">
        <v>2.4710000000000001</v>
      </c>
      <c r="D149" s="23">
        <v>113.27</v>
      </c>
      <c r="E149" s="23">
        <v>120.9</v>
      </c>
      <c r="F149" s="23">
        <v>20.75</v>
      </c>
      <c r="G149" s="23">
        <v>563.4</v>
      </c>
      <c r="H149" s="23">
        <v>4.8689999999999998</v>
      </c>
      <c r="I149" s="13">
        <f t="shared" si="2"/>
        <v>5.8265060240963855</v>
      </c>
    </row>
    <row r="150" spans="3:9">
      <c r="C150" s="33">
        <v>2.4180000000000001</v>
      </c>
      <c r="D150" s="23">
        <v>139.58000000000001</v>
      </c>
      <c r="E150" s="23">
        <v>120.9</v>
      </c>
      <c r="F150" s="23">
        <v>20.53</v>
      </c>
      <c r="G150" s="23">
        <v>566.5</v>
      </c>
      <c r="H150" s="23">
        <v>4.82</v>
      </c>
      <c r="I150" s="13">
        <f t="shared" si="2"/>
        <v>5.8889430102289335</v>
      </c>
    </row>
    <row r="151" spans="3:9">
      <c r="C151" s="33">
        <v>2.399</v>
      </c>
      <c r="D151" s="23">
        <v>133.66999999999999</v>
      </c>
      <c r="E151" s="23">
        <v>121.2</v>
      </c>
      <c r="F151" s="23">
        <v>20.34</v>
      </c>
      <c r="G151" s="23">
        <v>571.70000000000005</v>
      </c>
      <c r="H151" s="23">
        <v>4.4710000000000001</v>
      </c>
      <c r="I151" s="13">
        <f t="shared" si="2"/>
        <v>5.9587020648967552</v>
      </c>
    </row>
    <row r="152" spans="3:9">
      <c r="C152" s="33">
        <v>2.3969999999999998</v>
      </c>
      <c r="D152" s="23">
        <v>117.86</v>
      </c>
      <c r="E152" s="23">
        <v>121.1</v>
      </c>
      <c r="F152" s="23">
        <v>20.89</v>
      </c>
      <c r="G152" s="23">
        <v>568.4</v>
      </c>
      <c r="H152" s="23">
        <v>3.9209999999999998</v>
      </c>
      <c r="I152" s="13">
        <f t="shared" si="2"/>
        <v>5.7970320727620868</v>
      </c>
    </row>
    <row r="153" spans="3:9">
      <c r="C153" s="33">
        <v>2.4020000000000001</v>
      </c>
      <c r="D153" s="23">
        <v>131.19</v>
      </c>
      <c r="E153" s="23">
        <v>121.4</v>
      </c>
      <c r="F153" s="23">
        <v>20.98</v>
      </c>
      <c r="G153" s="23">
        <v>567.29999999999995</v>
      </c>
      <c r="H153" s="23">
        <v>3.976</v>
      </c>
      <c r="I153" s="13">
        <f t="shared" si="2"/>
        <v>5.7864632983794095</v>
      </c>
    </row>
    <row r="154" spans="3:9">
      <c r="C154" s="33">
        <v>2.3820000000000001</v>
      </c>
      <c r="D154" s="23">
        <v>111.96</v>
      </c>
      <c r="E154" s="23">
        <v>121.3</v>
      </c>
      <c r="F154" s="23">
        <v>20.420000000000002</v>
      </c>
      <c r="G154" s="23">
        <v>569.29999999999995</v>
      </c>
      <c r="H154" s="23">
        <v>3.9209999999999998</v>
      </c>
      <c r="I154" s="13">
        <f t="shared" si="2"/>
        <v>5.9402546523016646</v>
      </c>
    </row>
    <row r="155" spans="3:9">
      <c r="C155" s="33">
        <v>2.38</v>
      </c>
      <c r="D155" s="23">
        <v>139.58000000000001</v>
      </c>
      <c r="E155" s="23">
        <v>120.4</v>
      </c>
      <c r="F155" s="23">
        <v>20.74</v>
      </c>
      <c r="G155" s="23">
        <v>559.9</v>
      </c>
      <c r="H155" s="23">
        <v>4.0039999999999996</v>
      </c>
      <c r="I155" s="13">
        <f t="shared" si="2"/>
        <v>5.8052073288331734</v>
      </c>
    </row>
    <row r="156" spans="3:9">
      <c r="C156" s="33">
        <v>2.3439999999999999</v>
      </c>
      <c r="D156" s="23">
        <v>116.04</v>
      </c>
      <c r="E156" s="23">
        <v>119.9</v>
      </c>
      <c r="F156" s="23">
        <v>21.07</v>
      </c>
      <c r="G156" s="23">
        <v>557.4</v>
      </c>
      <c r="H156" s="23">
        <v>3.7280000000000002</v>
      </c>
      <c r="I156" s="13">
        <f t="shared" si="2"/>
        <v>5.6905552918841957</v>
      </c>
    </row>
    <row r="157" spans="3:9">
      <c r="C157" s="33">
        <v>2.2829999999999999</v>
      </c>
      <c r="D157" s="23">
        <v>122.21</v>
      </c>
      <c r="E157" s="23">
        <v>120.4</v>
      </c>
      <c r="F157" s="23">
        <v>20.399999999999999</v>
      </c>
      <c r="G157" s="23">
        <v>556.20000000000005</v>
      </c>
      <c r="H157" s="23">
        <v>3.3919999999999999</v>
      </c>
      <c r="I157" s="13">
        <f t="shared" si="2"/>
        <v>5.9019607843137258</v>
      </c>
    </row>
    <row r="158" spans="3:9">
      <c r="C158" s="33">
        <v>2.34</v>
      </c>
      <c r="D158" s="23">
        <v>118.99</v>
      </c>
      <c r="E158" s="23">
        <v>120.5</v>
      </c>
      <c r="F158" s="23">
        <v>20.67</v>
      </c>
      <c r="G158" s="23">
        <v>556.70000000000005</v>
      </c>
      <c r="H158" s="23">
        <v>3.4990000000000001</v>
      </c>
      <c r="I158" s="13">
        <f t="shared" si="2"/>
        <v>5.8297048863086598</v>
      </c>
    </row>
    <row r="159" spans="3:9">
      <c r="C159" s="33">
        <v>2.286</v>
      </c>
      <c r="D159" s="23">
        <v>112.08</v>
      </c>
      <c r="E159" s="23">
        <v>120.7</v>
      </c>
      <c r="F159" s="23">
        <v>20.440000000000001</v>
      </c>
      <c r="G159" s="23">
        <v>561.79999999999995</v>
      </c>
      <c r="H159" s="23">
        <v>4.0960000000000001</v>
      </c>
      <c r="I159" s="13">
        <f t="shared" si="2"/>
        <v>5.9050880626223092</v>
      </c>
    </row>
    <row r="160" spans="3:9">
      <c r="C160" s="33">
        <v>2.2330000000000001</v>
      </c>
      <c r="D160" s="23">
        <v>116.04</v>
      </c>
      <c r="E160" s="23">
        <v>120.9</v>
      </c>
      <c r="F160" s="23">
        <v>20.64</v>
      </c>
      <c r="G160" s="23">
        <v>560.79999999999995</v>
      </c>
      <c r="H160" s="23">
        <v>3.8330000000000002</v>
      </c>
      <c r="I160" s="13">
        <f t="shared" si="2"/>
        <v>5.8575581395348841</v>
      </c>
    </row>
    <row r="161" spans="2:9">
      <c r="C161" s="33">
        <v>2.3130000000000002</v>
      </c>
      <c r="D161" s="23">
        <v>125.71</v>
      </c>
      <c r="E161" s="23">
        <v>121</v>
      </c>
      <c r="F161" s="23">
        <v>20.37</v>
      </c>
      <c r="G161" s="23">
        <v>557.20000000000005</v>
      </c>
      <c r="H161" s="23">
        <v>4.069</v>
      </c>
      <c r="I161" s="13">
        <f t="shared" si="2"/>
        <v>5.9401080019636714</v>
      </c>
    </row>
    <row r="162" spans="2:9">
      <c r="B162" s="35">
        <v>9</v>
      </c>
      <c r="C162" s="36">
        <v>2.097</v>
      </c>
      <c r="D162" s="38">
        <v>167.5</v>
      </c>
      <c r="E162" s="38">
        <v>78.97</v>
      </c>
      <c r="F162" s="38">
        <v>29.04</v>
      </c>
      <c r="G162" s="38">
        <v>580</v>
      </c>
      <c r="H162" s="38">
        <v>4.7709999999999999</v>
      </c>
      <c r="I162" s="13">
        <f t="shared" si="2"/>
        <v>2.7193526170798901</v>
      </c>
    </row>
    <row r="163" spans="2:9">
      <c r="C163" s="33">
        <v>2.0710000000000002</v>
      </c>
      <c r="D163" s="23">
        <v>133.5</v>
      </c>
      <c r="E163" s="23">
        <v>78.77</v>
      </c>
      <c r="F163" s="23">
        <v>29.66</v>
      </c>
      <c r="G163" s="23">
        <v>579.1</v>
      </c>
      <c r="H163" s="23">
        <v>4.8780000000000001</v>
      </c>
      <c r="I163" s="13">
        <f t="shared" si="2"/>
        <v>2.6557653405259609</v>
      </c>
    </row>
    <row r="164" spans="2:9">
      <c r="C164" s="33">
        <v>2.036</v>
      </c>
      <c r="D164" s="23">
        <v>126</v>
      </c>
      <c r="E164" s="23">
        <v>78.78</v>
      </c>
      <c r="F164" s="23">
        <v>30.39</v>
      </c>
      <c r="G164" s="23">
        <v>585.1</v>
      </c>
      <c r="H164" s="23">
        <v>5.1120000000000001</v>
      </c>
      <c r="I164" s="13">
        <f t="shared" si="2"/>
        <v>2.5923000987166831</v>
      </c>
    </row>
    <row r="165" spans="2:9">
      <c r="C165" s="33">
        <v>2.04</v>
      </c>
      <c r="D165" s="23">
        <v>145.1</v>
      </c>
      <c r="E165" s="23">
        <v>78.59</v>
      </c>
      <c r="F165" s="23">
        <v>29.8</v>
      </c>
      <c r="G165" s="23">
        <v>590.20000000000005</v>
      </c>
      <c r="H165" s="23">
        <v>4.923</v>
      </c>
      <c r="I165" s="13">
        <f t="shared" si="2"/>
        <v>2.6372483221476513</v>
      </c>
    </row>
    <row r="166" spans="2:9">
      <c r="C166" s="33">
        <v>2.0150000000000001</v>
      </c>
      <c r="D166" s="23">
        <v>138.19999999999999</v>
      </c>
      <c r="E166" s="23">
        <v>78.61</v>
      </c>
      <c r="F166" s="23">
        <v>29.45</v>
      </c>
      <c r="G166" s="23">
        <v>593.4</v>
      </c>
      <c r="H166" s="23">
        <v>4.9420000000000002</v>
      </c>
      <c r="I166" s="13">
        <f t="shared" si="2"/>
        <v>2.669269949066214</v>
      </c>
    </row>
    <row r="167" spans="2:9">
      <c r="C167" s="33">
        <v>2.048</v>
      </c>
      <c r="D167" s="23">
        <v>108</v>
      </c>
      <c r="E167" s="23">
        <v>78.78</v>
      </c>
      <c r="F167" s="23">
        <v>30.58</v>
      </c>
      <c r="G167" s="23">
        <v>600.9</v>
      </c>
      <c r="H167" s="23">
        <v>5.2380000000000004</v>
      </c>
      <c r="I167" s="13">
        <f t="shared" si="2"/>
        <v>2.5761935905820801</v>
      </c>
    </row>
    <row r="168" spans="2:9">
      <c r="C168" s="33">
        <v>2.0699999999999998</v>
      </c>
      <c r="D168" s="23">
        <v>105.6</v>
      </c>
      <c r="E168" s="23">
        <v>78.989999999999995</v>
      </c>
      <c r="F168" s="23">
        <v>30.41</v>
      </c>
      <c r="G168" s="23">
        <v>603.70000000000005</v>
      </c>
      <c r="H168" s="23">
        <v>5.0229999999999997</v>
      </c>
      <c r="I168" s="13">
        <f t="shared" si="2"/>
        <v>2.5975008220979938</v>
      </c>
    </row>
    <row r="169" spans="2:9">
      <c r="C169" s="33">
        <v>2.0859999999999999</v>
      </c>
      <c r="D169" s="23">
        <v>143.9</v>
      </c>
      <c r="E169" s="23">
        <v>78.89</v>
      </c>
      <c r="F169" s="23">
        <v>30.01</v>
      </c>
      <c r="G169" s="23">
        <v>603.6</v>
      </c>
      <c r="H169" s="23">
        <v>4.9800000000000004</v>
      </c>
      <c r="I169" s="13">
        <f t="shared" si="2"/>
        <v>2.6287904031989338</v>
      </c>
    </row>
    <row r="170" spans="2:9">
      <c r="C170" s="33">
        <v>2.1040000000000001</v>
      </c>
      <c r="D170" s="23">
        <v>122.7</v>
      </c>
      <c r="E170" s="23">
        <v>78.819999999999993</v>
      </c>
      <c r="F170" s="23">
        <v>30.2</v>
      </c>
      <c r="G170" s="23">
        <v>606.5</v>
      </c>
      <c r="H170" s="23">
        <v>4.9509999999999996</v>
      </c>
      <c r="I170" s="13">
        <f t="shared" si="2"/>
        <v>2.6099337748344369</v>
      </c>
    </row>
    <row r="171" spans="2:9">
      <c r="C171" s="33">
        <v>2.1</v>
      </c>
      <c r="D171" s="23">
        <v>133.5</v>
      </c>
      <c r="E171" s="23">
        <v>79.2</v>
      </c>
      <c r="F171" s="23">
        <v>30.77</v>
      </c>
      <c r="G171" s="23">
        <v>601.70000000000005</v>
      </c>
      <c r="H171" s="23">
        <v>5.5170000000000003</v>
      </c>
      <c r="I171" s="13">
        <f t="shared" si="2"/>
        <v>2.5739356516087097</v>
      </c>
    </row>
    <row r="172" spans="2:9">
      <c r="C172" s="33">
        <v>2.0910000000000002</v>
      </c>
      <c r="D172" s="23">
        <v>133.69999999999999</v>
      </c>
      <c r="E172" s="23">
        <v>79.19</v>
      </c>
      <c r="F172" s="23">
        <v>30.39</v>
      </c>
      <c r="G172" s="23">
        <v>596.20000000000005</v>
      </c>
      <c r="H172" s="23">
        <v>5.5460000000000003</v>
      </c>
      <c r="I172" s="13">
        <f t="shared" si="2"/>
        <v>2.6057913787430076</v>
      </c>
    </row>
    <row r="173" spans="2:9">
      <c r="C173" s="33">
        <v>2.077</v>
      </c>
      <c r="D173" s="23">
        <v>98.56</v>
      </c>
      <c r="E173" s="23">
        <v>80.13</v>
      </c>
      <c r="F173" s="23">
        <v>30.96</v>
      </c>
      <c r="G173" s="23">
        <v>589.6</v>
      </c>
      <c r="H173" s="23">
        <v>5.569</v>
      </c>
      <c r="I173" s="13">
        <f t="shared" si="2"/>
        <v>2.5881782945736433</v>
      </c>
    </row>
    <row r="174" spans="2:9">
      <c r="C174" s="33">
        <v>2.0819999999999999</v>
      </c>
      <c r="D174" s="23">
        <v>133.19999999999999</v>
      </c>
      <c r="E174" s="23">
        <v>79.95</v>
      </c>
      <c r="F174" s="23">
        <v>30.98</v>
      </c>
      <c r="G174" s="23">
        <v>577.1</v>
      </c>
      <c r="H174" s="23">
        <v>5.51</v>
      </c>
      <c r="I174" s="13">
        <f t="shared" si="2"/>
        <v>2.580697224015494</v>
      </c>
    </row>
    <row r="175" spans="2:9">
      <c r="C175" s="33">
        <v>2.0960000000000001</v>
      </c>
      <c r="D175" s="23">
        <v>108.3</v>
      </c>
      <c r="E175" s="23">
        <v>79.959999999999994</v>
      </c>
      <c r="F175" s="23">
        <v>30.6</v>
      </c>
      <c r="G175" s="23">
        <v>575.6</v>
      </c>
      <c r="H175" s="23">
        <v>5.2050000000000001</v>
      </c>
      <c r="I175" s="13">
        <f t="shared" si="2"/>
        <v>2.6130718954248362</v>
      </c>
    </row>
    <row r="176" spans="2:9">
      <c r="C176" s="33">
        <v>2.093</v>
      </c>
      <c r="D176" s="23">
        <v>139.80000000000001</v>
      </c>
      <c r="E176" s="23">
        <v>79.19</v>
      </c>
      <c r="F176" s="23">
        <v>30.59</v>
      </c>
      <c r="G176" s="23">
        <v>572</v>
      </c>
      <c r="H176" s="23">
        <v>4.923</v>
      </c>
      <c r="I176" s="13">
        <f t="shared" si="2"/>
        <v>2.5887544949329846</v>
      </c>
    </row>
    <row r="177" spans="2:9">
      <c r="C177" s="33">
        <v>2.0859999999999999</v>
      </c>
      <c r="D177" s="23">
        <v>133.5</v>
      </c>
      <c r="E177" s="23">
        <v>78.61</v>
      </c>
      <c r="F177" s="23">
        <v>30.58</v>
      </c>
      <c r="G177" s="23">
        <v>574.79999999999995</v>
      </c>
      <c r="H177" s="23">
        <v>4.782</v>
      </c>
      <c r="I177" s="13">
        <f t="shared" si="2"/>
        <v>2.5706344015696536</v>
      </c>
    </row>
    <row r="178" spans="2:9">
      <c r="C178" s="33">
        <v>2.06</v>
      </c>
      <c r="D178" s="23">
        <v>102.1</v>
      </c>
      <c r="E178" s="23">
        <v>79</v>
      </c>
      <c r="F178" s="23">
        <v>30.39</v>
      </c>
      <c r="G178" s="23">
        <v>577.29999999999995</v>
      </c>
      <c r="H178" s="23">
        <v>4.8860000000000001</v>
      </c>
      <c r="I178" s="13">
        <f t="shared" si="2"/>
        <v>2.5995393221454424</v>
      </c>
    </row>
    <row r="179" spans="2:9">
      <c r="C179" s="33">
        <v>2.04</v>
      </c>
      <c r="D179" s="23">
        <v>135.4</v>
      </c>
      <c r="E179" s="23">
        <v>78.83</v>
      </c>
      <c r="F179" s="23">
        <v>30.19</v>
      </c>
      <c r="G179" s="23">
        <v>582.6</v>
      </c>
      <c r="H179" s="23">
        <v>4.8449999999999998</v>
      </c>
      <c r="I179" s="13">
        <f t="shared" si="2"/>
        <v>2.6111295130838026</v>
      </c>
    </row>
    <row r="180" spans="2:9">
      <c r="C180" s="33">
        <v>2.0150000000000001</v>
      </c>
      <c r="D180" s="23">
        <v>102</v>
      </c>
      <c r="E180" s="23">
        <v>80.39</v>
      </c>
      <c r="F180" s="23">
        <v>30</v>
      </c>
      <c r="G180" s="23">
        <v>578</v>
      </c>
      <c r="H180" s="23">
        <v>4.7240000000000002</v>
      </c>
      <c r="I180" s="13">
        <f t="shared" si="2"/>
        <v>2.6796666666666669</v>
      </c>
    </row>
    <row r="181" spans="2:9">
      <c r="C181" s="33">
        <v>2.048</v>
      </c>
      <c r="D181" s="23">
        <v>126.5</v>
      </c>
      <c r="E181" s="23">
        <v>79.81</v>
      </c>
      <c r="F181" s="23">
        <v>29.43</v>
      </c>
      <c r="G181" s="23">
        <v>576</v>
      </c>
      <c r="H181" s="23">
        <v>4.9329999999999998</v>
      </c>
      <c r="I181" s="13">
        <f t="shared" si="2"/>
        <v>2.7118586476384641</v>
      </c>
    </row>
    <row r="182" spans="2:9">
      <c r="B182" s="35">
        <v>10</v>
      </c>
      <c r="C182" s="36">
        <v>1.5940000000000001</v>
      </c>
      <c r="D182" s="38">
        <v>156.9</v>
      </c>
      <c r="E182" s="38">
        <v>90.35</v>
      </c>
      <c r="F182" s="38">
        <v>36.96</v>
      </c>
      <c r="G182" s="38">
        <v>526</v>
      </c>
      <c r="H182" s="38">
        <v>5.2030000000000003</v>
      </c>
      <c r="I182" s="13">
        <f t="shared" si="2"/>
        <v>2.4445346320346317</v>
      </c>
    </row>
    <row r="183" spans="2:9">
      <c r="C183" s="33">
        <v>1.5980000000000001</v>
      </c>
      <c r="D183" s="23">
        <v>150.30000000000001</v>
      </c>
      <c r="E183" s="23">
        <v>91.22</v>
      </c>
      <c r="F183" s="23">
        <v>36.42</v>
      </c>
      <c r="G183" s="23">
        <v>427.2</v>
      </c>
      <c r="H183" s="23">
        <v>5.3140000000000001</v>
      </c>
      <c r="I183" s="13">
        <f t="shared" si="2"/>
        <v>2.5046677649643052</v>
      </c>
    </row>
    <row r="184" spans="2:9">
      <c r="C184" s="33">
        <v>1.587</v>
      </c>
      <c r="D184" s="23">
        <v>164.2</v>
      </c>
      <c r="E184" s="23">
        <v>90.79</v>
      </c>
      <c r="F184" s="23">
        <v>36.67</v>
      </c>
      <c r="G184" s="23">
        <v>484.9</v>
      </c>
      <c r="H184" s="23">
        <v>5.8689999999999998</v>
      </c>
      <c r="I184" s="13">
        <f t="shared" si="2"/>
        <v>2.4758658303790564</v>
      </c>
    </row>
    <row r="185" spans="2:9">
      <c r="C185" s="33">
        <v>1.603</v>
      </c>
      <c r="D185" s="23">
        <v>156.9</v>
      </c>
      <c r="E185" s="23">
        <v>91.25</v>
      </c>
      <c r="F185" s="23">
        <v>36.049999999999997</v>
      </c>
      <c r="G185" s="23">
        <v>478.7</v>
      </c>
      <c r="H185" s="23">
        <v>5.4379999999999997</v>
      </c>
      <c r="I185" s="13">
        <f t="shared" si="2"/>
        <v>2.5312066574202499</v>
      </c>
    </row>
    <row r="186" spans="2:9">
      <c r="C186" s="33">
        <v>1.6479999999999999</v>
      </c>
      <c r="D186" s="23">
        <v>140.6</v>
      </c>
      <c r="E186" s="23">
        <v>90.65</v>
      </c>
      <c r="F186" s="23">
        <v>36.21</v>
      </c>
      <c r="G186" s="23">
        <v>504.1</v>
      </c>
      <c r="H186" s="23">
        <v>4.7430000000000003</v>
      </c>
      <c r="I186" s="13">
        <f t="shared" si="2"/>
        <v>2.5034520850593758</v>
      </c>
    </row>
    <row r="187" spans="2:9">
      <c r="C187" s="33">
        <v>1.63</v>
      </c>
      <c r="D187" s="23">
        <v>154.69999999999999</v>
      </c>
      <c r="E187" s="23">
        <v>90.31</v>
      </c>
      <c r="F187" s="23">
        <v>36.14</v>
      </c>
      <c r="G187" s="23">
        <v>528.5</v>
      </c>
      <c r="H187" s="23">
        <v>5.0720000000000001</v>
      </c>
      <c r="I187" s="13">
        <f t="shared" si="2"/>
        <v>2.4988931931377976</v>
      </c>
    </row>
    <row r="188" spans="2:9">
      <c r="C188" s="33">
        <v>1.6040000000000001</v>
      </c>
      <c r="D188" s="23">
        <v>164.2</v>
      </c>
      <c r="E188" s="23">
        <v>90.56</v>
      </c>
      <c r="F188" s="23">
        <v>36.42</v>
      </c>
      <c r="G188" s="23">
        <v>525.5</v>
      </c>
      <c r="H188" s="23">
        <v>4.5979999999999999</v>
      </c>
      <c r="I188" s="13">
        <f t="shared" si="2"/>
        <v>2.486545853926414</v>
      </c>
    </row>
    <row r="189" spans="2:9">
      <c r="C189" s="33">
        <v>1.5549999999999999</v>
      </c>
      <c r="D189" s="23">
        <v>154.1</v>
      </c>
      <c r="E189" s="23">
        <v>90.73</v>
      </c>
      <c r="F189" s="23">
        <v>36.6</v>
      </c>
      <c r="G189" s="23">
        <v>549.29999999999995</v>
      </c>
      <c r="H189" s="23">
        <v>4.4980000000000002</v>
      </c>
      <c r="I189" s="13">
        <f t="shared" si="2"/>
        <v>2.4789617486338797</v>
      </c>
    </row>
    <row r="190" spans="2:9">
      <c r="C190" s="33">
        <v>1.5940000000000001</v>
      </c>
      <c r="D190" s="23">
        <v>168.9</v>
      </c>
      <c r="E190" s="23">
        <v>90.38</v>
      </c>
      <c r="F190" s="23">
        <v>36.78</v>
      </c>
      <c r="G190" s="23">
        <v>553.79999999999995</v>
      </c>
      <c r="H190" s="23">
        <v>4.2670000000000003</v>
      </c>
      <c r="I190" s="13">
        <f t="shared" si="2"/>
        <v>2.4573137574768893</v>
      </c>
    </row>
    <row r="191" spans="2:9">
      <c r="C191" s="33">
        <v>1.573</v>
      </c>
      <c r="D191" s="23">
        <v>140.6</v>
      </c>
      <c r="E191" s="23">
        <v>90.49</v>
      </c>
      <c r="F191" s="23">
        <v>36.96</v>
      </c>
      <c r="G191" s="23">
        <v>616.6</v>
      </c>
      <c r="H191" s="23">
        <v>4.0940000000000003</v>
      </c>
      <c r="I191" s="13">
        <f t="shared" si="2"/>
        <v>2.4483225108225106</v>
      </c>
    </row>
    <row r="192" spans="2:9">
      <c r="C192" s="33">
        <v>1.5529999999999999</v>
      </c>
      <c r="D192" s="23">
        <v>150.19999999999999</v>
      </c>
      <c r="E192" s="23">
        <v>90.56</v>
      </c>
      <c r="F192" s="23">
        <v>36.58</v>
      </c>
      <c r="G192" s="23">
        <v>612.29999999999995</v>
      </c>
      <c r="H192" s="23">
        <v>4.165</v>
      </c>
      <c r="I192" s="13">
        <f t="shared" si="2"/>
        <v>2.4756697648988522</v>
      </c>
    </row>
    <row r="193" spans="2:9">
      <c r="C193" s="33">
        <v>1.554</v>
      </c>
      <c r="D193" s="23">
        <v>139.1</v>
      </c>
      <c r="E193" s="23">
        <v>90.74</v>
      </c>
      <c r="F193" s="23">
        <v>36.54</v>
      </c>
      <c r="G193" s="23">
        <v>629.6</v>
      </c>
      <c r="H193" s="23">
        <v>4.4370000000000003</v>
      </c>
      <c r="I193" s="13">
        <f t="shared" si="2"/>
        <v>2.4833059660645866</v>
      </c>
    </row>
    <row r="194" spans="2:9">
      <c r="C194" s="33">
        <v>1.6439999999999999</v>
      </c>
      <c r="D194" s="23">
        <v>138.4</v>
      </c>
      <c r="E194" s="23">
        <v>90.39</v>
      </c>
      <c r="F194" s="23">
        <v>36.33</v>
      </c>
      <c r="G194" s="23">
        <v>651.6</v>
      </c>
      <c r="H194" s="23">
        <v>4.4459999999999997</v>
      </c>
      <c r="I194" s="13">
        <f t="shared" si="2"/>
        <v>2.4880264244426096</v>
      </c>
    </row>
    <row r="195" spans="2:9">
      <c r="C195" s="33">
        <v>1.653</v>
      </c>
      <c r="D195" s="23">
        <v>171.5</v>
      </c>
      <c r="E195" s="23">
        <v>90.22</v>
      </c>
      <c r="F195" s="23">
        <v>36.4</v>
      </c>
      <c r="G195" s="23">
        <v>620.20000000000005</v>
      </c>
      <c r="H195" s="23">
        <v>4.7789999999999999</v>
      </c>
      <c r="I195" s="13">
        <f t="shared" ref="I195:I258" si="3">E195/F195</f>
        <v>2.4785714285714286</v>
      </c>
    </row>
    <row r="196" spans="2:9">
      <c r="C196" s="33">
        <v>1.6439999999999999</v>
      </c>
      <c r="D196" s="23">
        <v>150.30000000000001</v>
      </c>
      <c r="E196" s="23">
        <v>90.48</v>
      </c>
      <c r="F196" s="23">
        <v>36.15</v>
      </c>
      <c r="G196" s="23">
        <v>565.70000000000005</v>
      </c>
      <c r="H196" s="23">
        <v>4.8499999999999996</v>
      </c>
      <c r="I196" s="13">
        <f t="shared" si="3"/>
        <v>2.5029045643153527</v>
      </c>
    </row>
    <row r="197" spans="2:9">
      <c r="C197" s="33">
        <v>1.64</v>
      </c>
      <c r="D197" s="23">
        <v>160.4</v>
      </c>
      <c r="E197" s="23">
        <v>90.22</v>
      </c>
      <c r="F197" s="23">
        <v>36.18</v>
      </c>
      <c r="G197" s="23">
        <v>548</v>
      </c>
      <c r="H197" s="23">
        <v>4.9119999999999999</v>
      </c>
      <c r="I197" s="13">
        <f t="shared" si="3"/>
        <v>2.4936428966279713</v>
      </c>
    </row>
    <row r="198" spans="2:9">
      <c r="C198" s="33">
        <v>1.5880000000000001</v>
      </c>
      <c r="D198" s="23">
        <v>171.5</v>
      </c>
      <c r="E198" s="23">
        <v>90.3</v>
      </c>
      <c r="F198" s="23">
        <v>36.33</v>
      </c>
      <c r="G198" s="23">
        <v>631.70000000000005</v>
      </c>
      <c r="H198" s="23">
        <v>5.4379999999999997</v>
      </c>
      <c r="I198" s="13">
        <f t="shared" si="3"/>
        <v>2.4855491329479769</v>
      </c>
    </row>
    <row r="199" spans="2:9">
      <c r="C199" s="33">
        <v>1.6140000000000001</v>
      </c>
      <c r="D199" s="23">
        <v>150.30000000000001</v>
      </c>
      <c r="E199" s="23">
        <v>90.56</v>
      </c>
      <c r="F199" s="23">
        <v>36.69</v>
      </c>
      <c r="G199" s="23">
        <v>641.70000000000005</v>
      </c>
      <c r="H199" s="23">
        <v>5.3140000000000001</v>
      </c>
      <c r="I199" s="13">
        <f t="shared" si="3"/>
        <v>2.4682474788770783</v>
      </c>
    </row>
    <row r="200" spans="2:9">
      <c r="C200" s="33">
        <v>1.62</v>
      </c>
      <c r="D200" s="23">
        <v>168.8</v>
      </c>
      <c r="E200" s="23">
        <v>90.73</v>
      </c>
      <c r="F200" s="23">
        <v>36.42</v>
      </c>
      <c r="G200" s="23">
        <v>616.6</v>
      </c>
      <c r="H200" s="23">
        <v>5.2030000000000003</v>
      </c>
      <c r="I200" s="13">
        <f t="shared" si="3"/>
        <v>2.4912136188907192</v>
      </c>
    </row>
    <row r="201" spans="2:9">
      <c r="C201" s="33">
        <v>1.653</v>
      </c>
      <c r="D201" s="23">
        <v>154.1</v>
      </c>
      <c r="E201" s="23">
        <v>90.22</v>
      </c>
      <c r="F201" s="23">
        <v>36.04</v>
      </c>
      <c r="G201" s="23">
        <v>630.29999999999995</v>
      </c>
      <c r="H201" s="23">
        <v>5.1070000000000002</v>
      </c>
      <c r="I201" s="13">
        <f t="shared" si="3"/>
        <v>2.5033296337402886</v>
      </c>
    </row>
    <row r="202" spans="2:9">
      <c r="B202" s="35">
        <v>11</v>
      </c>
      <c r="C202" s="36">
        <v>2.2269999999999999</v>
      </c>
      <c r="D202" s="37">
        <v>130.05000000000001</v>
      </c>
      <c r="E202" s="38">
        <v>115.9</v>
      </c>
      <c r="F202" s="38">
        <v>27.89</v>
      </c>
      <c r="G202" s="38">
        <v>569.4</v>
      </c>
      <c r="H202" s="38">
        <v>3.9940000000000002</v>
      </c>
      <c r="I202" s="13">
        <f t="shared" si="3"/>
        <v>4.1556113302258879</v>
      </c>
    </row>
    <row r="203" spans="2:9">
      <c r="C203" s="33">
        <v>2.2290000000000001</v>
      </c>
      <c r="D203" s="34">
        <v>158.37</v>
      </c>
      <c r="E203" s="23">
        <v>115.8</v>
      </c>
      <c r="F203" s="23">
        <v>28.05</v>
      </c>
      <c r="G203" s="23">
        <v>571.29999999999995</v>
      </c>
      <c r="H203" s="23">
        <v>3.992</v>
      </c>
      <c r="I203" s="13">
        <f t="shared" si="3"/>
        <v>4.1283422459893044</v>
      </c>
    </row>
    <row r="204" spans="2:9">
      <c r="C204" s="33">
        <v>2.2109999999999999</v>
      </c>
      <c r="D204" s="34">
        <v>139.66999999999999</v>
      </c>
      <c r="E204" s="23">
        <v>116</v>
      </c>
      <c r="F204" s="23">
        <v>27.81</v>
      </c>
      <c r="G204" s="23">
        <v>567.1</v>
      </c>
      <c r="H204" s="23">
        <v>4.0670000000000002</v>
      </c>
      <c r="I204" s="13">
        <f t="shared" si="3"/>
        <v>4.1711614527148511</v>
      </c>
    </row>
    <row r="205" spans="2:9">
      <c r="C205" s="33">
        <v>2.194</v>
      </c>
      <c r="D205" s="34">
        <v>119.76</v>
      </c>
      <c r="E205" s="23">
        <v>116.3</v>
      </c>
      <c r="F205" s="23">
        <v>27.62</v>
      </c>
      <c r="G205" s="23">
        <v>573.20000000000005</v>
      </c>
      <c r="H205" s="23">
        <v>4.1360000000000001</v>
      </c>
      <c r="I205" s="13">
        <f t="shared" si="3"/>
        <v>4.2107168718320054</v>
      </c>
    </row>
    <row r="206" spans="2:9">
      <c r="C206" s="33">
        <v>2.2050000000000001</v>
      </c>
      <c r="D206" s="34">
        <v>140.43</v>
      </c>
      <c r="E206" s="23">
        <v>114.8</v>
      </c>
      <c r="F206" s="23">
        <v>27.53</v>
      </c>
      <c r="G206" s="23">
        <v>566.5</v>
      </c>
      <c r="H206" s="23">
        <v>4.3840000000000003</v>
      </c>
      <c r="I206" s="13">
        <f t="shared" si="3"/>
        <v>4.1699963675989826</v>
      </c>
    </row>
    <row r="207" spans="2:9">
      <c r="C207" s="33">
        <v>2.1970000000000001</v>
      </c>
      <c r="D207" s="34">
        <v>149.11000000000001</v>
      </c>
      <c r="E207" s="23">
        <v>115.2</v>
      </c>
      <c r="F207" s="23">
        <v>27.94</v>
      </c>
      <c r="G207" s="23">
        <v>567.20000000000005</v>
      </c>
      <c r="H207" s="23">
        <v>4.4390000000000001</v>
      </c>
      <c r="I207" s="13">
        <f t="shared" si="3"/>
        <v>4.1231209735146743</v>
      </c>
    </row>
    <row r="208" spans="2:9">
      <c r="C208" s="33">
        <v>2.181</v>
      </c>
      <c r="D208" s="34">
        <v>146.83000000000001</v>
      </c>
      <c r="E208" s="23">
        <v>115.5</v>
      </c>
      <c r="F208" s="23">
        <v>28.23</v>
      </c>
      <c r="G208" s="23">
        <v>569.6</v>
      </c>
      <c r="H208" s="23">
        <v>4.7130000000000001</v>
      </c>
      <c r="I208" s="13">
        <f t="shared" si="3"/>
        <v>4.0913921360255046</v>
      </c>
    </row>
    <row r="209" spans="2:9">
      <c r="C209" s="33">
        <v>2.16</v>
      </c>
      <c r="D209" s="34">
        <v>127.99</v>
      </c>
      <c r="E209" s="23">
        <v>116</v>
      </c>
      <c r="F209" s="23">
        <v>27.94</v>
      </c>
      <c r="G209" s="23">
        <v>568.20000000000005</v>
      </c>
      <c r="H209" s="23">
        <v>4.6580000000000004</v>
      </c>
      <c r="I209" s="13">
        <f t="shared" si="3"/>
        <v>4.1517537580529709</v>
      </c>
    </row>
    <row r="210" spans="2:9">
      <c r="C210" s="33">
        <v>2.1349999999999998</v>
      </c>
      <c r="D210" s="34">
        <v>158.09</v>
      </c>
      <c r="E210" s="23">
        <v>115.7</v>
      </c>
      <c r="F210" s="23">
        <v>28.01</v>
      </c>
      <c r="G210" s="23">
        <v>569.29999999999995</v>
      </c>
      <c r="H210" s="23">
        <v>4.9989999999999997</v>
      </c>
      <c r="I210" s="13">
        <f t="shared" si="3"/>
        <v>4.1306676187076041</v>
      </c>
    </row>
    <row r="211" spans="2:9">
      <c r="C211" s="33">
        <v>2.077</v>
      </c>
      <c r="D211" s="34">
        <v>167.1</v>
      </c>
      <c r="E211" s="23">
        <v>115.5</v>
      </c>
      <c r="F211" s="23">
        <v>27.76</v>
      </c>
      <c r="G211" s="23">
        <v>569.4</v>
      </c>
      <c r="H211" s="23">
        <v>5.5030000000000001</v>
      </c>
      <c r="I211" s="13">
        <f t="shared" si="3"/>
        <v>4.1606628242074928</v>
      </c>
    </row>
    <row r="212" spans="2:9">
      <c r="C212" s="33">
        <v>2.1890000000000001</v>
      </c>
      <c r="D212" s="34">
        <v>138.82</v>
      </c>
      <c r="E212" s="23">
        <v>115.3</v>
      </c>
      <c r="F212" s="23">
        <v>28.07</v>
      </c>
      <c r="G212" s="23">
        <v>570.29999999999995</v>
      </c>
      <c r="H212" s="23">
        <v>4.3840000000000003</v>
      </c>
      <c r="I212" s="13">
        <f t="shared" si="3"/>
        <v>4.1075881724260777</v>
      </c>
    </row>
    <row r="213" spans="2:9">
      <c r="C213" s="33">
        <v>2.2050000000000001</v>
      </c>
      <c r="D213" s="34">
        <v>158.09</v>
      </c>
      <c r="E213" s="23">
        <v>116.2</v>
      </c>
      <c r="F213" s="23">
        <v>27.65</v>
      </c>
      <c r="G213" s="23">
        <v>566.6</v>
      </c>
      <c r="H213" s="23">
        <v>4.08</v>
      </c>
      <c r="I213" s="13">
        <f t="shared" si="3"/>
        <v>4.2025316455696204</v>
      </c>
    </row>
    <row r="214" spans="2:9">
      <c r="C214" s="33">
        <v>2.2109999999999999</v>
      </c>
      <c r="D214" s="34">
        <v>156.76</v>
      </c>
      <c r="E214" s="23">
        <v>116.1</v>
      </c>
      <c r="F214" s="23">
        <v>28.06</v>
      </c>
      <c r="G214" s="23">
        <v>567.4</v>
      </c>
      <c r="H214" s="23">
        <v>3.992</v>
      </c>
      <c r="I214" s="13">
        <f t="shared" si="3"/>
        <v>4.1375623663578045</v>
      </c>
    </row>
    <row r="215" spans="2:9">
      <c r="C215" s="33">
        <v>2.2189999999999999</v>
      </c>
      <c r="D215" s="34">
        <v>125.19</v>
      </c>
      <c r="E215" s="23">
        <v>115.7</v>
      </c>
      <c r="F215" s="23">
        <v>27.81</v>
      </c>
      <c r="G215" s="23">
        <v>566</v>
      </c>
      <c r="H215" s="23">
        <v>4.1210000000000004</v>
      </c>
      <c r="I215" s="13">
        <f t="shared" si="3"/>
        <v>4.1603739661992094</v>
      </c>
    </row>
    <row r="216" spans="2:9">
      <c r="C216" s="33">
        <v>2.2130000000000001</v>
      </c>
      <c r="D216" s="34">
        <v>127.99</v>
      </c>
      <c r="E216" s="23">
        <v>115.5</v>
      </c>
      <c r="F216" s="23">
        <v>27.97</v>
      </c>
      <c r="G216" s="23">
        <v>568.70000000000005</v>
      </c>
      <c r="H216" s="23">
        <v>3.9710000000000001</v>
      </c>
      <c r="I216" s="13">
        <f t="shared" si="3"/>
        <v>4.1294243832677875</v>
      </c>
    </row>
    <row r="217" spans="2:9">
      <c r="C217" s="33">
        <v>2.2269999999999999</v>
      </c>
      <c r="D217" s="34">
        <v>131.49</v>
      </c>
      <c r="E217" s="23">
        <v>114.8</v>
      </c>
      <c r="F217" s="23">
        <v>27.8</v>
      </c>
      <c r="G217" s="23">
        <v>565.29999999999995</v>
      </c>
      <c r="H217" s="23">
        <v>3.9590000000000001</v>
      </c>
      <c r="I217" s="13">
        <f t="shared" si="3"/>
        <v>4.1294964028776979</v>
      </c>
    </row>
    <row r="218" spans="2:9">
      <c r="C218" s="33">
        <v>2.2229999999999999</v>
      </c>
      <c r="D218" s="34">
        <v>120.58</v>
      </c>
      <c r="E218" s="23">
        <v>115.2</v>
      </c>
      <c r="F218" s="23">
        <v>27.72</v>
      </c>
      <c r="G218" s="23">
        <v>571.20000000000005</v>
      </c>
      <c r="H218" s="23">
        <v>3.9910000000000001</v>
      </c>
      <c r="I218" s="13">
        <f t="shared" si="3"/>
        <v>4.1558441558441563</v>
      </c>
    </row>
    <row r="219" spans="2:9">
      <c r="C219" s="33">
        <v>2.2189999999999999</v>
      </c>
      <c r="D219" s="34">
        <v>136.97</v>
      </c>
      <c r="E219" s="23">
        <v>115.3</v>
      </c>
      <c r="F219" s="23">
        <v>27.64</v>
      </c>
      <c r="G219" s="23">
        <v>571.4</v>
      </c>
      <c r="H219" s="23">
        <v>4.1210000000000004</v>
      </c>
      <c r="I219" s="13">
        <f t="shared" si="3"/>
        <v>4.1714905933429813</v>
      </c>
    </row>
    <row r="220" spans="2:9">
      <c r="C220" s="33">
        <v>2.194</v>
      </c>
      <c r="D220" s="34">
        <v>158.37</v>
      </c>
      <c r="E220" s="23">
        <v>115.5</v>
      </c>
      <c r="F220" s="23">
        <v>28.06</v>
      </c>
      <c r="G220" s="23">
        <v>572.5</v>
      </c>
      <c r="H220" s="23">
        <v>4.0510000000000002</v>
      </c>
      <c r="I220" s="13">
        <f t="shared" si="3"/>
        <v>4.1161796151104779</v>
      </c>
    </row>
    <row r="221" spans="2:9">
      <c r="C221" s="33">
        <v>2.2200000000000002</v>
      </c>
      <c r="D221" s="34">
        <v>149.11000000000001</v>
      </c>
      <c r="E221" s="23">
        <v>115.4</v>
      </c>
      <c r="F221" s="23">
        <v>28.47</v>
      </c>
      <c r="G221" s="23">
        <v>568.4</v>
      </c>
      <c r="H221" s="23">
        <v>4.0030000000000001</v>
      </c>
      <c r="I221" s="13">
        <f t="shared" si="3"/>
        <v>4.0533895328415879</v>
      </c>
    </row>
    <row r="222" spans="2:9">
      <c r="B222" s="35">
        <v>12</v>
      </c>
      <c r="C222" s="36">
        <v>2.2290000000000001</v>
      </c>
      <c r="D222" s="37">
        <v>136.63</v>
      </c>
      <c r="E222" s="38">
        <v>91.09</v>
      </c>
      <c r="F222" s="38">
        <v>27.9</v>
      </c>
      <c r="G222" s="38">
        <v>542.70000000000005</v>
      </c>
      <c r="H222" s="38">
        <v>4.72</v>
      </c>
      <c r="I222" s="13">
        <f t="shared" si="3"/>
        <v>3.2648745519713263</v>
      </c>
    </row>
    <row r="223" spans="2:9">
      <c r="C223" s="33">
        <v>2.2250000000000001</v>
      </c>
      <c r="D223" s="34">
        <v>156.97999999999999</v>
      </c>
      <c r="E223" s="23">
        <v>90.64</v>
      </c>
      <c r="F223" s="23">
        <v>27.72</v>
      </c>
      <c r="G223" s="23">
        <v>541.5</v>
      </c>
      <c r="H223" s="23">
        <v>4.9930000000000003</v>
      </c>
      <c r="I223" s="13">
        <f t="shared" si="3"/>
        <v>3.2698412698412702</v>
      </c>
    </row>
    <row r="224" spans="2:9">
      <c r="C224" s="33">
        <v>2.2210000000000001</v>
      </c>
      <c r="D224" s="34">
        <v>136.59</v>
      </c>
      <c r="E224" s="23">
        <v>91.63</v>
      </c>
      <c r="F224" s="23">
        <v>27.92</v>
      </c>
      <c r="G224" s="23">
        <v>538.29999999999995</v>
      </c>
      <c r="H224" s="23">
        <v>5.1920000000000002</v>
      </c>
      <c r="I224" s="13">
        <f t="shared" si="3"/>
        <v>3.2818767908309452</v>
      </c>
    </row>
    <row r="225" spans="3:9">
      <c r="C225" s="33">
        <v>2.2160000000000002</v>
      </c>
      <c r="D225" s="34">
        <v>133.19</v>
      </c>
      <c r="E225" s="23">
        <v>91.69</v>
      </c>
      <c r="F225" s="23">
        <v>27.45</v>
      </c>
      <c r="G225" s="23">
        <v>539</v>
      </c>
      <c r="H225" s="23">
        <v>4.9859999999999998</v>
      </c>
      <c r="I225" s="13">
        <f t="shared" si="3"/>
        <v>3.3402550091074681</v>
      </c>
    </row>
    <row r="226" spans="3:9">
      <c r="C226" s="33">
        <v>2.1779999999999999</v>
      </c>
      <c r="D226" s="34">
        <v>154.34</v>
      </c>
      <c r="E226" s="23">
        <v>91.54</v>
      </c>
      <c r="F226" s="23">
        <v>27.83</v>
      </c>
      <c r="G226" s="23">
        <v>533</v>
      </c>
      <c r="H226" s="23">
        <v>4.8869999999999996</v>
      </c>
      <c r="I226" s="13">
        <f t="shared" si="3"/>
        <v>3.289256198347108</v>
      </c>
    </row>
    <row r="227" spans="3:9">
      <c r="C227" s="33">
        <v>2.17</v>
      </c>
      <c r="D227" s="34">
        <v>136.63</v>
      </c>
      <c r="E227" s="23">
        <v>90.91</v>
      </c>
      <c r="F227" s="23">
        <v>28.22</v>
      </c>
      <c r="G227" s="23">
        <v>537</v>
      </c>
      <c r="H227" s="23">
        <v>4.774</v>
      </c>
      <c r="I227" s="13">
        <f t="shared" si="3"/>
        <v>3.2214741318214033</v>
      </c>
    </row>
    <row r="228" spans="3:9">
      <c r="C228" s="33">
        <v>2.1549999999999998</v>
      </c>
      <c r="D228" s="34">
        <v>140.47</v>
      </c>
      <c r="E228" s="23">
        <v>90.74</v>
      </c>
      <c r="F228" s="23">
        <v>27.52</v>
      </c>
      <c r="G228" s="23">
        <v>543.20000000000005</v>
      </c>
      <c r="H228" s="23">
        <v>4.2060000000000004</v>
      </c>
      <c r="I228" s="13">
        <f t="shared" si="3"/>
        <v>3.2972383720930232</v>
      </c>
    </row>
    <row r="229" spans="3:9">
      <c r="C229" s="33">
        <v>2.1360000000000001</v>
      </c>
      <c r="D229" s="34">
        <v>143.04</v>
      </c>
      <c r="E229" s="23">
        <v>90.96</v>
      </c>
      <c r="F229" s="23">
        <v>27.55</v>
      </c>
      <c r="G229" s="23">
        <v>540.6</v>
      </c>
      <c r="H229" s="23">
        <v>4.1180000000000003</v>
      </c>
      <c r="I229" s="13">
        <f t="shared" si="3"/>
        <v>3.3016333938294009</v>
      </c>
    </row>
    <row r="230" spans="3:9">
      <c r="C230" s="33">
        <v>2.1</v>
      </c>
      <c r="D230" s="34">
        <v>151.31</v>
      </c>
      <c r="E230" s="23">
        <v>91.15</v>
      </c>
      <c r="F230" s="23">
        <v>27.57</v>
      </c>
      <c r="G230" s="23">
        <v>542.6</v>
      </c>
      <c r="H230" s="23">
        <v>3.7869999999999999</v>
      </c>
      <c r="I230" s="13">
        <f t="shared" si="3"/>
        <v>3.3061298512876318</v>
      </c>
    </row>
    <row r="231" spans="3:9">
      <c r="C231" s="33">
        <v>2.2080000000000002</v>
      </c>
      <c r="D231" s="34">
        <v>142.97999999999999</v>
      </c>
      <c r="E231" s="23">
        <v>91.13</v>
      </c>
      <c r="F231" s="23">
        <v>27.34</v>
      </c>
      <c r="G231" s="23">
        <v>543.70000000000005</v>
      </c>
      <c r="H231" s="23">
        <v>3.9249999999999998</v>
      </c>
      <c r="I231" s="13">
        <f t="shared" si="3"/>
        <v>3.3332114118507681</v>
      </c>
    </row>
    <row r="232" spans="3:9">
      <c r="C232" s="33">
        <v>2.2160000000000002</v>
      </c>
      <c r="D232" s="34">
        <v>133.19</v>
      </c>
      <c r="E232" s="23">
        <v>91.1</v>
      </c>
      <c r="F232" s="23">
        <v>27.5</v>
      </c>
      <c r="G232" s="23">
        <v>537.1</v>
      </c>
      <c r="H232" s="23">
        <v>4.0529999999999999</v>
      </c>
      <c r="I232" s="13">
        <f t="shared" si="3"/>
        <v>3.3127272727272725</v>
      </c>
    </row>
    <row r="233" spans="3:9">
      <c r="C233" s="33">
        <v>2.2210000000000001</v>
      </c>
      <c r="D233" s="34">
        <v>142.22</v>
      </c>
      <c r="E233" s="23">
        <v>91.07</v>
      </c>
      <c r="F233" s="23">
        <v>27.89</v>
      </c>
      <c r="G233" s="23">
        <v>533.70000000000005</v>
      </c>
      <c r="H233" s="23">
        <v>4.2949999999999999</v>
      </c>
      <c r="I233" s="13">
        <f t="shared" si="3"/>
        <v>3.2653280745787017</v>
      </c>
    </row>
    <row r="234" spans="3:9">
      <c r="C234" s="33">
        <v>2.2149999999999999</v>
      </c>
      <c r="D234" s="34">
        <v>154.34</v>
      </c>
      <c r="E234" s="23">
        <v>90.83</v>
      </c>
      <c r="F234" s="23">
        <v>27.71</v>
      </c>
      <c r="G234" s="23">
        <v>534.29999999999995</v>
      </c>
      <c r="H234" s="23">
        <v>4.5209999999999999</v>
      </c>
      <c r="I234" s="13">
        <f t="shared" si="3"/>
        <v>3.277878022374594</v>
      </c>
    </row>
    <row r="235" spans="3:9">
      <c r="C235" s="33">
        <v>2.1909999999999998</v>
      </c>
      <c r="D235" s="34">
        <v>156.97999999999999</v>
      </c>
      <c r="E235" s="23">
        <v>91.02</v>
      </c>
      <c r="F235" s="23">
        <v>27.94</v>
      </c>
      <c r="G235" s="23">
        <v>536.4</v>
      </c>
      <c r="H235" s="23">
        <v>4.7130000000000001</v>
      </c>
      <c r="I235" s="13">
        <f t="shared" si="3"/>
        <v>3.2576950608446666</v>
      </c>
    </row>
    <row r="236" spans="3:9">
      <c r="C236" s="33">
        <v>2.2269999999999999</v>
      </c>
      <c r="D236" s="34">
        <v>143.04</v>
      </c>
      <c r="E236" s="23">
        <v>90.39</v>
      </c>
      <c r="F236" s="23">
        <v>27.13</v>
      </c>
      <c r="G236" s="23">
        <v>539.4</v>
      </c>
      <c r="H236" s="23">
        <v>5.7190000000000003</v>
      </c>
      <c r="I236" s="13">
        <f t="shared" si="3"/>
        <v>3.3317360855141911</v>
      </c>
    </row>
    <row r="237" spans="3:9">
      <c r="C237" s="33">
        <v>2.2250000000000001</v>
      </c>
      <c r="D237" s="34">
        <v>151.31</v>
      </c>
      <c r="E237" s="23">
        <v>90.23</v>
      </c>
      <c r="F237" s="23">
        <v>27.71</v>
      </c>
      <c r="G237" s="23">
        <v>537.20000000000005</v>
      </c>
      <c r="H237" s="23">
        <v>4.6779999999999999</v>
      </c>
      <c r="I237" s="13">
        <f t="shared" si="3"/>
        <v>3.2562251894622882</v>
      </c>
    </row>
    <row r="238" spans="3:9">
      <c r="C238" s="33">
        <v>2.2330000000000001</v>
      </c>
      <c r="D238" s="34">
        <v>136.59</v>
      </c>
      <c r="E238" s="23">
        <v>90.2</v>
      </c>
      <c r="F238" s="23">
        <v>28.29</v>
      </c>
      <c r="G238" s="23">
        <v>533</v>
      </c>
      <c r="H238" s="23">
        <v>4.96</v>
      </c>
      <c r="I238" s="13">
        <f t="shared" si="3"/>
        <v>3.1884057971014497</v>
      </c>
    </row>
    <row r="239" spans="3:9">
      <c r="C239" s="33">
        <v>2.2250000000000001</v>
      </c>
      <c r="D239" s="34">
        <v>147.54</v>
      </c>
      <c r="E239" s="23">
        <v>90.16</v>
      </c>
      <c r="F239" s="23">
        <v>27.72</v>
      </c>
      <c r="G239" s="23">
        <v>535</v>
      </c>
      <c r="H239" s="23">
        <v>5.2039999999999997</v>
      </c>
      <c r="I239" s="13">
        <f t="shared" si="3"/>
        <v>3.2525252525252526</v>
      </c>
    </row>
    <row r="240" spans="3:9">
      <c r="C240" s="33">
        <v>2.202</v>
      </c>
      <c r="D240" s="34">
        <v>160.30000000000001</v>
      </c>
      <c r="E240" s="23">
        <v>90.38</v>
      </c>
      <c r="F240" s="23">
        <v>27.37</v>
      </c>
      <c r="G240" s="23">
        <v>537.29999999999995</v>
      </c>
      <c r="H240" s="23">
        <v>5.577</v>
      </c>
      <c r="I240" s="13">
        <f t="shared" si="3"/>
        <v>3.3021556448666418</v>
      </c>
    </row>
    <row r="241" spans="2:9">
      <c r="C241" s="33">
        <v>2.226</v>
      </c>
      <c r="D241" s="34">
        <v>135.84</v>
      </c>
      <c r="E241" s="23">
        <v>90.6</v>
      </c>
      <c r="F241" s="23">
        <v>27.99</v>
      </c>
      <c r="G241" s="23">
        <v>543</v>
      </c>
      <c r="H241" s="23">
        <v>5.4480000000000004</v>
      </c>
      <c r="I241" s="13">
        <f t="shared" si="3"/>
        <v>3.2368703108252945</v>
      </c>
    </row>
    <row r="242" spans="2:9">
      <c r="B242" s="35">
        <v>13</v>
      </c>
      <c r="C242" s="36">
        <v>2.7480000000000002</v>
      </c>
      <c r="D242" s="38">
        <v>189.1</v>
      </c>
      <c r="E242" s="38">
        <v>109.4</v>
      </c>
      <c r="F242" s="38">
        <v>31.49</v>
      </c>
      <c r="G242" s="38">
        <v>534.70000000000005</v>
      </c>
      <c r="H242" s="38">
        <v>2.472</v>
      </c>
      <c r="I242" s="13">
        <f t="shared" si="3"/>
        <v>3.474118767862814</v>
      </c>
    </row>
    <row r="243" spans="2:9">
      <c r="C243" s="33">
        <v>2.665</v>
      </c>
      <c r="D243" s="23">
        <v>218.6</v>
      </c>
      <c r="E243" s="23">
        <v>109.1</v>
      </c>
      <c r="F243" s="23">
        <v>32.159999999999997</v>
      </c>
      <c r="G243" s="23">
        <v>541.20000000000005</v>
      </c>
      <c r="H243" s="23">
        <v>2.0169999999999999</v>
      </c>
      <c r="I243" s="13">
        <f t="shared" si="3"/>
        <v>3.3924129353233834</v>
      </c>
    </row>
    <row r="244" spans="2:9">
      <c r="C244" s="33">
        <v>2.6930000000000001</v>
      </c>
      <c r="D244" s="23">
        <v>206.8</v>
      </c>
      <c r="E244" s="23">
        <v>108.7</v>
      </c>
      <c r="F244" s="23">
        <v>31.5</v>
      </c>
      <c r="G244" s="23">
        <v>547.4</v>
      </c>
      <c r="H244" s="23">
        <v>2.8580000000000001</v>
      </c>
      <c r="I244" s="13">
        <f t="shared" si="3"/>
        <v>3.450793650793651</v>
      </c>
    </row>
    <row r="245" spans="2:9">
      <c r="C245" s="33">
        <v>2.7480000000000002</v>
      </c>
      <c r="D245" s="23">
        <v>240.3</v>
      </c>
      <c r="E245" s="23">
        <v>108.5</v>
      </c>
      <c r="F245" s="23">
        <v>31.68</v>
      </c>
      <c r="G245" s="23">
        <v>551.9</v>
      </c>
      <c r="H245" s="23">
        <v>2.226</v>
      </c>
      <c r="I245" s="13">
        <f t="shared" si="3"/>
        <v>3.4248737373737375</v>
      </c>
    </row>
    <row r="246" spans="2:9">
      <c r="C246" s="33">
        <v>2.738</v>
      </c>
      <c r="D246" s="23">
        <v>230.6</v>
      </c>
      <c r="E246" s="23">
        <v>108.1</v>
      </c>
      <c r="F246" s="23">
        <v>32.03</v>
      </c>
      <c r="G246" s="23">
        <v>536</v>
      </c>
      <c r="H246" s="23">
        <v>2.786</v>
      </c>
      <c r="I246" s="13">
        <f t="shared" si="3"/>
        <v>3.3749609740867932</v>
      </c>
    </row>
    <row r="247" spans="2:9">
      <c r="C247" s="33">
        <v>2.7240000000000002</v>
      </c>
      <c r="D247" s="23">
        <v>208.9</v>
      </c>
      <c r="E247" s="23">
        <v>108.2</v>
      </c>
      <c r="F247" s="23">
        <v>31.33</v>
      </c>
      <c r="G247" s="23">
        <v>534.70000000000005</v>
      </c>
      <c r="H247" s="23">
        <v>2.4769999999999999</v>
      </c>
      <c r="I247" s="13">
        <f t="shared" si="3"/>
        <v>3.4535588892435367</v>
      </c>
    </row>
    <row r="248" spans="2:9">
      <c r="C248" s="33">
        <v>2.6480000000000001</v>
      </c>
      <c r="D248" s="23">
        <v>199.7</v>
      </c>
      <c r="E248" s="23">
        <v>107.8</v>
      </c>
      <c r="F248" s="23">
        <v>31.45</v>
      </c>
      <c r="G248" s="23">
        <v>535.29999999999995</v>
      </c>
      <c r="H248" s="23">
        <v>2.472</v>
      </c>
      <c r="I248" s="13">
        <f t="shared" si="3"/>
        <v>3.4276629570747219</v>
      </c>
    </row>
    <row r="249" spans="2:9">
      <c r="C249" s="33">
        <v>2.6760000000000002</v>
      </c>
      <c r="D249" s="23">
        <v>189</v>
      </c>
      <c r="E249" s="23">
        <v>108.4</v>
      </c>
      <c r="F249" s="23">
        <v>31.56</v>
      </c>
      <c r="G249" s="23">
        <v>536.5</v>
      </c>
      <c r="H249" s="23">
        <v>2.7669999999999999</v>
      </c>
      <c r="I249" s="13">
        <f t="shared" si="3"/>
        <v>3.4347275031685682</v>
      </c>
    </row>
    <row r="250" spans="2:9">
      <c r="C250" s="33">
        <v>2.694</v>
      </c>
      <c r="D250" s="23">
        <v>202.9</v>
      </c>
      <c r="E250" s="23">
        <v>108.6</v>
      </c>
      <c r="F250" s="23">
        <v>31.54</v>
      </c>
      <c r="G250" s="23">
        <v>541.20000000000005</v>
      </c>
      <c r="H250" s="23">
        <v>2.6640000000000001</v>
      </c>
      <c r="I250" s="13">
        <f t="shared" si="3"/>
        <v>3.4432466708941027</v>
      </c>
    </row>
    <row r="251" spans="2:9">
      <c r="C251" s="33">
        <v>2.6509999999999998</v>
      </c>
      <c r="D251" s="23">
        <v>179.1</v>
      </c>
      <c r="E251" s="23">
        <v>109.1</v>
      </c>
      <c r="F251" s="23">
        <v>31.89</v>
      </c>
      <c r="G251" s="23">
        <v>536.79999999999995</v>
      </c>
      <c r="H251" s="23">
        <v>2.8039999999999998</v>
      </c>
      <c r="I251" s="13">
        <f t="shared" si="3"/>
        <v>3.4211351520852928</v>
      </c>
    </row>
    <row r="252" spans="2:9">
      <c r="C252" s="33">
        <v>2.726</v>
      </c>
      <c r="D252" s="23">
        <v>229.7</v>
      </c>
      <c r="E252" s="23">
        <v>109.1</v>
      </c>
      <c r="F252" s="23">
        <v>31.22</v>
      </c>
      <c r="G252" s="23">
        <v>541.20000000000005</v>
      </c>
      <c r="H252" s="23">
        <v>2.1339999999999999</v>
      </c>
      <c r="I252" s="13">
        <f t="shared" si="3"/>
        <v>3.4945547725816786</v>
      </c>
    </row>
    <row r="253" spans="2:9">
      <c r="C253" s="33">
        <v>2.6930000000000001</v>
      </c>
      <c r="D253" s="23">
        <v>190.3</v>
      </c>
      <c r="E253" s="23">
        <v>109</v>
      </c>
      <c r="F253" s="23">
        <v>31.56</v>
      </c>
      <c r="G253" s="23">
        <v>538.9</v>
      </c>
      <c r="H253" s="23">
        <v>2.2069999999999999</v>
      </c>
      <c r="I253" s="13">
        <f t="shared" si="3"/>
        <v>3.4537389100126745</v>
      </c>
    </row>
    <row r="254" spans="2:9">
      <c r="C254" s="33">
        <v>2.7</v>
      </c>
      <c r="D254" s="23">
        <v>209.4</v>
      </c>
      <c r="E254" s="23">
        <v>108.5</v>
      </c>
      <c r="F254" s="23">
        <v>31.37</v>
      </c>
      <c r="G254" s="23">
        <v>550.5</v>
      </c>
      <c r="H254" s="23">
        <v>2.6629999999999998</v>
      </c>
      <c r="I254" s="13">
        <f t="shared" si="3"/>
        <v>3.4587185208798212</v>
      </c>
    </row>
    <row r="255" spans="2:9">
      <c r="C255" s="33">
        <v>2.6739999999999999</v>
      </c>
      <c r="D255" s="23">
        <v>217.9</v>
      </c>
      <c r="E255" s="23">
        <v>108.4</v>
      </c>
      <c r="F255" s="23">
        <v>31.54</v>
      </c>
      <c r="G255" s="23">
        <v>545</v>
      </c>
      <c r="H255" s="23">
        <v>2.9769999999999999</v>
      </c>
      <c r="I255" s="13">
        <f t="shared" si="3"/>
        <v>3.4369055168040585</v>
      </c>
    </row>
    <row r="256" spans="2:9">
      <c r="C256" s="33">
        <v>2.6779999999999999</v>
      </c>
      <c r="D256" s="23">
        <v>249.1</v>
      </c>
      <c r="E256" s="23">
        <v>108.5</v>
      </c>
      <c r="F256" s="23">
        <v>31.63</v>
      </c>
      <c r="G256" s="23">
        <v>541.20000000000005</v>
      </c>
      <c r="H256" s="23">
        <v>2.7360000000000002</v>
      </c>
      <c r="I256" s="13">
        <f t="shared" si="3"/>
        <v>3.4302877015491622</v>
      </c>
    </row>
    <row r="257" spans="2:9">
      <c r="C257" s="33">
        <v>2.6120000000000001</v>
      </c>
      <c r="D257" s="23">
        <v>217.9</v>
      </c>
      <c r="E257" s="23">
        <v>109</v>
      </c>
      <c r="F257" s="23">
        <v>31.97</v>
      </c>
      <c r="G257" s="23">
        <v>537.79999999999995</v>
      </c>
      <c r="H257" s="23">
        <v>2.5209999999999999</v>
      </c>
      <c r="I257" s="13">
        <f t="shared" si="3"/>
        <v>3.4094463559587114</v>
      </c>
    </row>
    <row r="258" spans="2:9">
      <c r="C258" s="33">
        <v>2.5859999999999999</v>
      </c>
      <c r="D258" s="23">
        <v>230.2</v>
      </c>
      <c r="E258" s="23">
        <v>109.2</v>
      </c>
      <c r="F258" s="23">
        <v>31.88</v>
      </c>
      <c r="G258" s="23">
        <v>543</v>
      </c>
      <c r="H258" s="23">
        <v>2.472</v>
      </c>
      <c r="I258" s="13">
        <f t="shared" si="3"/>
        <v>3.4253450439146804</v>
      </c>
    </row>
    <row r="259" spans="2:9">
      <c r="C259" s="33">
        <v>2.5840000000000001</v>
      </c>
      <c r="D259" s="23">
        <v>222.6</v>
      </c>
      <c r="E259" s="23">
        <v>110</v>
      </c>
      <c r="F259" s="23">
        <v>31.14</v>
      </c>
      <c r="G259" s="23">
        <v>540.70000000000005</v>
      </c>
      <c r="H259" s="23">
        <v>2.206</v>
      </c>
      <c r="I259" s="13">
        <f t="shared" ref="I259:I322" si="4">E259/F259</f>
        <v>3.5324341682723186</v>
      </c>
    </row>
    <row r="260" spans="2:9">
      <c r="C260" s="33">
        <v>2.69</v>
      </c>
      <c r="D260" s="23">
        <v>197.2</v>
      </c>
      <c r="E260" s="23">
        <v>109.3</v>
      </c>
      <c r="F260" s="23">
        <v>31.63</v>
      </c>
      <c r="G260" s="23">
        <v>535.4</v>
      </c>
      <c r="H260" s="23">
        <v>2.1320000000000001</v>
      </c>
      <c r="I260" s="13">
        <f t="shared" si="4"/>
        <v>3.4555801454315525</v>
      </c>
    </row>
    <row r="261" spans="2:9">
      <c r="C261" s="33">
        <v>2.7429999999999999</v>
      </c>
      <c r="D261" s="23">
        <v>190.3</v>
      </c>
      <c r="E261" s="23">
        <v>109.1</v>
      </c>
      <c r="F261" s="23">
        <v>31.46</v>
      </c>
      <c r="G261" s="23">
        <v>539.79999999999995</v>
      </c>
      <c r="H261" s="23">
        <v>2.1480000000000001</v>
      </c>
      <c r="I261" s="13">
        <f t="shared" si="4"/>
        <v>3.4678957406230131</v>
      </c>
    </row>
    <row r="262" spans="2:9">
      <c r="B262" s="35">
        <v>14</v>
      </c>
      <c r="C262" s="36">
        <v>2.093</v>
      </c>
      <c r="D262" s="38">
        <v>100.4</v>
      </c>
      <c r="E262" s="38">
        <v>77.67</v>
      </c>
      <c r="F262" s="38">
        <v>56</v>
      </c>
      <c r="G262" s="38">
        <v>564.9</v>
      </c>
      <c r="H262" s="38">
        <v>5.6760000000000002</v>
      </c>
      <c r="I262" s="13">
        <f t="shared" si="4"/>
        <v>1.3869642857142856</v>
      </c>
    </row>
    <row r="263" spans="2:9">
      <c r="C263" s="33">
        <v>2.0449999999999999</v>
      </c>
      <c r="D263" s="23">
        <v>109.1</v>
      </c>
      <c r="E263" s="23">
        <v>78.34</v>
      </c>
      <c r="F263" s="23">
        <v>56.34</v>
      </c>
      <c r="G263" s="23">
        <v>567.9</v>
      </c>
      <c r="H263" s="23">
        <v>5.6539999999999999</v>
      </c>
      <c r="I263" s="13">
        <f t="shared" si="4"/>
        <v>1.3904863329783457</v>
      </c>
    </row>
    <row r="264" spans="2:9">
      <c r="C264" s="33">
        <v>2.0299999999999998</v>
      </c>
      <c r="D264" s="23">
        <v>126.2</v>
      </c>
      <c r="E264" s="23">
        <v>77.010000000000005</v>
      </c>
      <c r="F264" s="23">
        <v>56</v>
      </c>
      <c r="G264" s="23">
        <v>566.5</v>
      </c>
      <c r="H264" s="23">
        <v>5.9939999999999998</v>
      </c>
      <c r="I264" s="13">
        <f t="shared" si="4"/>
        <v>1.3751785714285716</v>
      </c>
    </row>
    <row r="265" spans="2:9">
      <c r="C265" s="33">
        <v>1.9990000000000001</v>
      </c>
      <c r="D265" s="23">
        <v>109.1</v>
      </c>
      <c r="E265" s="23">
        <v>79</v>
      </c>
      <c r="F265" s="23">
        <v>55.33</v>
      </c>
      <c r="G265" s="23">
        <v>568.70000000000005</v>
      </c>
      <c r="H265" s="23">
        <v>6.1</v>
      </c>
      <c r="I265" s="13">
        <f t="shared" si="4"/>
        <v>1.4277968552322429</v>
      </c>
    </row>
    <row r="266" spans="2:9">
      <c r="C266" s="33">
        <v>1.9450000000000001</v>
      </c>
      <c r="D266" s="23">
        <v>120.9</v>
      </c>
      <c r="E266" s="23">
        <v>79.03</v>
      </c>
      <c r="F266" s="23">
        <v>55.69</v>
      </c>
      <c r="G266" s="23">
        <v>569</v>
      </c>
      <c r="H266" s="23">
        <v>5.8959999999999999</v>
      </c>
      <c r="I266" s="13">
        <f t="shared" si="4"/>
        <v>1.4191057640509968</v>
      </c>
    </row>
    <row r="267" spans="2:9">
      <c r="C267" s="33">
        <v>1.8620000000000001</v>
      </c>
      <c r="D267" s="23">
        <v>133.1</v>
      </c>
      <c r="E267" s="23">
        <v>78.34</v>
      </c>
      <c r="F267" s="23">
        <v>55.01</v>
      </c>
      <c r="G267" s="23">
        <v>568.5</v>
      </c>
      <c r="H267" s="23">
        <v>5.5890000000000004</v>
      </c>
      <c r="I267" s="13">
        <f t="shared" si="4"/>
        <v>1.4241047082348666</v>
      </c>
    </row>
    <row r="268" spans="2:9">
      <c r="C268" s="33">
        <v>1.9370000000000001</v>
      </c>
      <c r="D268" s="23">
        <v>91.33</v>
      </c>
      <c r="E268" s="23">
        <v>78</v>
      </c>
      <c r="F268" s="23">
        <v>55</v>
      </c>
      <c r="G268" s="23">
        <v>565.9</v>
      </c>
      <c r="H268" s="23">
        <v>5.16</v>
      </c>
      <c r="I268" s="13">
        <f t="shared" si="4"/>
        <v>1.4181818181818182</v>
      </c>
    </row>
    <row r="269" spans="2:9">
      <c r="C269" s="33">
        <v>1.9630000000000001</v>
      </c>
      <c r="D269" s="23">
        <v>93.95</v>
      </c>
      <c r="E269" s="23">
        <v>79.67</v>
      </c>
      <c r="F269" s="23">
        <v>55.01</v>
      </c>
      <c r="G269" s="23">
        <v>567.29999999999995</v>
      </c>
      <c r="H269" s="23">
        <v>5.38</v>
      </c>
      <c r="I269" s="13">
        <f t="shared" si="4"/>
        <v>1.4482821305217235</v>
      </c>
    </row>
    <row r="270" spans="2:9">
      <c r="C270" s="33">
        <v>1.8420000000000001</v>
      </c>
      <c r="D270" s="23">
        <v>109.1</v>
      </c>
      <c r="E270" s="23">
        <v>78.010000000000005</v>
      </c>
      <c r="F270" s="23">
        <v>55.32</v>
      </c>
      <c r="G270" s="23">
        <v>571.70000000000005</v>
      </c>
      <c r="H270" s="23">
        <v>5.79</v>
      </c>
      <c r="I270" s="13">
        <f t="shared" si="4"/>
        <v>1.4101590744757775</v>
      </c>
    </row>
    <row r="271" spans="2:9">
      <c r="C271" s="33">
        <v>1.903</v>
      </c>
      <c r="D271" s="23">
        <v>104.5</v>
      </c>
      <c r="E271" s="23">
        <v>80.34</v>
      </c>
      <c r="F271" s="23">
        <v>55.37</v>
      </c>
      <c r="G271" s="23">
        <v>572.70000000000005</v>
      </c>
      <c r="H271" s="23">
        <v>5.75</v>
      </c>
      <c r="I271" s="13">
        <f t="shared" si="4"/>
        <v>1.4509662271988442</v>
      </c>
    </row>
    <row r="272" spans="2:9">
      <c r="C272" s="33">
        <v>2.004</v>
      </c>
      <c r="D272" s="23">
        <v>95.7</v>
      </c>
      <c r="E272" s="23">
        <v>79.34</v>
      </c>
      <c r="F272" s="23">
        <v>55.03</v>
      </c>
      <c r="G272" s="23">
        <v>570.70000000000005</v>
      </c>
      <c r="H272" s="23">
        <v>6.17</v>
      </c>
      <c r="I272" s="13">
        <f t="shared" si="4"/>
        <v>1.4417590405233509</v>
      </c>
    </row>
    <row r="273" spans="2:9">
      <c r="C273" s="33">
        <v>2.0169999999999999</v>
      </c>
      <c r="D273" s="23">
        <v>100.9</v>
      </c>
      <c r="E273" s="23">
        <v>78.33</v>
      </c>
      <c r="F273" s="23">
        <v>55.35</v>
      </c>
      <c r="G273" s="23">
        <v>566.1</v>
      </c>
      <c r="H273" s="23">
        <v>5.9</v>
      </c>
      <c r="I273" s="13">
        <f t="shared" si="4"/>
        <v>1.4151761517615176</v>
      </c>
    </row>
    <row r="274" spans="2:9">
      <c r="C274" s="33">
        <v>2.004</v>
      </c>
      <c r="D274" s="23">
        <v>91.33</v>
      </c>
      <c r="E274" s="23">
        <v>80.34</v>
      </c>
      <c r="F274" s="23">
        <v>55.67</v>
      </c>
      <c r="G274" s="23">
        <v>562.9</v>
      </c>
      <c r="H274" s="23">
        <v>6.1</v>
      </c>
      <c r="I274" s="13">
        <f t="shared" si="4"/>
        <v>1.4431471169391055</v>
      </c>
    </row>
    <row r="275" spans="2:9">
      <c r="C275" s="33">
        <v>1.901</v>
      </c>
      <c r="D275" s="23">
        <v>90.5</v>
      </c>
      <c r="E275" s="23">
        <v>80</v>
      </c>
      <c r="F275" s="23">
        <v>56</v>
      </c>
      <c r="G275" s="23">
        <v>563.9</v>
      </c>
      <c r="H275" s="23">
        <v>5.16</v>
      </c>
      <c r="I275" s="13">
        <f t="shared" si="4"/>
        <v>1.4285714285714286</v>
      </c>
    </row>
    <row r="276" spans="2:9">
      <c r="C276" s="33">
        <v>1.9990000000000001</v>
      </c>
      <c r="D276" s="23">
        <v>109.3</v>
      </c>
      <c r="E276" s="23">
        <v>79</v>
      </c>
      <c r="F276" s="23">
        <v>55.68</v>
      </c>
      <c r="G276" s="23">
        <v>567</v>
      </c>
      <c r="H276" s="23">
        <v>5.5890000000000004</v>
      </c>
      <c r="I276" s="13">
        <f t="shared" si="4"/>
        <v>1.4188218390804597</v>
      </c>
    </row>
    <row r="277" spans="2:9">
      <c r="C277" s="33">
        <v>2.0550000000000002</v>
      </c>
      <c r="D277" s="23">
        <v>120</v>
      </c>
      <c r="E277" s="23">
        <v>79.010000000000005</v>
      </c>
      <c r="F277" s="23">
        <v>56</v>
      </c>
      <c r="G277" s="23">
        <v>567.4</v>
      </c>
      <c r="H277" s="23">
        <v>5.1710000000000003</v>
      </c>
      <c r="I277" s="13">
        <f t="shared" si="4"/>
        <v>1.4108928571428572</v>
      </c>
    </row>
    <row r="278" spans="2:9">
      <c r="C278" s="33">
        <v>2.0790000000000002</v>
      </c>
      <c r="D278" s="23">
        <v>100.4</v>
      </c>
      <c r="E278" s="23">
        <v>79.67</v>
      </c>
      <c r="F278" s="23">
        <v>55.35</v>
      </c>
      <c r="G278" s="23">
        <v>565.20000000000005</v>
      </c>
      <c r="H278" s="23">
        <v>5.633</v>
      </c>
      <c r="I278" s="13">
        <f t="shared" si="4"/>
        <v>1.4393857271906052</v>
      </c>
    </row>
    <row r="279" spans="2:9">
      <c r="C279" s="33">
        <v>2.0960000000000001</v>
      </c>
      <c r="D279" s="23">
        <v>90.85</v>
      </c>
      <c r="E279" s="23">
        <v>78.680000000000007</v>
      </c>
      <c r="F279" s="23">
        <v>55.68</v>
      </c>
      <c r="G279" s="23">
        <v>566.29999999999995</v>
      </c>
      <c r="H279" s="23">
        <v>5.992</v>
      </c>
      <c r="I279" s="13">
        <f t="shared" si="4"/>
        <v>1.4130747126436782</v>
      </c>
    </row>
    <row r="280" spans="2:9">
      <c r="C280" s="33">
        <v>2.08</v>
      </c>
      <c r="D280" s="23">
        <v>116.9</v>
      </c>
      <c r="E280" s="23">
        <v>80.45</v>
      </c>
      <c r="F280" s="23">
        <v>55.67</v>
      </c>
      <c r="G280" s="23">
        <v>574.29999999999995</v>
      </c>
      <c r="H280" s="23">
        <v>6.33</v>
      </c>
      <c r="I280" s="13">
        <f t="shared" si="4"/>
        <v>1.4451230465241602</v>
      </c>
    </row>
    <row r="281" spans="2:9">
      <c r="C281" s="33">
        <v>2.0880000000000001</v>
      </c>
      <c r="D281" s="23">
        <v>98.49</v>
      </c>
      <c r="E281" s="23">
        <v>80.400000000000006</v>
      </c>
      <c r="F281" s="23">
        <v>55.45</v>
      </c>
      <c r="G281" s="23">
        <v>566.9</v>
      </c>
      <c r="H281" s="23">
        <v>5.5890000000000004</v>
      </c>
      <c r="I281" s="13">
        <f t="shared" si="4"/>
        <v>1.4499549143372408</v>
      </c>
    </row>
    <row r="282" spans="2:9">
      <c r="B282" s="35">
        <v>15</v>
      </c>
      <c r="C282" s="36">
        <v>1.9570000000000001</v>
      </c>
      <c r="D282" s="38">
        <v>171.6</v>
      </c>
      <c r="E282" s="38">
        <v>88.93</v>
      </c>
      <c r="F282" s="38">
        <v>35.99</v>
      </c>
      <c r="G282" s="38">
        <v>526</v>
      </c>
      <c r="H282" s="38">
        <v>3.3079999999999998</v>
      </c>
      <c r="I282" s="13">
        <f t="shared" si="4"/>
        <v>2.4709641567101972</v>
      </c>
    </row>
    <row r="283" spans="2:9">
      <c r="C283" s="33">
        <v>1.7749999999999999</v>
      </c>
      <c r="D283" s="23">
        <v>167.1</v>
      </c>
      <c r="E283" s="23">
        <v>88.95</v>
      </c>
      <c r="F283" s="23">
        <v>35.51</v>
      </c>
      <c r="G283" s="23">
        <v>526.29999999999995</v>
      </c>
      <c r="H283" s="23">
        <v>3.24</v>
      </c>
      <c r="I283" s="13">
        <f t="shared" si="4"/>
        <v>2.5049281892424671</v>
      </c>
    </row>
    <row r="284" spans="2:9">
      <c r="C284" s="33">
        <v>1.827</v>
      </c>
      <c r="D284" s="23">
        <v>185.2</v>
      </c>
      <c r="E284" s="23">
        <v>89.02</v>
      </c>
      <c r="F284" s="23">
        <v>35.630000000000003</v>
      </c>
      <c r="G284" s="23">
        <v>524.79999999999995</v>
      </c>
      <c r="H284" s="23">
        <v>3.2</v>
      </c>
      <c r="I284" s="13">
        <f t="shared" si="4"/>
        <v>2.4984563570025258</v>
      </c>
    </row>
    <row r="285" spans="2:9">
      <c r="C285" s="33">
        <v>1.8080000000000001</v>
      </c>
      <c r="D285" s="23">
        <v>187.7</v>
      </c>
      <c r="E285" s="23">
        <v>89.57</v>
      </c>
      <c r="F285" s="23">
        <v>35.81</v>
      </c>
      <c r="G285" s="23">
        <v>525.5</v>
      </c>
      <c r="H285" s="23">
        <v>3.2639999999999998</v>
      </c>
      <c r="I285" s="13">
        <f t="shared" si="4"/>
        <v>2.5012566322256351</v>
      </c>
    </row>
    <row r="286" spans="2:9">
      <c r="C286" s="33">
        <v>1.901</v>
      </c>
      <c r="D286" s="23">
        <v>174.6</v>
      </c>
      <c r="E286" s="23">
        <v>89.71</v>
      </c>
      <c r="F286" s="23">
        <v>35.450000000000003</v>
      </c>
      <c r="G286" s="23">
        <v>525.70000000000005</v>
      </c>
      <c r="H286" s="23">
        <v>3.3929999999999998</v>
      </c>
      <c r="I286" s="13">
        <f t="shared" si="4"/>
        <v>2.5306064880112831</v>
      </c>
    </row>
    <row r="287" spans="2:9">
      <c r="C287" s="33">
        <v>1.9239999999999999</v>
      </c>
      <c r="D287" s="23">
        <v>167.1</v>
      </c>
      <c r="E287" s="23">
        <v>89.89</v>
      </c>
      <c r="F287" s="23">
        <v>35.520000000000003</v>
      </c>
      <c r="G287" s="23">
        <v>526.20000000000005</v>
      </c>
      <c r="H287" s="23">
        <v>3.121</v>
      </c>
      <c r="I287" s="13">
        <f t="shared" si="4"/>
        <v>2.5306869369369367</v>
      </c>
    </row>
    <row r="288" spans="2:9">
      <c r="C288" s="33">
        <v>1.881</v>
      </c>
      <c r="D288" s="23">
        <v>171.5</v>
      </c>
      <c r="E288" s="23">
        <v>89.74</v>
      </c>
      <c r="F288" s="23">
        <v>35.6</v>
      </c>
      <c r="G288" s="23">
        <v>525.5</v>
      </c>
      <c r="H288" s="23">
        <v>3.0089999999999999</v>
      </c>
      <c r="I288" s="13">
        <f t="shared" si="4"/>
        <v>2.5207865168539323</v>
      </c>
    </row>
    <row r="289" spans="2:9">
      <c r="C289" s="33">
        <v>1.827</v>
      </c>
      <c r="D289" s="23">
        <v>153.9</v>
      </c>
      <c r="E289" s="23">
        <v>89.55</v>
      </c>
      <c r="F289" s="23">
        <v>35.76</v>
      </c>
      <c r="G289" s="23">
        <v>527.9</v>
      </c>
      <c r="H289" s="23">
        <v>3.3079999999999998</v>
      </c>
      <c r="I289" s="13">
        <f t="shared" si="4"/>
        <v>2.5041946308724832</v>
      </c>
    </row>
    <row r="290" spans="2:9">
      <c r="C290" s="33">
        <v>1.81</v>
      </c>
      <c r="D290" s="23">
        <v>168.9</v>
      </c>
      <c r="E290" s="23">
        <v>89.7</v>
      </c>
      <c r="F290" s="23">
        <v>35.94</v>
      </c>
      <c r="G290" s="23">
        <v>527.70000000000005</v>
      </c>
      <c r="H290" s="23">
        <v>3.2919999999999998</v>
      </c>
      <c r="I290" s="13">
        <f t="shared" si="4"/>
        <v>2.4958263772954927</v>
      </c>
    </row>
    <row r="291" spans="2:9">
      <c r="C291" s="33">
        <v>1.72</v>
      </c>
      <c r="D291" s="23">
        <v>168.1</v>
      </c>
      <c r="E291" s="23">
        <v>89.81</v>
      </c>
      <c r="F291" s="23">
        <v>36.119999999999997</v>
      </c>
      <c r="G291" s="23">
        <v>530.79999999999995</v>
      </c>
      <c r="H291" s="23">
        <v>3.1349999999999998</v>
      </c>
      <c r="I291" s="13">
        <f t="shared" si="4"/>
        <v>2.4864341085271322</v>
      </c>
    </row>
    <row r="292" spans="2:9">
      <c r="C292" s="33">
        <v>1.6819999999999999</v>
      </c>
      <c r="D292" s="23">
        <v>187.7</v>
      </c>
      <c r="E292" s="23">
        <v>89.74</v>
      </c>
      <c r="F292" s="23">
        <v>35.200000000000003</v>
      </c>
      <c r="G292" s="23">
        <v>530.9</v>
      </c>
      <c r="H292" s="23">
        <v>3.069</v>
      </c>
      <c r="I292" s="13">
        <f t="shared" si="4"/>
        <v>2.5494318181818176</v>
      </c>
    </row>
    <row r="293" spans="2:9">
      <c r="C293" s="33">
        <v>1.901</v>
      </c>
      <c r="D293" s="23">
        <v>158.4</v>
      </c>
      <c r="E293" s="23">
        <v>89.59</v>
      </c>
      <c r="F293" s="23">
        <v>35.42</v>
      </c>
      <c r="G293" s="23">
        <v>529.29999999999995</v>
      </c>
      <c r="H293" s="23">
        <v>3.5230000000000001</v>
      </c>
      <c r="I293" s="13">
        <f t="shared" si="4"/>
        <v>2.5293619424054206</v>
      </c>
    </row>
    <row r="294" spans="2:9">
      <c r="C294" s="33">
        <v>1.9239999999999999</v>
      </c>
      <c r="D294" s="23">
        <v>171.6</v>
      </c>
      <c r="E294" s="23">
        <v>89.49</v>
      </c>
      <c r="F294" s="23">
        <v>34.93</v>
      </c>
      <c r="G294" s="23">
        <v>526.20000000000005</v>
      </c>
      <c r="H294" s="23">
        <v>2.9350000000000001</v>
      </c>
      <c r="I294" s="13">
        <f t="shared" si="4"/>
        <v>2.5619811050672774</v>
      </c>
    </row>
    <row r="295" spans="2:9">
      <c r="C295" s="33">
        <v>1.9830000000000001</v>
      </c>
      <c r="D295" s="23">
        <v>164.4</v>
      </c>
      <c r="E295" s="23">
        <v>89.66</v>
      </c>
      <c r="F295" s="23">
        <v>34.96</v>
      </c>
      <c r="G295" s="23">
        <v>523.6</v>
      </c>
      <c r="H295" s="23">
        <v>2.964</v>
      </c>
      <c r="I295" s="13">
        <f t="shared" si="4"/>
        <v>2.5646453089244852</v>
      </c>
    </row>
    <row r="296" spans="2:9">
      <c r="C296" s="33">
        <v>1.9570000000000001</v>
      </c>
      <c r="D296" s="23">
        <v>195.4</v>
      </c>
      <c r="E296" s="23">
        <v>89.7</v>
      </c>
      <c r="F296" s="23">
        <v>35.380000000000003</v>
      </c>
      <c r="G296" s="23">
        <v>523.5</v>
      </c>
      <c r="H296" s="23">
        <v>3.1539999999999999</v>
      </c>
      <c r="I296" s="13">
        <f t="shared" si="4"/>
        <v>2.5353306953080836</v>
      </c>
    </row>
    <row r="297" spans="2:9">
      <c r="C297" s="33">
        <v>1.95</v>
      </c>
      <c r="D297" s="23">
        <v>169.7</v>
      </c>
      <c r="E297" s="23">
        <v>89.1</v>
      </c>
      <c r="F297" s="23">
        <v>34.869999999999997</v>
      </c>
      <c r="G297" s="23">
        <v>527.9</v>
      </c>
      <c r="H297" s="23">
        <v>3.23</v>
      </c>
      <c r="I297" s="13">
        <f t="shared" si="4"/>
        <v>2.5552050473186121</v>
      </c>
    </row>
    <row r="298" spans="2:9">
      <c r="C298" s="33">
        <v>1.921</v>
      </c>
      <c r="D298" s="23">
        <v>183.9</v>
      </c>
      <c r="E298" s="23">
        <v>88.87</v>
      </c>
      <c r="F298" s="23">
        <v>34.979999999999997</v>
      </c>
      <c r="G298" s="23">
        <v>528.79999999999995</v>
      </c>
      <c r="H298" s="23">
        <v>3.2090000000000001</v>
      </c>
      <c r="I298" s="13">
        <f t="shared" si="4"/>
        <v>2.5405946255002863</v>
      </c>
    </row>
    <row r="299" spans="2:9">
      <c r="C299" s="33">
        <v>1.9219999999999999</v>
      </c>
      <c r="D299" s="23">
        <v>162.5</v>
      </c>
      <c r="E299" s="23">
        <v>89.53</v>
      </c>
      <c r="F299" s="23">
        <v>35.21</v>
      </c>
      <c r="G299" s="23">
        <v>533.20000000000005</v>
      </c>
      <c r="H299" s="23">
        <v>3.2309999999999999</v>
      </c>
      <c r="I299" s="13">
        <f t="shared" si="4"/>
        <v>2.5427435387673958</v>
      </c>
    </row>
    <row r="300" spans="2:9">
      <c r="C300" s="33">
        <v>1.9390000000000001</v>
      </c>
      <c r="D300" s="23">
        <v>151.6</v>
      </c>
      <c r="E300" s="23">
        <v>89.24</v>
      </c>
      <c r="F300" s="23">
        <v>35.03</v>
      </c>
      <c r="G300" s="23">
        <v>532.4</v>
      </c>
      <c r="H300" s="23">
        <v>3.214</v>
      </c>
      <c r="I300" s="13">
        <f t="shared" si="4"/>
        <v>2.5475306879817299</v>
      </c>
    </row>
    <row r="301" spans="2:9">
      <c r="C301" s="33">
        <v>1.9830000000000001</v>
      </c>
      <c r="D301" s="23">
        <v>161.5</v>
      </c>
      <c r="E301" s="23">
        <v>89.1</v>
      </c>
      <c r="F301" s="23">
        <v>35.159999999999997</v>
      </c>
      <c r="G301" s="23">
        <v>529.1</v>
      </c>
      <c r="H301" s="23">
        <v>3.3540000000000001</v>
      </c>
      <c r="I301" s="13">
        <f t="shared" si="4"/>
        <v>2.5341296928327646</v>
      </c>
    </row>
    <row r="302" spans="2:9">
      <c r="B302" s="35">
        <v>16</v>
      </c>
      <c r="C302" s="36">
        <v>2.2879999999999998</v>
      </c>
      <c r="D302" s="37">
        <v>138.16999999999999</v>
      </c>
      <c r="E302" s="38">
        <v>106.7</v>
      </c>
      <c r="F302" s="38">
        <v>28</v>
      </c>
      <c r="G302" s="38">
        <v>584.9</v>
      </c>
      <c r="H302" s="38">
        <v>3.2669999999999999</v>
      </c>
      <c r="I302" s="13">
        <f t="shared" si="4"/>
        <v>3.8107142857142859</v>
      </c>
    </row>
    <row r="303" spans="2:9">
      <c r="C303" s="33">
        <v>2.25</v>
      </c>
      <c r="D303" s="34">
        <v>127.74</v>
      </c>
      <c r="E303" s="23">
        <v>106.5</v>
      </c>
      <c r="F303" s="23">
        <v>28.12</v>
      </c>
      <c r="G303" s="23">
        <v>584.29999999999995</v>
      </c>
      <c r="H303" s="23">
        <v>2.8039999999999998</v>
      </c>
      <c r="I303" s="13">
        <f t="shared" si="4"/>
        <v>3.7873399715504976</v>
      </c>
    </row>
    <row r="304" spans="2:9">
      <c r="C304" s="33">
        <v>2.31</v>
      </c>
      <c r="D304" s="34">
        <v>118.84</v>
      </c>
      <c r="E304" s="23">
        <v>106</v>
      </c>
      <c r="F304" s="23">
        <v>28.19</v>
      </c>
      <c r="G304" s="23">
        <v>593.4</v>
      </c>
      <c r="H304" s="23">
        <v>2.89</v>
      </c>
      <c r="I304" s="13">
        <f t="shared" si="4"/>
        <v>3.7601986520042567</v>
      </c>
    </row>
    <row r="305" spans="3:9">
      <c r="C305" s="33">
        <v>2.35</v>
      </c>
      <c r="D305" s="34">
        <v>128.21</v>
      </c>
      <c r="E305" s="23">
        <v>106.6</v>
      </c>
      <c r="F305" s="23">
        <v>28.3</v>
      </c>
      <c r="G305" s="23">
        <v>584.29999999999995</v>
      </c>
      <c r="H305" s="23">
        <v>3.0529999999999999</v>
      </c>
      <c r="I305" s="13">
        <f t="shared" si="4"/>
        <v>3.7667844522968195</v>
      </c>
    </row>
    <row r="306" spans="3:9">
      <c r="C306" s="33">
        <v>2.3650000000000002</v>
      </c>
      <c r="D306" s="34">
        <v>151.69999999999999</v>
      </c>
      <c r="E306" s="23">
        <v>106.5</v>
      </c>
      <c r="F306" s="23">
        <v>28.34</v>
      </c>
      <c r="G306" s="23">
        <v>586</v>
      </c>
      <c r="H306" s="23">
        <v>3.359</v>
      </c>
      <c r="I306" s="13">
        <f t="shared" si="4"/>
        <v>3.7579393083980239</v>
      </c>
    </row>
    <row r="307" spans="3:9">
      <c r="C307" s="33">
        <v>2.3460000000000001</v>
      </c>
      <c r="D307" s="34">
        <v>123.3</v>
      </c>
      <c r="E307" s="23">
        <v>106.4</v>
      </c>
      <c r="F307" s="23">
        <v>27.59</v>
      </c>
      <c r="G307" s="23">
        <v>589.6</v>
      </c>
      <c r="H307" s="23">
        <v>3.512</v>
      </c>
      <c r="I307" s="13">
        <f t="shared" si="4"/>
        <v>3.8564697354113813</v>
      </c>
    </row>
    <row r="308" spans="3:9">
      <c r="C308" s="33">
        <v>2.3420000000000001</v>
      </c>
      <c r="D308" s="34">
        <v>122.46</v>
      </c>
      <c r="E308" s="23">
        <v>106.6</v>
      </c>
      <c r="F308" s="23">
        <v>27.74</v>
      </c>
      <c r="G308" s="23">
        <v>591.6</v>
      </c>
      <c r="H308" s="23">
        <v>3.141</v>
      </c>
      <c r="I308" s="13">
        <f t="shared" si="4"/>
        <v>3.8428262436914205</v>
      </c>
    </row>
    <row r="309" spans="3:9">
      <c r="C309" s="33">
        <v>2.35</v>
      </c>
      <c r="D309" s="34">
        <v>127.33</v>
      </c>
      <c r="E309" s="23">
        <v>106.8</v>
      </c>
      <c r="F309" s="23">
        <v>28</v>
      </c>
      <c r="G309" s="23">
        <v>581.6</v>
      </c>
      <c r="H309" s="23">
        <v>3.0110000000000001</v>
      </c>
      <c r="I309" s="13">
        <f t="shared" si="4"/>
        <v>3.8142857142857141</v>
      </c>
    </row>
    <row r="310" spans="3:9">
      <c r="C310" s="33">
        <v>2.3679999999999999</v>
      </c>
      <c r="D310" s="34">
        <v>135.19999999999999</v>
      </c>
      <c r="E310" s="23">
        <v>106.7</v>
      </c>
      <c r="F310" s="23">
        <v>28.71</v>
      </c>
      <c r="G310" s="23">
        <v>583.6</v>
      </c>
      <c r="H310" s="23">
        <v>3.2570000000000001</v>
      </c>
      <c r="I310" s="13">
        <f t="shared" si="4"/>
        <v>3.7164750957854404</v>
      </c>
    </row>
    <row r="311" spans="3:9">
      <c r="C311" s="33">
        <v>2.3559999999999999</v>
      </c>
      <c r="D311" s="34">
        <v>121.83</v>
      </c>
      <c r="E311" s="23">
        <v>106.9</v>
      </c>
      <c r="F311" s="23">
        <v>27.76</v>
      </c>
      <c r="G311" s="23">
        <v>590.20000000000005</v>
      </c>
      <c r="H311" s="23">
        <v>3.0529999999999999</v>
      </c>
      <c r="I311" s="13">
        <f t="shared" si="4"/>
        <v>3.8508645533141208</v>
      </c>
    </row>
    <row r="312" spans="3:9">
      <c r="C312" s="33">
        <v>2.3460000000000001</v>
      </c>
      <c r="D312" s="34">
        <v>119.25</v>
      </c>
      <c r="E312" s="23">
        <v>106.8</v>
      </c>
      <c r="F312" s="23">
        <v>28.14</v>
      </c>
      <c r="G312" s="23">
        <v>578.70000000000005</v>
      </c>
      <c r="H312" s="23">
        <v>3.085</v>
      </c>
      <c r="I312" s="13">
        <f t="shared" si="4"/>
        <v>3.7953091684434965</v>
      </c>
    </row>
    <row r="313" spans="3:9">
      <c r="C313" s="33">
        <v>2.3460000000000001</v>
      </c>
      <c r="D313" s="34">
        <v>140.68</v>
      </c>
      <c r="E313" s="23">
        <v>106.7</v>
      </c>
      <c r="F313" s="23">
        <v>28.17</v>
      </c>
      <c r="G313" s="23">
        <v>590</v>
      </c>
      <c r="H313" s="23">
        <v>2.9849999999999999</v>
      </c>
      <c r="I313" s="13">
        <f t="shared" si="4"/>
        <v>3.7877174298899536</v>
      </c>
    </row>
    <row r="314" spans="3:9">
      <c r="C314" s="33">
        <v>2.3069999999999999</v>
      </c>
      <c r="D314" s="34">
        <v>120.56</v>
      </c>
      <c r="E314" s="23">
        <v>106.4</v>
      </c>
      <c r="F314" s="23">
        <v>28.32</v>
      </c>
      <c r="G314" s="23">
        <v>582.29999999999995</v>
      </c>
      <c r="H314" s="23">
        <v>2.9449999999999998</v>
      </c>
      <c r="I314" s="13">
        <f t="shared" si="4"/>
        <v>3.7570621468926557</v>
      </c>
    </row>
    <row r="315" spans="3:9">
      <c r="C315" s="33">
        <v>2.3199999999999998</v>
      </c>
      <c r="D315" s="34">
        <v>121.83</v>
      </c>
      <c r="E315" s="23">
        <v>106.2</v>
      </c>
      <c r="F315" s="23">
        <v>28.2</v>
      </c>
      <c r="G315" s="23">
        <v>583.79999999999995</v>
      </c>
      <c r="H315" s="23">
        <v>3.0110000000000001</v>
      </c>
      <c r="I315" s="13">
        <f t="shared" si="4"/>
        <v>3.7659574468085109</v>
      </c>
    </row>
    <row r="316" spans="3:9">
      <c r="C316" s="33">
        <v>2.3239999999999998</v>
      </c>
      <c r="D316" s="34">
        <v>133.85</v>
      </c>
      <c r="E316" s="23">
        <v>107</v>
      </c>
      <c r="F316" s="23">
        <v>28.35</v>
      </c>
      <c r="G316" s="23">
        <v>578</v>
      </c>
      <c r="H316" s="23">
        <v>3.359</v>
      </c>
      <c r="I316" s="13">
        <f t="shared" si="4"/>
        <v>3.7742504409171076</v>
      </c>
    </row>
    <row r="317" spans="3:9">
      <c r="C317" s="33">
        <v>2.3180000000000001</v>
      </c>
      <c r="D317" s="34">
        <v>150.9</v>
      </c>
      <c r="E317" s="23">
        <v>107.1</v>
      </c>
      <c r="F317" s="23">
        <v>28.61</v>
      </c>
      <c r="G317" s="23">
        <v>586.79999999999995</v>
      </c>
      <c r="H317" s="23">
        <v>3.468</v>
      </c>
      <c r="I317" s="13">
        <f t="shared" si="4"/>
        <v>3.743446347430968</v>
      </c>
    </row>
    <row r="318" spans="3:9">
      <c r="C318" s="33">
        <v>2.3650000000000002</v>
      </c>
      <c r="D318" s="34">
        <v>124.93</v>
      </c>
      <c r="E318" s="23">
        <v>107.2</v>
      </c>
      <c r="F318" s="23">
        <v>28.38</v>
      </c>
      <c r="G318" s="23">
        <v>589.20000000000005</v>
      </c>
      <c r="H318" s="23">
        <v>3.2530000000000001</v>
      </c>
      <c r="I318" s="13">
        <f t="shared" si="4"/>
        <v>3.7773079633544753</v>
      </c>
    </row>
    <row r="319" spans="3:9">
      <c r="C319" s="33">
        <v>2.3679999999999999</v>
      </c>
      <c r="D319" s="34">
        <v>136.71</v>
      </c>
      <c r="E319" s="23">
        <v>107</v>
      </c>
      <c r="F319" s="23">
        <v>28.15</v>
      </c>
      <c r="G319" s="23">
        <v>581.6</v>
      </c>
      <c r="H319" s="23">
        <v>3.085</v>
      </c>
      <c r="I319" s="13">
        <f t="shared" si="4"/>
        <v>3.8010657193605684</v>
      </c>
    </row>
    <row r="320" spans="3:9">
      <c r="C320" s="33">
        <v>2.3570000000000002</v>
      </c>
      <c r="D320" s="34">
        <v>123.23</v>
      </c>
      <c r="E320" s="23">
        <v>106.7</v>
      </c>
      <c r="F320" s="23">
        <v>28</v>
      </c>
      <c r="G320" s="23">
        <v>574.70000000000005</v>
      </c>
      <c r="H320" s="23">
        <v>2.9950000000000001</v>
      </c>
      <c r="I320" s="13">
        <f t="shared" si="4"/>
        <v>3.8107142857142859</v>
      </c>
    </row>
    <row r="321" spans="2:9">
      <c r="C321" s="33">
        <v>2.335</v>
      </c>
      <c r="D321" s="34">
        <v>119.46</v>
      </c>
      <c r="E321" s="23">
        <v>106.6</v>
      </c>
      <c r="F321" s="23">
        <v>28.12</v>
      </c>
      <c r="G321" s="23">
        <v>584.70000000000005</v>
      </c>
      <c r="H321" s="23">
        <v>3.0790000000000002</v>
      </c>
      <c r="I321" s="13">
        <f t="shared" si="4"/>
        <v>3.7908961593172115</v>
      </c>
    </row>
    <row r="322" spans="2:9">
      <c r="B322" s="35">
        <v>17</v>
      </c>
      <c r="C322" s="36">
        <v>2.2440000000000002</v>
      </c>
      <c r="D322" s="38">
        <v>181</v>
      </c>
      <c r="E322" s="38">
        <v>107.7</v>
      </c>
      <c r="F322" s="38">
        <v>28.29</v>
      </c>
      <c r="G322" s="38">
        <v>541.4</v>
      </c>
      <c r="H322" s="38">
        <v>5.3719999999999999</v>
      </c>
      <c r="I322" s="13">
        <f t="shared" si="4"/>
        <v>3.8069989395546133</v>
      </c>
    </row>
    <row r="323" spans="2:9">
      <c r="C323" s="33">
        <v>2.2839999999999998</v>
      </c>
      <c r="D323" s="23">
        <v>170.4</v>
      </c>
      <c r="E323" s="23">
        <v>108.7</v>
      </c>
      <c r="F323" s="23">
        <v>28.76</v>
      </c>
      <c r="G323" s="23">
        <v>542.9</v>
      </c>
      <c r="H323" s="23">
        <v>5.4189999999999996</v>
      </c>
      <c r="I323" s="13">
        <f t="shared" ref="I323:I386" si="5">E323/F323</f>
        <v>3.7795549374130735</v>
      </c>
    </row>
    <row r="324" spans="2:9">
      <c r="C324" s="33">
        <v>2.157</v>
      </c>
      <c r="D324" s="23">
        <v>167</v>
      </c>
      <c r="E324" s="23">
        <v>108.2</v>
      </c>
      <c r="F324" s="23">
        <v>28.77</v>
      </c>
      <c r="G324" s="23">
        <v>543.6</v>
      </c>
      <c r="H324" s="23">
        <v>5.3979999999999997</v>
      </c>
      <c r="I324" s="13">
        <f t="shared" si="5"/>
        <v>3.7608620090371918</v>
      </c>
    </row>
    <row r="325" spans="2:9">
      <c r="C325" s="33">
        <v>2.0110000000000001</v>
      </c>
      <c r="D325" s="23">
        <v>167</v>
      </c>
      <c r="E325" s="23">
        <v>108.3</v>
      </c>
      <c r="F325" s="23">
        <v>28.35</v>
      </c>
      <c r="G325" s="23">
        <v>544.9</v>
      </c>
      <c r="H325" s="23">
        <v>5.4089999999999998</v>
      </c>
      <c r="I325" s="13">
        <f t="shared" si="5"/>
        <v>3.82010582010582</v>
      </c>
    </row>
    <row r="326" spans="2:9">
      <c r="C326" s="33">
        <v>2.105</v>
      </c>
      <c r="D326" s="23">
        <v>197.1</v>
      </c>
      <c r="E326" s="23">
        <v>107.5</v>
      </c>
      <c r="F326" s="23">
        <v>28.6</v>
      </c>
      <c r="G326" s="23">
        <v>535.29999999999995</v>
      </c>
      <c r="H326" s="23">
        <v>5.4269999999999996</v>
      </c>
      <c r="I326" s="13">
        <f t="shared" si="5"/>
        <v>3.7587412587412588</v>
      </c>
    </row>
    <row r="327" spans="2:9">
      <c r="C327" s="33">
        <v>2.2839999999999998</v>
      </c>
      <c r="D327" s="23">
        <v>199.3</v>
      </c>
      <c r="E327" s="23">
        <v>108.3</v>
      </c>
      <c r="F327" s="23">
        <v>28.57</v>
      </c>
      <c r="G327" s="23">
        <v>532.20000000000005</v>
      </c>
      <c r="H327" s="23">
        <v>5.3789999999999996</v>
      </c>
      <c r="I327" s="13">
        <f t="shared" si="5"/>
        <v>3.7906895344767237</v>
      </c>
    </row>
    <row r="328" spans="2:9">
      <c r="C328" s="33">
        <v>2.3079999999999998</v>
      </c>
      <c r="D328" s="23">
        <v>205.2</v>
      </c>
      <c r="E328" s="23">
        <v>108.5</v>
      </c>
      <c r="F328" s="23">
        <v>28.38</v>
      </c>
      <c r="G328" s="23">
        <v>531.20000000000005</v>
      </c>
      <c r="H328" s="23">
        <v>5.415</v>
      </c>
      <c r="I328" s="13">
        <f t="shared" si="5"/>
        <v>3.8231148696264978</v>
      </c>
    </row>
    <row r="329" spans="2:9">
      <c r="C329" s="33">
        <v>2.29</v>
      </c>
      <c r="D329" s="23">
        <v>200.1</v>
      </c>
      <c r="E329" s="23">
        <v>108.2</v>
      </c>
      <c r="F329" s="23">
        <v>28.43</v>
      </c>
      <c r="G329" s="23">
        <v>537.20000000000005</v>
      </c>
      <c r="H329" s="23">
        <v>5.4480000000000004</v>
      </c>
      <c r="I329" s="13">
        <f t="shared" si="5"/>
        <v>3.8058389025677104</v>
      </c>
    </row>
    <row r="330" spans="2:9">
      <c r="C330" s="33">
        <v>2.2730000000000001</v>
      </c>
      <c r="D330" s="23">
        <v>174.2</v>
      </c>
      <c r="E330" s="23">
        <v>108.5</v>
      </c>
      <c r="F330" s="23">
        <v>27.63</v>
      </c>
      <c r="G330" s="23">
        <v>550.29999999999995</v>
      </c>
      <c r="H330" s="23">
        <v>5.4880000000000004</v>
      </c>
      <c r="I330" s="13">
        <f t="shared" si="5"/>
        <v>3.926891060441549</v>
      </c>
    </row>
    <row r="331" spans="2:9">
      <c r="C331" s="33">
        <v>2.238</v>
      </c>
      <c r="D331" s="23">
        <v>170.4</v>
      </c>
      <c r="E331" s="23">
        <v>108.7</v>
      </c>
      <c r="F331" s="23">
        <v>27.66</v>
      </c>
      <c r="G331" s="23">
        <v>549.70000000000005</v>
      </c>
      <c r="H331" s="23">
        <v>5.444</v>
      </c>
      <c r="I331" s="13">
        <f t="shared" si="5"/>
        <v>3.9298626174981925</v>
      </c>
    </row>
    <row r="332" spans="2:9">
      <c r="C332" s="33">
        <v>2.2730000000000001</v>
      </c>
      <c r="D332" s="23">
        <v>170.1</v>
      </c>
      <c r="E332" s="23">
        <v>108.6</v>
      </c>
      <c r="F332" s="23">
        <v>28.03</v>
      </c>
      <c r="G332" s="23">
        <v>543</v>
      </c>
      <c r="H332" s="23">
        <v>5.4059999999999997</v>
      </c>
      <c r="I332" s="13">
        <f t="shared" si="5"/>
        <v>3.8744202640028536</v>
      </c>
    </row>
    <row r="333" spans="2:9">
      <c r="C333" s="33">
        <v>2.1720000000000002</v>
      </c>
      <c r="D333" s="23">
        <v>181</v>
      </c>
      <c r="E333" s="23">
        <v>108.2</v>
      </c>
      <c r="F333" s="23">
        <v>27.72</v>
      </c>
      <c r="G333" s="23">
        <v>543.4</v>
      </c>
      <c r="H333" s="23">
        <v>5.3209999999999997</v>
      </c>
      <c r="I333" s="13">
        <f t="shared" si="5"/>
        <v>3.9033189033189037</v>
      </c>
    </row>
    <row r="334" spans="2:9">
      <c r="C334" s="33">
        <v>2.2730000000000001</v>
      </c>
      <c r="D334" s="23">
        <v>200.1</v>
      </c>
      <c r="E334" s="23">
        <v>108.1</v>
      </c>
      <c r="F334" s="23">
        <v>27.86</v>
      </c>
      <c r="G334" s="23">
        <v>542.20000000000005</v>
      </c>
      <c r="H334" s="23">
        <v>5.3789999999999996</v>
      </c>
      <c r="I334" s="13">
        <f t="shared" si="5"/>
        <v>3.8801148600143573</v>
      </c>
    </row>
    <row r="335" spans="2:9">
      <c r="C335" s="33">
        <v>2.2440000000000002</v>
      </c>
      <c r="D335" s="23">
        <v>202.9</v>
      </c>
      <c r="E335" s="23">
        <v>108.3</v>
      </c>
      <c r="F335" s="23">
        <v>27.58</v>
      </c>
      <c r="G335" s="23">
        <v>538.1</v>
      </c>
      <c r="H335" s="23">
        <v>5.36</v>
      </c>
      <c r="I335" s="13">
        <f t="shared" si="5"/>
        <v>3.9267585206671503</v>
      </c>
    </row>
    <row r="336" spans="2:9">
      <c r="C336" s="33">
        <v>2.19</v>
      </c>
      <c r="D336" s="23">
        <v>208.2</v>
      </c>
      <c r="E336" s="23">
        <v>108.2</v>
      </c>
      <c r="F336" s="23">
        <v>27.73</v>
      </c>
      <c r="G336" s="23">
        <v>531.4</v>
      </c>
      <c r="H336" s="23">
        <v>5.3540000000000001</v>
      </c>
      <c r="I336" s="13">
        <f t="shared" si="5"/>
        <v>3.9019112874143529</v>
      </c>
    </row>
    <row r="337" spans="2:9">
      <c r="C337" s="33">
        <v>2.157</v>
      </c>
      <c r="D337" s="23">
        <v>201.9</v>
      </c>
      <c r="E337" s="23">
        <v>107.6</v>
      </c>
      <c r="F337" s="23">
        <v>27.45</v>
      </c>
      <c r="G337" s="23">
        <v>528.6</v>
      </c>
      <c r="H337" s="23">
        <v>5.3639999999999999</v>
      </c>
      <c r="I337" s="13">
        <f t="shared" si="5"/>
        <v>3.9198542805100183</v>
      </c>
    </row>
    <row r="338" spans="2:9">
      <c r="C338" s="33">
        <v>2.069</v>
      </c>
      <c r="D338" s="23">
        <v>219.3</v>
      </c>
      <c r="E338" s="23">
        <v>108</v>
      </c>
      <c r="F338" s="23">
        <v>27.19</v>
      </c>
      <c r="G338" s="23">
        <v>538.6</v>
      </c>
      <c r="H338" s="23">
        <v>5.3620000000000001</v>
      </c>
      <c r="I338" s="13">
        <f t="shared" si="5"/>
        <v>3.9720485472600218</v>
      </c>
    </row>
    <row r="339" spans="2:9">
      <c r="C339" s="33">
        <v>2.0110000000000001</v>
      </c>
      <c r="D339" s="23">
        <v>197.1</v>
      </c>
      <c r="E339" s="23">
        <v>108.5</v>
      </c>
      <c r="F339" s="23">
        <v>27.37</v>
      </c>
      <c r="G339" s="23">
        <v>536.20000000000005</v>
      </c>
      <c r="H339" s="23">
        <v>5.3719999999999999</v>
      </c>
      <c r="I339" s="13">
        <f t="shared" si="5"/>
        <v>3.9641943734015346</v>
      </c>
    </row>
    <row r="340" spans="2:9">
      <c r="C340" s="33">
        <v>2.105</v>
      </c>
      <c r="D340" s="23">
        <v>190.3</v>
      </c>
      <c r="E340" s="23">
        <v>108.7</v>
      </c>
      <c r="F340" s="23">
        <v>27.52</v>
      </c>
      <c r="G340" s="23">
        <v>536.70000000000005</v>
      </c>
      <c r="H340" s="23">
        <v>5.4130000000000003</v>
      </c>
      <c r="I340" s="13">
        <f t="shared" si="5"/>
        <v>3.949854651162791</v>
      </c>
    </row>
    <row r="341" spans="2:9">
      <c r="C341" s="33">
        <v>2.19</v>
      </c>
      <c r="D341" s="23">
        <v>201.4</v>
      </c>
      <c r="E341" s="23">
        <v>107.3</v>
      </c>
      <c r="F341" s="23">
        <v>27.87</v>
      </c>
      <c r="G341" s="23">
        <v>538.1</v>
      </c>
      <c r="H341" s="23">
        <v>5.46</v>
      </c>
      <c r="I341" s="13">
        <f t="shared" si="5"/>
        <v>3.8500179404377466</v>
      </c>
    </row>
    <row r="342" spans="2:9">
      <c r="B342" s="35">
        <v>18</v>
      </c>
      <c r="C342" s="36">
        <v>2.3519999999999999</v>
      </c>
      <c r="D342" s="38">
        <v>121.2</v>
      </c>
      <c r="E342" s="38">
        <v>99.34</v>
      </c>
      <c r="F342" s="38">
        <v>36.840000000000003</v>
      </c>
      <c r="G342" s="38">
        <v>595.20000000000005</v>
      </c>
      <c r="H342" s="38">
        <v>4.798</v>
      </c>
      <c r="I342" s="13">
        <f t="shared" si="5"/>
        <v>2.6965255157437564</v>
      </c>
    </row>
    <row r="343" spans="2:9">
      <c r="C343" s="33">
        <v>2.36</v>
      </c>
      <c r="D343" s="23">
        <v>121.8</v>
      </c>
      <c r="E343" s="23">
        <v>97.96</v>
      </c>
      <c r="F343" s="23">
        <v>36.07</v>
      </c>
      <c r="G343" s="23">
        <v>578.29999999999995</v>
      </c>
      <c r="H343" s="23">
        <v>5.03</v>
      </c>
      <c r="I343" s="13">
        <f t="shared" si="5"/>
        <v>2.7158303299140556</v>
      </c>
    </row>
    <row r="344" spans="2:9">
      <c r="C344" s="33">
        <v>2.38</v>
      </c>
      <c r="D344" s="23">
        <v>125.1</v>
      </c>
      <c r="E344" s="23">
        <v>98.12</v>
      </c>
      <c r="F344" s="23">
        <v>36.380000000000003</v>
      </c>
      <c r="G344" s="23">
        <v>580.1</v>
      </c>
      <c r="H344" s="23">
        <v>5.7350000000000003</v>
      </c>
      <c r="I344" s="13">
        <f t="shared" si="5"/>
        <v>2.6970863111599779</v>
      </c>
    </row>
    <row r="345" spans="2:9">
      <c r="C345" s="33">
        <v>2.3860000000000001</v>
      </c>
      <c r="D345" s="23">
        <v>120.4</v>
      </c>
      <c r="E345" s="23">
        <v>98.13</v>
      </c>
      <c r="F345" s="23">
        <v>36.54</v>
      </c>
      <c r="G345" s="23">
        <v>574.79999999999995</v>
      </c>
      <c r="H345" s="23">
        <v>5.0880000000000001</v>
      </c>
      <c r="I345" s="13">
        <f t="shared" si="5"/>
        <v>2.6855500821018063</v>
      </c>
    </row>
    <row r="346" spans="2:9">
      <c r="C346" s="33">
        <v>2.3839999999999999</v>
      </c>
      <c r="D346" s="23">
        <v>111.9</v>
      </c>
      <c r="E346" s="23">
        <v>98.45</v>
      </c>
      <c r="F346" s="23">
        <v>37</v>
      </c>
      <c r="G346" s="23">
        <v>577.29999999999995</v>
      </c>
      <c r="H346" s="23">
        <v>5.4909999999999997</v>
      </c>
      <c r="I346" s="13">
        <f t="shared" si="5"/>
        <v>2.6608108108108111</v>
      </c>
    </row>
    <row r="347" spans="2:9">
      <c r="C347" s="33">
        <v>2.3420000000000001</v>
      </c>
      <c r="D347" s="23">
        <v>117.6</v>
      </c>
      <c r="E347" s="23">
        <v>98.3</v>
      </c>
      <c r="F347" s="23">
        <v>36.840000000000003</v>
      </c>
      <c r="G347" s="23">
        <v>581.5</v>
      </c>
      <c r="H347" s="23">
        <v>6.3220000000000001</v>
      </c>
      <c r="I347" s="13">
        <f t="shared" si="5"/>
        <v>2.6682953311617803</v>
      </c>
    </row>
    <row r="348" spans="2:9">
      <c r="C348" s="33">
        <v>2.3319999999999999</v>
      </c>
      <c r="D348" s="23">
        <v>107.3</v>
      </c>
      <c r="E348" s="23">
        <v>98.46</v>
      </c>
      <c r="F348" s="23">
        <v>36.68</v>
      </c>
      <c r="G348" s="23">
        <v>586.6</v>
      </c>
      <c r="H348" s="23">
        <v>6.968</v>
      </c>
      <c r="I348" s="13">
        <f t="shared" si="5"/>
        <v>2.6842966194111231</v>
      </c>
    </row>
    <row r="349" spans="2:9">
      <c r="C349" s="33">
        <v>2.3079999999999998</v>
      </c>
      <c r="D349" s="23">
        <v>114.8</v>
      </c>
      <c r="E349" s="23">
        <v>98.59</v>
      </c>
      <c r="F349" s="23">
        <v>36.21</v>
      </c>
      <c r="G349" s="23">
        <v>583.5</v>
      </c>
      <c r="H349" s="23">
        <v>6.7119999999999997</v>
      </c>
      <c r="I349" s="13">
        <f t="shared" si="5"/>
        <v>2.7227285280309306</v>
      </c>
    </row>
    <row r="350" spans="2:9">
      <c r="C350" s="33">
        <v>2.294</v>
      </c>
      <c r="D350" s="23">
        <v>133.6</v>
      </c>
      <c r="E350" s="23">
        <v>98.75</v>
      </c>
      <c r="F350" s="23">
        <v>36.68</v>
      </c>
      <c r="G350" s="23">
        <v>581.5</v>
      </c>
      <c r="H350" s="23">
        <v>5.5880000000000001</v>
      </c>
      <c r="I350" s="13">
        <f t="shared" si="5"/>
        <v>2.6922028353326062</v>
      </c>
    </row>
    <row r="351" spans="2:9">
      <c r="C351" s="33">
        <v>2.37</v>
      </c>
      <c r="D351" s="23">
        <v>111</v>
      </c>
      <c r="E351" s="23">
        <v>98.26</v>
      </c>
      <c r="F351" s="23">
        <v>36.520000000000003</v>
      </c>
      <c r="G351" s="23">
        <v>584</v>
      </c>
      <c r="H351" s="23">
        <v>5.6449999999999996</v>
      </c>
      <c r="I351" s="13">
        <f t="shared" si="5"/>
        <v>2.690580503833516</v>
      </c>
    </row>
    <row r="352" spans="2:9">
      <c r="C352" s="33">
        <v>2.38</v>
      </c>
      <c r="D352" s="23">
        <v>127.6</v>
      </c>
      <c r="E352" s="23">
        <v>98.13</v>
      </c>
      <c r="F352" s="23">
        <v>36.22</v>
      </c>
      <c r="G352" s="23">
        <v>582.70000000000005</v>
      </c>
      <c r="H352" s="23">
        <v>6.5069999999999997</v>
      </c>
      <c r="I352" s="13">
        <f t="shared" si="5"/>
        <v>2.7092766427388182</v>
      </c>
    </row>
    <row r="353" spans="2:9">
      <c r="C353" s="33">
        <v>2.36</v>
      </c>
      <c r="D353" s="23">
        <v>88.1</v>
      </c>
      <c r="E353" s="23">
        <v>98.3</v>
      </c>
      <c r="F353" s="23">
        <v>36.880000000000003</v>
      </c>
      <c r="G353" s="23">
        <v>596.5</v>
      </c>
      <c r="H353" s="23">
        <v>7.1959999999999997</v>
      </c>
      <c r="I353" s="13">
        <f t="shared" si="5"/>
        <v>2.6654013015184379</v>
      </c>
    </row>
    <row r="354" spans="2:9">
      <c r="C354" s="33">
        <v>2.367</v>
      </c>
      <c r="D354" s="23">
        <v>65.8</v>
      </c>
      <c r="E354" s="23">
        <v>98.31</v>
      </c>
      <c r="F354" s="23">
        <v>36.99</v>
      </c>
      <c r="G354" s="23">
        <v>590.20000000000005</v>
      </c>
      <c r="H354" s="23">
        <v>7.38</v>
      </c>
      <c r="I354" s="13">
        <f t="shared" si="5"/>
        <v>2.6577453365774533</v>
      </c>
    </row>
    <row r="355" spans="2:9">
      <c r="C355" s="33">
        <v>2.3479999999999999</v>
      </c>
      <c r="D355" s="23">
        <v>111.6</v>
      </c>
      <c r="E355" s="23">
        <v>98.29</v>
      </c>
      <c r="F355" s="23">
        <v>36.83</v>
      </c>
      <c r="G355" s="23">
        <v>595.5</v>
      </c>
      <c r="H355" s="23">
        <v>7.64</v>
      </c>
      <c r="I355" s="13">
        <f t="shared" si="5"/>
        <v>2.6687483030138477</v>
      </c>
    </row>
    <row r="356" spans="2:9">
      <c r="C356" s="33">
        <v>2.3010000000000002</v>
      </c>
      <c r="D356" s="23">
        <v>91.6</v>
      </c>
      <c r="E356" s="23">
        <v>98.78</v>
      </c>
      <c r="F356" s="23">
        <v>36.68</v>
      </c>
      <c r="G356" s="23">
        <v>590.1</v>
      </c>
      <c r="H356" s="23">
        <v>7.1959999999999997</v>
      </c>
      <c r="I356" s="13">
        <f t="shared" si="5"/>
        <v>2.6930207197382772</v>
      </c>
    </row>
    <row r="357" spans="2:9">
      <c r="C357" s="33">
        <v>2.3279999999999998</v>
      </c>
      <c r="D357" s="23">
        <v>125.1</v>
      </c>
      <c r="E357" s="23">
        <v>98.76</v>
      </c>
      <c r="F357" s="23">
        <v>36.54</v>
      </c>
      <c r="G357" s="23">
        <v>589.5</v>
      </c>
      <c r="H357" s="23">
        <v>6.5069999999999997</v>
      </c>
      <c r="I357" s="13">
        <f t="shared" si="5"/>
        <v>2.7027914614121511</v>
      </c>
    </row>
    <row r="358" spans="2:9">
      <c r="C358" s="33">
        <v>2.3159999999999998</v>
      </c>
      <c r="D358" s="23">
        <v>126.4</v>
      </c>
      <c r="E358" s="23">
        <v>98.3</v>
      </c>
      <c r="F358" s="23">
        <v>36.36</v>
      </c>
      <c r="G358" s="23">
        <v>586.5</v>
      </c>
      <c r="H358" s="23">
        <v>7.03</v>
      </c>
      <c r="I358" s="13">
        <f t="shared" si="5"/>
        <v>2.7035203520352034</v>
      </c>
    </row>
    <row r="359" spans="2:9">
      <c r="C359" s="33">
        <v>2.2989999999999999</v>
      </c>
      <c r="D359" s="23">
        <v>117.6</v>
      </c>
      <c r="E359" s="23">
        <v>98.33</v>
      </c>
      <c r="F359" s="23">
        <v>36.21</v>
      </c>
      <c r="G359" s="23">
        <v>585.29999999999995</v>
      </c>
      <c r="H359" s="23">
        <v>6.5069999999999997</v>
      </c>
      <c r="I359" s="13">
        <f t="shared" si="5"/>
        <v>2.7155481911074286</v>
      </c>
    </row>
    <row r="360" spans="2:9">
      <c r="C360" s="33">
        <v>2.266</v>
      </c>
      <c r="D360" s="23">
        <v>113.5</v>
      </c>
      <c r="E360" s="23">
        <v>98.63</v>
      </c>
      <c r="F360" s="23">
        <v>36.36</v>
      </c>
      <c r="G360" s="23">
        <v>580.9</v>
      </c>
      <c r="H360" s="23">
        <v>8.1170000000000009</v>
      </c>
      <c r="I360" s="13">
        <f t="shared" si="5"/>
        <v>2.7125962596259625</v>
      </c>
    </row>
    <row r="361" spans="2:9">
      <c r="C361" s="33">
        <v>2.3479999999999999</v>
      </c>
      <c r="D361" s="23">
        <v>121.8</v>
      </c>
      <c r="E361" s="23">
        <v>98.62</v>
      </c>
      <c r="F361" s="23">
        <v>36.049999999999997</v>
      </c>
      <c r="G361" s="23">
        <v>572.6</v>
      </c>
      <c r="H361" s="23">
        <v>7.1689999999999996</v>
      </c>
      <c r="I361" s="13">
        <f t="shared" si="5"/>
        <v>2.7356449375866854</v>
      </c>
    </row>
    <row r="362" spans="2:9">
      <c r="B362" s="35">
        <v>19</v>
      </c>
      <c r="C362" s="36">
        <v>2.3220000000000001</v>
      </c>
      <c r="D362" s="38">
        <v>120.9</v>
      </c>
      <c r="E362" s="38">
        <v>101.7</v>
      </c>
      <c r="F362" s="38">
        <v>31.97</v>
      </c>
      <c r="G362" s="38">
        <v>588.70000000000005</v>
      </c>
      <c r="H362" s="38">
        <v>5.5860000000000003</v>
      </c>
      <c r="I362" s="13">
        <f t="shared" si="5"/>
        <v>3.1811072880825777</v>
      </c>
    </row>
    <row r="363" spans="2:9">
      <c r="C363" s="33">
        <v>2.2360000000000002</v>
      </c>
      <c r="D363" s="23">
        <v>134.9</v>
      </c>
      <c r="E363" s="23">
        <v>101.2</v>
      </c>
      <c r="F363" s="23">
        <v>31.8</v>
      </c>
      <c r="G363" s="23">
        <v>584.20000000000005</v>
      </c>
      <c r="H363" s="23">
        <v>6.2370000000000001</v>
      </c>
      <c r="I363" s="13">
        <f t="shared" si="5"/>
        <v>3.1823899371069184</v>
      </c>
    </row>
    <row r="364" spans="2:9">
      <c r="C364" s="33">
        <v>2.3090000000000002</v>
      </c>
      <c r="D364" s="23">
        <v>104</v>
      </c>
      <c r="E364" s="23">
        <v>101</v>
      </c>
      <c r="F364" s="23">
        <v>31.63</v>
      </c>
      <c r="G364" s="23">
        <v>569.20000000000005</v>
      </c>
      <c r="H364" s="23">
        <v>5.9850000000000003</v>
      </c>
      <c r="I364" s="13">
        <f t="shared" si="5"/>
        <v>3.1931710401517548</v>
      </c>
    </row>
    <row r="365" spans="2:9">
      <c r="C365" s="33">
        <v>2.3029999999999999</v>
      </c>
      <c r="D365" s="23">
        <v>118.2</v>
      </c>
      <c r="E365" s="23">
        <v>101.4</v>
      </c>
      <c r="F365" s="23">
        <v>31.57</v>
      </c>
      <c r="G365" s="23">
        <v>572</v>
      </c>
      <c r="H365" s="23">
        <v>5.6479999999999997</v>
      </c>
      <c r="I365" s="13">
        <f t="shared" si="5"/>
        <v>3.2119100411783341</v>
      </c>
    </row>
    <row r="366" spans="2:9">
      <c r="C366" s="33">
        <v>2.2999999999999998</v>
      </c>
      <c r="D366" s="23">
        <v>140.4</v>
      </c>
      <c r="E366" s="23">
        <v>101.2</v>
      </c>
      <c r="F366" s="23">
        <v>32.4</v>
      </c>
      <c r="G366" s="23">
        <v>578.4</v>
      </c>
      <c r="H366" s="23">
        <v>6.0709999999999997</v>
      </c>
      <c r="I366" s="13">
        <f t="shared" si="5"/>
        <v>3.1234567901234569</v>
      </c>
    </row>
    <row r="367" spans="2:9">
      <c r="C367" s="33">
        <v>2.323</v>
      </c>
      <c r="D367" s="23">
        <v>132</v>
      </c>
      <c r="E367" s="23">
        <v>101.5</v>
      </c>
      <c r="F367" s="23">
        <v>32.39</v>
      </c>
      <c r="G367" s="23">
        <v>589.70000000000005</v>
      </c>
      <c r="H367" s="23">
        <v>4.8780000000000001</v>
      </c>
      <c r="I367" s="13">
        <f t="shared" si="5"/>
        <v>3.1336832355665329</v>
      </c>
    </row>
    <row r="368" spans="2:9">
      <c r="C368" s="33">
        <v>2.3109999999999999</v>
      </c>
      <c r="D368" s="23">
        <v>118.4</v>
      </c>
      <c r="E368" s="23">
        <v>101.7</v>
      </c>
      <c r="F368" s="23">
        <v>32.14</v>
      </c>
      <c r="G368" s="23">
        <v>594.79999999999995</v>
      </c>
      <c r="H368" s="23">
        <v>5.1239999999999997</v>
      </c>
      <c r="I368" s="13">
        <f t="shared" si="5"/>
        <v>3.1642812694461728</v>
      </c>
    </row>
    <row r="369" spans="2:9">
      <c r="C369" s="33">
        <v>2.2829999999999999</v>
      </c>
      <c r="D369" s="23">
        <v>127.5</v>
      </c>
      <c r="E369" s="23">
        <v>101.9</v>
      </c>
      <c r="F369" s="23">
        <v>32.15</v>
      </c>
      <c r="G369" s="23">
        <v>604.79999999999995</v>
      </c>
      <c r="H369" s="23">
        <v>5.3319999999999999</v>
      </c>
      <c r="I369" s="13">
        <f t="shared" si="5"/>
        <v>3.1695178849144638</v>
      </c>
    </row>
    <row r="370" spans="2:9">
      <c r="C370" s="33">
        <v>2.2890000000000001</v>
      </c>
      <c r="D370" s="23">
        <v>140.4</v>
      </c>
      <c r="E370" s="23">
        <v>101.5</v>
      </c>
      <c r="F370" s="23">
        <v>32.049999999999997</v>
      </c>
      <c r="G370" s="23">
        <v>608.9</v>
      </c>
      <c r="H370" s="23">
        <v>5.7130000000000001</v>
      </c>
      <c r="I370" s="13">
        <f t="shared" si="5"/>
        <v>3.166926677067083</v>
      </c>
    </row>
    <row r="371" spans="2:9">
      <c r="C371" s="33">
        <v>2.2810000000000001</v>
      </c>
      <c r="D371" s="23">
        <v>121.6</v>
      </c>
      <c r="E371" s="23">
        <v>101.8</v>
      </c>
      <c r="F371" s="23">
        <v>32.4</v>
      </c>
      <c r="G371" s="23">
        <v>594.4</v>
      </c>
      <c r="H371" s="23">
        <v>5.5979999999999999</v>
      </c>
      <c r="I371" s="13">
        <f t="shared" si="5"/>
        <v>3.1419753086419755</v>
      </c>
    </row>
    <row r="372" spans="2:9">
      <c r="C372" s="33">
        <v>2.3149999999999999</v>
      </c>
      <c r="D372" s="23">
        <v>128.69999999999999</v>
      </c>
      <c r="E372" s="23">
        <v>101.9</v>
      </c>
      <c r="F372" s="23">
        <v>32.57</v>
      </c>
      <c r="G372" s="23">
        <v>577.6</v>
      </c>
      <c r="H372" s="23">
        <v>5.4349999999999996</v>
      </c>
      <c r="I372" s="13">
        <f t="shared" si="5"/>
        <v>3.1286459932453181</v>
      </c>
    </row>
    <row r="373" spans="2:9">
      <c r="C373" s="33">
        <v>2.3319999999999999</v>
      </c>
      <c r="D373" s="23">
        <v>136.30000000000001</v>
      </c>
      <c r="E373" s="23">
        <v>102.3</v>
      </c>
      <c r="F373" s="23">
        <v>31.98</v>
      </c>
      <c r="G373" s="23">
        <v>579.29999999999995</v>
      </c>
      <c r="H373" s="23">
        <v>5.2969999999999997</v>
      </c>
      <c r="I373" s="13">
        <f t="shared" si="5"/>
        <v>3.1988742964352719</v>
      </c>
    </row>
    <row r="374" spans="2:9">
      <c r="C374" s="33">
        <v>2.2890000000000001</v>
      </c>
      <c r="D374" s="23">
        <v>134.1</v>
      </c>
      <c r="E374" s="23">
        <v>101.9</v>
      </c>
      <c r="F374" s="23">
        <v>31.71</v>
      </c>
      <c r="G374" s="23">
        <v>588.9</v>
      </c>
      <c r="H374" s="23">
        <v>5.2350000000000003</v>
      </c>
      <c r="I374" s="13">
        <f t="shared" si="5"/>
        <v>3.2134973194575847</v>
      </c>
    </row>
    <row r="375" spans="2:9">
      <c r="C375" s="33">
        <v>2.3029999999999999</v>
      </c>
      <c r="D375" s="23">
        <v>139.80000000000001</v>
      </c>
      <c r="E375" s="23">
        <v>101.7</v>
      </c>
      <c r="F375" s="23">
        <v>32.229999999999997</v>
      </c>
      <c r="G375" s="23">
        <v>606.5</v>
      </c>
      <c r="H375" s="23">
        <v>5.0289999999999999</v>
      </c>
      <c r="I375" s="13">
        <f t="shared" si="5"/>
        <v>3.1554452373565005</v>
      </c>
    </row>
    <row r="376" spans="2:9">
      <c r="C376" s="33">
        <v>2.2879999999999998</v>
      </c>
      <c r="D376" s="23">
        <v>154</v>
      </c>
      <c r="E376" s="23">
        <v>101</v>
      </c>
      <c r="F376" s="23">
        <v>32.590000000000003</v>
      </c>
      <c r="G376" s="23">
        <v>588.70000000000005</v>
      </c>
      <c r="H376" s="23">
        <v>4.4960000000000004</v>
      </c>
      <c r="I376" s="13">
        <f t="shared" si="5"/>
        <v>3.0991101564897203</v>
      </c>
    </row>
    <row r="377" spans="2:9">
      <c r="C377" s="33">
        <v>2.2719999999999998</v>
      </c>
      <c r="D377" s="23">
        <v>121.6</v>
      </c>
      <c r="E377" s="23">
        <v>101.3</v>
      </c>
      <c r="F377" s="23">
        <v>32.33</v>
      </c>
      <c r="G377" s="23">
        <v>594.1</v>
      </c>
      <c r="H377" s="23">
        <v>5.4189999999999996</v>
      </c>
      <c r="I377" s="13">
        <f t="shared" si="5"/>
        <v>3.1333127126507887</v>
      </c>
    </row>
    <row r="378" spans="2:9">
      <c r="C378" s="33">
        <v>2.2490000000000001</v>
      </c>
      <c r="D378" s="23">
        <v>140.4</v>
      </c>
      <c r="E378" s="23">
        <v>101.5</v>
      </c>
      <c r="F378" s="23">
        <v>32.28</v>
      </c>
      <c r="G378" s="23">
        <v>605.4</v>
      </c>
      <c r="H378" s="23">
        <v>5.6479999999999997</v>
      </c>
      <c r="I378" s="13">
        <f t="shared" si="5"/>
        <v>3.144361833952912</v>
      </c>
    </row>
    <row r="379" spans="2:9">
      <c r="C379" s="33">
        <v>2.2370000000000001</v>
      </c>
      <c r="D379" s="23">
        <v>129.69999999999999</v>
      </c>
      <c r="E379" s="23">
        <v>102.8</v>
      </c>
      <c r="F379" s="23">
        <v>32.17</v>
      </c>
      <c r="G379" s="23">
        <v>609.79999999999995</v>
      </c>
      <c r="H379" s="23">
        <v>5.45</v>
      </c>
      <c r="I379" s="13">
        <f t="shared" si="5"/>
        <v>3.1955237799191791</v>
      </c>
    </row>
    <row r="380" spans="2:9">
      <c r="C380" s="33">
        <v>2.2349999999999999</v>
      </c>
      <c r="D380" s="23">
        <v>134.1</v>
      </c>
      <c r="E380" s="23">
        <v>102.5</v>
      </c>
      <c r="F380" s="23">
        <v>32.020000000000003</v>
      </c>
      <c r="G380" s="23">
        <v>615.4</v>
      </c>
      <c r="H380" s="23">
        <v>5.5679999999999996</v>
      </c>
      <c r="I380" s="13">
        <f t="shared" si="5"/>
        <v>3.2011242973141782</v>
      </c>
    </row>
    <row r="381" spans="2:9">
      <c r="C381" s="33">
        <v>2.294</v>
      </c>
      <c r="D381" s="23">
        <v>134</v>
      </c>
      <c r="E381" s="23">
        <v>102</v>
      </c>
      <c r="F381" s="23">
        <v>32.65</v>
      </c>
      <c r="G381" s="23">
        <v>600.6</v>
      </c>
      <c r="H381" s="23">
        <v>4.8780000000000001</v>
      </c>
      <c r="I381" s="13">
        <f t="shared" si="5"/>
        <v>3.1240428790199082</v>
      </c>
    </row>
    <row r="382" spans="2:9">
      <c r="B382" s="35">
        <v>20</v>
      </c>
      <c r="C382" s="36">
        <v>2.0449999999999999</v>
      </c>
      <c r="D382" s="38">
        <v>179.3</v>
      </c>
      <c r="E382" s="38">
        <v>87.62</v>
      </c>
      <c r="F382" s="38">
        <v>31.84</v>
      </c>
      <c r="G382" s="38">
        <v>589.70000000000005</v>
      </c>
      <c r="H382" s="38">
        <v>7.5650000000000004</v>
      </c>
      <c r="I382" s="13">
        <f t="shared" si="5"/>
        <v>2.7518844221105527</v>
      </c>
    </row>
    <row r="383" spans="2:9">
      <c r="C383" s="33">
        <v>2.0070000000000001</v>
      </c>
      <c r="D383" s="23">
        <v>243.4</v>
      </c>
      <c r="E383" s="23">
        <v>86.89</v>
      </c>
      <c r="F383" s="23">
        <v>31.86</v>
      </c>
      <c r="G383" s="23">
        <v>589.1</v>
      </c>
      <c r="H383" s="23">
        <v>7.4459999999999997</v>
      </c>
      <c r="I383" s="13">
        <f t="shared" si="5"/>
        <v>2.7272441933458884</v>
      </c>
    </row>
    <row r="384" spans="2:9">
      <c r="C384" s="33">
        <v>2.0430000000000001</v>
      </c>
      <c r="D384" s="23">
        <v>224.8</v>
      </c>
      <c r="E384" s="23">
        <v>86.6</v>
      </c>
      <c r="F384" s="23">
        <v>31.55</v>
      </c>
      <c r="G384" s="23">
        <v>588.79999999999995</v>
      </c>
      <c r="H384" s="23">
        <v>7.7069999999999999</v>
      </c>
      <c r="I384" s="13">
        <f t="shared" si="5"/>
        <v>2.7448494453248808</v>
      </c>
    </row>
    <row r="385" spans="3:9">
      <c r="C385" s="33">
        <v>2.0539999999999998</v>
      </c>
      <c r="D385" s="23">
        <v>233.7</v>
      </c>
      <c r="E385" s="23">
        <v>86.04</v>
      </c>
      <c r="F385" s="23">
        <v>31.11</v>
      </c>
      <c r="G385" s="23">
        <v>593.70000000000005</v>
      </c>
      <c r="H385" s="23">
        <v>7.8789999999999996</v>
      </c>
      <c r="I385" s="13">
        <f t="shared" si="5"/>
        <v>2.7656702025072328</v>
      </c>
    </row>
    <row r="386" spans="3:9">
      <c r="C386" s="33">
        <v>2.0459999999999998</v>
      </c>
      <c r="D386" s="23">
        <v>217</v>
      </c>
      <c r="E386" s="23">
        <v>86.68</v>
      </c>
      <c r="F386" s="23">
        <v>31.58</v>
      </c>
      <c r="G386" s="23">
        <v>596.79999999999995</v>
      </c>
      <c r="H386" s="23">
        <v>7.7</v>
      </c>
      <c r="I386" s="13">
        <f t="shared" si="5"/>
        <v>2.7447751741608615</v>
      </c>
    </row>
    <row r="387" spans="3:9">
      <c r="C387" s="33">
        <v>2.0529999999999999</v>
      </c>
      <c r="D387" s="23">
        <v>239.4</v>
      </c>
      <c r="E387" s="23">
        <v>87.34</v>
      </c>
      <c r="F387" s="23">
        <v>31.67</v>
      </c>
      <c r="G387" s="23">
        <v>597.1</v>
      </c>
      <c r="H387" s="23">
        <v>7.9569999999999999</v>
      </c>
      <c r="I387" s="13">
        <f t="shared" ref="I387:I450" si="6">E387/F387</f>
        <v>2.7578149668455954</v>
      </c>
    </row>
    <row r="388" spans="3:9">
      <c r="C388" s="33">
        <v>2.0790000000000002</v>
      </c>
      <c r="D388" s="23">
        <v>224.8</v>
      </c>
      <c r="E388" s="23">
        <v>86.27</v>
      </c>
      <c r="F388" s="23">
        <v>31.79</v>
      </c>
      <c r="G388" s="23">
        <v>603.5</v>
      </c>
      <c r="H388" s="23">
        <v>7.8</v>
      </c>
      <c r="I388" s="13">
        <f t="shared" si="6"/>
        <v>2.7137464611513056</v>
      </c>
    </row>
    <row r="389" spans="3:9">
      <c r="C389" s="33">
        <v>2.0630000000000002</v>
      </c>
      <c r="D389" s="23">
        <v>210.8</v>
      </c>
      <c r="E389" s="23">
        <v>86.14</v>
      </c>
      <c r="F389" s="23">
        <v>31.31</v>
      </c>
      <c r="G389" s="23">
        <v>606.5</v>
      </c>
      <c r="H389" s="23">
        <v>7.8120000000000003</v>
      </c>
      <c r="I389" s="13">
        <f t="shared" si="6"/>
        <v>2.7511977004152031</v>
      </c>
    </row>
    <row r="390" spans="3:9">
      <c r="C390" s="33">
        <v>2.0270000000000001</v>
      </c>
      <c r="D390" s="23">
        <v>211.1</v>
      </c>
      <c r="E390" s="23">
        <v>86.77</v>
      </c>
      <c r="F390" s="23">
        <v>31.1</v>
      </c>
      <c r="G390" s="23">
        <v>604.6</v>
      </c>
      <c r="H390" s="23">
        <v>7.4459999999999997</v>
      </c>
      <c r="I390" s="13">
        <f t="shared" si="6"/>
        <v>2.7900321543408357</v>
      </c>
    </row>
    <row r="391" spans="3:9">
      <c r="C391" s="33">
        <v>2.0539999999999998</v>
      </c>
      <c r="D391" s="23">
        <v>175.9</v>
      </c>
      <c r="E391" s="23">
        <v>86.25</v>
      </c>
      <c r="F391" s="23">
        <v>31.25</v>
      </c>
      <c r="G391" s="23">
        <v>605.9</v>
      </c>
      <c r="H391" s="23">
        <v>7.8</v>
      </c>
      <c r="I391" s="13">
        <f t="shared" si="6"/>
        <v>2.76</v>
      </c>
    </row>
    <row r="392" spans="3:9">
      <c r="C392" s="33">
        <v>2.06</v>
      </c>
      <c r="D392" s="23">
        <v>260.7</v>
      </c>
      <c r="E392" s="23">
        <v>86.04</v>
      </c>
      <c r="F392" s="23">
        <v>31.36</v>
      </c>
      <c r="G392" s="23">
        <v>602.9</v>
      </c>
      <c r="H392" s="23">
        <v>7.4189999999999996</v>
      </c>
      <c r="I392" s="13">
        <f t="shared" si="6"/>
        <v>2.743622448979592</v>
      </c>
    </row>
    <row r="393" spans="3:9">
      <c r="C393" s="33">
        <v>2.0699999999999998</v>
      </c>
      <c r="D393" s="23">
        <v>214.7</v>
      </c>
      <c r="E393" s="23">
        <v>86.14</v>
      </c>
      <c r="F393" s="23">
        <v>31.52</v>
      </c>
      <c r="G393" s="23">
        <v>603</v>
      </c>
      <c r="H393" s="23">
        <v>7.4240000000000004</v>
      </c>
      <c r="I393" s="13">
        <f t="shared" si="6"/>
        <v>2.7328680203045685</v>
      </c>
    </row>
    <row r="394" spans="3:9">
      <c r="C394" s="33">
        <v>2.0590000000000002</v>
      </c>
      <c r="D394" s="23">
        <v>210.8</v>
      </c>
      <c r="E394" s="23">
        <v>86.25</v>
      </c>
      <c r="F394" s="23">
        <v>31.42</v>
      </c>
      <c r="G394" s="23">
        <v>597.79999999999995</v>
      </c>
      <c r="H394" s="23">
        <v>7.3769999999999998</v>
      </c>
      <c r="I394" s="13">
        <f t="shared" si="6"/>
        <v>2.7450668364099298</v>
      </c>
    </row>
    <row r="395" spans="3:9">
      <c r="C395" s="33">
        <v>2.012</v>
      </c>
      <c r="D395" s="23">
        <v>188.1</v>
      </c>
      <c r="E395" s="23">
        <v>86.6</v>
      </c>
      <c r="F395" s="23">
        <v>31.83</v>
      </c>
      <c r="G395" s="23">
        <v>603.5</v>
      </c>
      <c r="H395" s="23">
        <v>7.5190000000000001</v>
      </c>
      <c r="I395" s="13">
        <f t="shared" si="6"/>
        <v>2.7207037386113728</v>
      </c>
    </row>
    <row r="396" spans="3:9">
      <c r="C396" s="33">
        <v>2.0430000000000001</v>
      </c>
      <c r="D396" s="23">
        <v>249</v>
      </c>
      <c r="E396" s="23">
        <v>86.45</v>
      </c>
      <c r="F396" s="23">
        <v>31.4</v>
      </c>
      <c r="G396" s="23">
        <v>602.4</v>
      </c>
      <c r="H396" s="23">
        <v>7.8789999999999996</v>
      </c>
      <c r="I396" s="13">
        <f t="shared" si="6"/>
        <v>2.7531847133757963</v>
      </c>
    </row>
    <row r="397" spans="3:9">
      <c r="C397" s="33">
        <v>2.0739999999999998</v>
      </c>
      <c r="D397" s="23">
        <v>250.6</v>
      </c>
      <c r="E397" s="23">
        <v>86.23</v>
      </c>
      <c r="F397" s="23">
        <v>31.42</v>
      </c>
      <c r="G397" s="23">
        <v>601.1</v>
      </c>
      <c r="H397" s="23">
        <v>7.4829999999999997</v>
      </c>
      <c r="I397" s="13">
        <f t="shared" si="6"/>
        <v>2.7444302991725014</v>
      </c>
    </row>
    <row r="398" spans="3:9">
      <c r="C398" s="33">
        <v>2.0609999999999999</v>
      </c>
      <c r="D398" s="23">
        <v>224.8</v>
      </c>
      <c r="E398" s="23">
        <v>86.25</v>
      </c>
      <c r="F398" s="23">
        <v>31.48</v>
      </c>
      <c r="G398" s="23">
        <v>602.29999999999995</v>
      </c>
      <c r="H398" s="23">
        <v>7.3479999999999999</v>
      </c>
      <c r="I398" s="13">
        <f t="shared" si="6"/>
        <v>2.7398348157560357</v>
      </c>
    </row>
    <row r="399" spans="3:9">
      <c r="C399" s="33">
        <v>2.0139999999999998</v>
      </c>
      <c r="D399" s="23">
        <v>257.39999999999998</v>
      </c>
      <c r="E399" s="23">
        <v>86.26</v>
      </c>
      <c r="F399" s="23">
        <v>31.42</v>
      </c>
      <c r="G399" s="23">
        <v>599.4</v>
      </c>
      <c r="H399" s="23">
        <v>7.468</v>
      </c>
      <c r="I399" s="13">
        <f t="shared" si="6"/>
        <v>2.7453851050286442</v>
      </c>
    </row>
    <row r="400" spans="3:9">
      <c r="C400" s="33">
        <v>2.0529999999999999</v>
      </c>
      <c r="D400" s="23">
        <v>225.7</v>
      </c>
      <c r="E400" s="23">
        <v>86.56</v>
      </c>
      <c r="F400" s="23">
        <v>31.64</v>
      </c>
      <c r="G400" s="23">
        <v>596.4</v>
      </c>
      <c r="H400" s="23">
        <v>7.7930000000000001</v>
      </c>
      <c r="I400" s="13">
        <f t="shared" si="6"/>
        <v>2.7357774968394439</v>
      </c>
    </row>
    <row r="401" spans="2:9">
      <c r="C401" s="33">
        <v>2.0459999999999998</v>
      </c>
      <c r="D401" s="23">
        <v>208.9</v>
      </c>
      <c r="E401" s="23">
        <v>86.33</v>
      </c>
      <c r="F401" s="23">
        <v>31.12</v>
      </c>
      <c r="G401" s="23">
        <v>590.79999999999995</v>
      </c>
      <c r="H401" s="23">
        <v>7.5209999999999999</v>
      </c>
      <c r="I401" s="13">
        <f t="shared" si="6"/>
        <v>2.7741002570694087</v>
      </c>
    </row>
    <row r="402" spans="2:9">
      <c r="B402" s="35">
        <v>21</v>
      </c>
      <c r="C402" s="36">
        <v>2.1619999999999999</v>
      </c>
      <c r="D402" s="38">
        <v>102.8</v>
      </c>
      <c r="E402" s="38">
        <v>85.38</v>
      </c>
      <c r="F402" s="38">
        <v>23.21</v>
      </c>
      <c r="G402" s="38">
        <v>593.5</v>
      </c>
      <c r="H402" s="38">
        <v>5.18</v>
      </c>
      <c r="I402" s="13">
        <f t="shared" si="6"/>
        <v>3.6785868160275741</v>
      </c>
    </row>
    <row r="403" spans="2:9">
      <c r="C403" s="33">
        <v>2.1930000000000001</v>
      </c>
      <c r="D403" s="23">
        <v>91.04</v>
      </c>
      <c r="E403" s="23">
        <v>86.58</v>
      </c>
      <c r="F403" s="23">
        <v>23.25</v>
      </c>
      <c r="G403" s="23">
        <v>592.5</v>
      </c>
      <c r="H403" s="23">
        <v>5.1260000000000003</v>
      </c>
      <c r="I403" s="13">
        <f t="shared" si="6"/>
        <v>3.7238709677419353</v>
      </c>
    </row>
    <row r="404" spans="2:9">
      <c r="C404" s="33">
        <v>2.17</v>
      </c>
      <c r="D404" s="23">
        <v>104.8</v>
      </c>
      <c r="E404" s="23">
        <v>86.57</v>
      </c>
      <c r="F404" s="23">
        <v>23.76</v>
      </c>
      <c r="G404" s="23">
        <v>593.9</v>
      </c>
      <c r="H404" s="23">
        <v>4.1529999999999996</v>
      </c>
      <c r="I404" s="13">
        <f t="shared" si="6"/>
        <v>3.6435185185185182</v>
      </c>
    </row>
    <row r="405" spans="2:9">
      <c r="C405" s="33">
        <v>2.0960000000000001</v>
      </c>
      <c r="D405" s="23">
        <v>88.14</v>
      </c>
      <c r="E405" s="23">
        <v>86.62</v>
      </c>
      <c r="F405" s="23">
        <v>23.14</v>
      </c>
      <c r="G405" s="23">
        <v>589.9</v>
      </c>
      <c r="H405" s="23">
        <v>4.29</v>
      </c>
      <c r="I405" s="13">
        <f t="shared" si="6"/>
        <v>3.743301642178047</v>
      </c>
    </row>
    <row r="406" spans="2:9">
      <c r="C406" s="33">
        <v>1.9970000000000001</v>
      </c>
      <c r="D406" s="23">
        <v>76.400000000000006</v>
      </c>
      <c r="E406" s="23">
        <v>86.63</v>
      </c>
      <c r="F406" s="23">
        <v>23.35</v>
      </c>
      <c r="G406" s="23">
        <v>593.6</v>
      </c>
      <c r="H406" s="23">
        <v>4.258</v>
      </c>
      <c r="I406" s="13">
        <f t="shared" si="6"/>
        <v>3.7100642398286934</v>
      </c>
    </row>
    <row r="407" spans="2:9">
      <c r="C407" s="33">
        <v>2.032</v>
      </c>
      <c r="D407" s="23">
        <v>80.27</v>
      </c>
      <c r="E407" s="23">
        <v>85.74</v>
      </c>
      <c r="F407" s="23">
        <v>23.76</v>
      </c>
      <c r="G407" s="23">
        <v>594.1</v>
      </c>
      <c r="H407" s="23">
        <v>4.375</v>
      </c>
      <c r="I407" s="13">
        <f t="shared" si="6"/>
        <v>3.6085858585858581</v>
      </c>
    </row>
    <row r="408" spans="2:9">
      <c r="C408" s="33">
        <v>2.1549999999999998</v>
      </c>
      <c r="D408" s="23">
        <v>87.03</v>
      </c>
      <c r="E408" s="23">
        <v>86.16</v>
      </c>
      <c r="F408" s="23">
        <v>23.57</v>
      </c>
      <c r="G408" s="23">
        <v>591.5</v>
      </c>
      <c r="H408" s="23">
        <v>4.3570000000000002</v>
      </c>
      <c r="I408" s="13">
        <f t="shared" si="6"/>
        <v>3.6554942723801442</v>
      </c>
    </row>
    <row r="409" spans="2:9">
      <c r="C409" s="33">
        <v>2.1720000000000002</v>
      </c>
      <c r="D409" s="23">
        <v>101.1</v>
      </c>
      <c r="E409" s="23">
        <v>86.18</v>
      </c>
      <c r="F409" s="23">
        <v>23.77</v>
      </c>
      <c r="G409" s="23">
        <v>596</v>
      </c>
      <c r="H409" s="23">
        <v>5.1609999999999996</v>
      </c>
      <c r="I409" s="13">
        <f t="shared" si="6"/>
        <v>3.6255784602440055</v>
      </c>
    </row>
    <row r="410" spans="2:9">
      <c r="C410" s="33">
        <v>2.1859999999999999</v>
      </c>
      <c r="D410" s="23">
        <v>94.54</v>
      </c>
      <c r="E410" s="23">
        <v>86.59</v>
      </c>
      <c r="F410" s="23">
        <v>23.75</v>
      </c>
      <c r="G410" s="23">
        <v>595.5</v>
      </c>
      <c r="H410" s="23">
        <v>4.9790000000000001</v>
      </c>
      <c r="I410" s="13">
        <f t="shared" si="6"/>
        <v>3.6458947368421053</v>
      </c>
    </row>
    <row r="411" spans="2:9">
      <c r="C411" s="33">
        <v>2.161</v>
      </c>
      <c r="D411" s="23">
        <v>87.91</v>
      </c>
      <c r="E411" s="23">
        <v>86.18</v>
      </c>
      <c r="F411" s="23">
        <v>23.77</v>
      </c>
      <c r="G411" s="23">
        <v>597.1</v>
      </c>
      <c r="H411" s="23">
        <v>5.1139999999999999</v>
      </c>
      <c r="I411" s="13">
        <f t="shared" si="6"/>
        <v>3.6255784602440055</v>
      </c>
    </row>
    <row r="412" spans="2:9">
      <c r="C412" s="33">
        <v>2.093</v>
      </c>
      <c r="D412" s="23">
        <v>104</v>
      </c>
      <c r="E412" s="23">
        <v>85.95</v>
      </c>
      <c r="F412" s="23">
        <v>23.36</v>
      </c>
      <c r="G412" s="23">
        <v>595.6</v>
      </c>
      <c r="H412" s="23">
        <v>5.0149999999999997</v>
      </c>
      <c r="I412" s="13">
        <f t="shared" si="6"/>
        <v>3.6793664383561646</v>
      </c>
    </row>
    <row r="413" spans="2:9">
      <c r="C413" s="33">
        <v>2.0939999999999999</v>
      </c>
      <c r="D413" s="23">
        <v>95.41</v>
      </c>
      <c r="E413" s="23">
        <v>85.76</v>
      </c>
      <c r="F413" s="23">
        <v>23.16</v>
      </c>
      <c r="G413" s="23">
        <v>595.4</v>
      </c>
      <c r="H413" s="23">
        <v>4.798</v>
      </c>
      <c r="I413" s="13">
        <f t="shared" si="6"/>
        <v>3.7029360967184801</v>
      </c>
    </row>
    <row r="414" spans="2:9">
      <c r="C414" s="33">
        <v>2.0640000000000001</v>
      </c>
      <c r="D414" s="23">
        <v>87.21</v>
      </c>
      <c r="E414" s="23">
        <v>86.78</v>
      </c>
      <c r="F414" s="23">
        <v>23.57</v>
      </c>
      <c r="G414" s="23">
        <v>595.29999999999995</v>
      </c>
      <c r="H414" s="23">
        <v>5.2290000000000001</v>
      </c>
      <c r="I414" s="13">
        <f t="shared" si="6"/>
        <v>3.6817988969028428</v>
      </c>
    </row>
    <row r="415" spans="2:9">
      <c r="C415" s="33">
        <v>2.0470000000000002</v>
      </c>
      <c r="D415" s="23">
        <v>113.3</v>
      </c>
      <c r="E415" s="23">
        <v>85.98</v>
      </c>
      <c r="F415" s="23">
        <v>23.39</v>
      </c>
      <c r="G415" s="23">
        <v>595.5</v>
      </c>
      <c r="H415" s="23">
        <v>5.1619999999999999</v>
      </c>
      <c r="I415" s="13">
        <f t="shared" si="6"/>
        <v>3.6759298845660537</v>
      </c>
    </row>
    <row r="416" spans="2:9">
      <c r="C416" s="33">
        <v>2.1859999999999999</v>
      </c>
      <c r="D416" s="23">
        <v>96.08</v>
      </c>
      <c r="E416" s="23">
        <v>86.98</v>
      </c>
      <c r="F416" s="23">
        <v>23.97</v>
      </c>
      <c r="G416" s="23">
        <v>590.29999999999995</v>
      </c>
      <c r="H416" s="23">
        <v>4.9969999999999999</v>
      </c>
      <c r="I416" s="13">
        <f t="shared" si="6"/>
        <v>3.6287025448477266</v>
      </c>
    </row>
    <row r="417" spans="2:9">
      <c r="C417" s="33">
        <v>2.1549999999999998</v>
      </c>
      <c r="D417" s="23">
        <v>124.5</v>
      </c>
      <c r="E417" s="23">
        <v>86.16</v>
      </c>
      <c r="F417" s="23">
        <v>23.76</v>
      </c>
      <c r="G417" s="23">
        <v>590.20000000000005</v>
      </c>
      <c r="H417" s="23">
        <v>5.1139999999999999</v>
      </c>
      <c r="I417" s="13">
        <f t="shared" si="6"/>
        <v>3.6262626262626259</v>
      </c>
    </row>
    <row r="418" spans="2:9">
      <c r="C418" s="33">
        <v>2.1930000000000001</v>
      </c>
      <c r="D418" s="23">
        <v>135.69999999999999</v>
      </c>
      <c r="E418" s="23">
        <v>86.11</v>
      </c>
      <c r="F418" s="23">
        <v>23.55</v>
      </c>
      <c r="G418" s="23">
        <v>590.70000000000005</v>
      </c>
      <c r="H418" s="23">
        <v>5.375</v>
      </c>
      <c r="I418" s="13">
        <f t="shared" si="6"/>
        <v>3.6564755838641188</v>
      </c>
    </row>
    <row r="419" spans="2:9">
      <c r="C419" s="33">
        <v>2.097</v>
      </c>
      <c r="D419" s="23">
        <v>132.19999999999999</v>
      </c>
      <c r="E419" s="23">
        <v>85.97</v>
      </c>
      <c r="F419" s="23">
        <v>23.24</v>
      </c>
      <c r="G419" s="23">
        <v>591.79999999999995</v>
      </c>
      <c r="H419" s="23">
        <v>4.6680000000000001</v>
      </c>
      <c r="I419" s="13">
        <f t="shared" si="6"/>
        <v>3.6992254733218592</v>
      </c>
    </row>
    <row r="420" spans="2:9">
      <c r="C420" s="33">
        <v>2.1619999999999999</v>
      </c>
      <c r="D420" s="23">
        <v>122.3</v>
      </c>
      <c r="E420" s="23">
        <v>86.25</v>
      </c>
      <c r="F420" s="23">
        <v>23.26</v>
      </c>
      <c r="G420" s="23">
        <v>597.79999999999995</v>
      </c>
      <c r="H420" s="23">
        <v>5.2290000000000001</v>
      </c>
      <c r="I420" s="13">
        <f t="shared" si="6"/>
        <v>3.7080825451418744</v>
      </c>
    </row>
    <row r="421" spans="2:9">
      <c r="C421" s="33">
        <v>2.2040000000000002</v>
      </c>
      <c r="D421" s="23">
        <v>111.9</v>
      </c>
      <c r="E421" s="23">
        <v>86.33</v>
      </c>
      <c r="F421" s="23">
        <v>23.56</v>
      </c>
      <c r="G421" s="23">
        <v>594.6</v>
      </c>
      <c r="H421" s="23">
        <v>4.258</v>
      </c>
      <c r="I421" s="13">
        <f t="shared" si="6"/>
        <v>3.6642614601018675</v>
      </c>
    </row>
    <row r="422" spans="2:9">
      <c r="B422" s="35">
        <v>22</v>
      </c>
      <c r="C422" s="36">
        <v>3.1469999999999998</v>
      </c>
      <c r="D422" s="38">
        <v>132</v>
      </c>
      <c r="E422" s="38">
        <v>79.81</v>
      </c>
      <c r="F422" s="38">
        <v>27.93</v>
      </c>
      <c r="G422" s="38">
        <v>500.8</v>
      </c>
      <c r="H422" s="38">
        <v>5.6210000000000004</v>
      </c>
      <c r="I422" s="13">
        <f t="shared" si="6"/>
        <v>2.8575008950948804</v>
      </c>
    </row>
    <row r="423" spans="2:9">
      <c r="C423" s="33">
        <v>3.08</v>
      </c>
      <c r="D423" s="23">
        <v>177.3</v>
      </c>
      <c r="E423" s="23">
        <v>79.790000000000006</v>
      </c>
      <c r="F423" s="23">
        <v>27.75</v>
      </c>
      <c r="G423" s="23">
        <v>503.7</v>
      </c>
      <c r="H423" s="23">
        <v>5.6520000000000001</v>
      </c>
      <c r="I423" s="13">
        <f t="shared" si="6"/>
        <v>2.8753153153153157</v>
      </c>
    </row>
    <row r="424" spans="2:9">
      <c r="C424" s="33">
        <v>3.1619999999999999</v>
      </c>
      <c r="D424" s="23">
        <v>154.1</v>
      </c>
      <c r="E424" s="23">
        <v>79.95</v>
      </c>
      <c r="F424" s="23">
        <v>27.94</v>
      </c>
      <c r="G424" s="23">
        <v>503.9</v>
      </c>
      <c r="H424" s="23">
        <v>5.4139999999999997</v>
      </c>
      <c r="I424" s="13">
        <f t="shared" si="6"/>
        <v>2.8614889047959915</v>
      </c>
    </row>
    <row r="425" spans="2:9">
      <c r="C425" s="33">
        <v>3.0910000000000002</v>
      </c>
      <c r="D425" s="23">
        <v>100.1</v>
      </c>
      <c r="E425" s="23">
        <v>80.239999999999995</v>
      </c>
      <c r="F425" s="23">
        <v>27.93</v>
      </c>
      <c r="G425" s="23">
        <v>504.1</v>
      </c>
      <c r="H425" s="23">
        <v>5.8</v>
      </c>
      <c r="I425" s="13">
        <f t="shared" si="6"/>
        <v>2.8728965270318652</v>
      </c>
    </row>
    <row r="426" spans="2:9">
      <c r="C426" s="33">
        <v>2.8820000000000001</v>
      </c>
      <c r="D426" s="23">
        <v>100.5</v>
      </c>
      <c r="E426" s="23">
        <v>80.17</v>
      </c>
      <c r="F426" s="23">
        <v>27.92</v>
      </c>
      <c r="G426" s="23">
        <v>510</v>
      </c>
      <c r="H426" s="23">
        <v>4.4329999999999998</v>
      </c>
      <c r="I426" s="13">
        <f t="shared" si="6"/>
        <v>2.8714183381088825</v>
      </c>
    </row>
    <row r="427" spans="2:9">
      <c r="C427" s="33">
        <v>3.0470000000000002</v>
      </c>
      <c r="D427" s="34">
        <v>140.21</v>
      </c>
      <c r="E427" s="23">
        <v>80.77</v>
      </c>
      <c r="F427" s="23">
        <v>27.94</v>
      </c>
      <c r="G427" s="23">
        <v>504.3</v>
      </c>
      <c r="H427" s="23">
        <v>5.4249999999999998</v>
      </c>
      <c r="I427" s="13">
        <f t="shared" si="6"/>
        <v>2.8908375089477447</v>
      </c>
    </row>
    <row r="428" spans="2:9">
      <c r="C428" s="33">
        <v>3.1749999999999998</v>
      </c>
      <c r="D428" s="34">
        <v>146.75</v>
      </c>
      <c r="E428" s="23">
        <v>79.430000000000007</v>
      </c>
      <c r="F428" s="23">
        <v>27.15</v>
      </c>
      <c r="G428" s="23">
        <v>503.8</v>
      </c>
      <c r="H428" s="23">
        <v>5.4340000000000002</v>
      </c>
      <c r="I428" s="13">
        <f t="shared" si="6"/>
        <v>2.9255985267034994</v>
      </c>
    </row>
    <row r="429" spans="2:9">
      <c r="C429" s="33">
        <v>3.1789999999999998</v>
      </c>
      <c r="D429" s="34">
        <v>133.46</v>
      </c>
      <c r="E429" s="23">
        <v>79.16</v>
      </c>
      <c r="F429" s="23">
        <v>27.73</v>
      </c>
      <c r="G429" s="23">
        <v>514.1</v>
      </c>
      <c r="H429" s="23">
        <v>5.516</v>
      </c>
      <c r="I429" s="13">
        <f t="shared" si="6"/>
        <v>2.8546700324558238</v>
      </c>
    </row>
    <row r="430" spans="2:9">
      <c r="C430" s="33">
        <v>3.0680000000000001</v>
      </c>
      <c r="D430" s="34">
        <v>140.04</v>
      </c>
      <c r="E430" s="23">
        <v>79.349999999999994</v>
      </c>
      <c r="F430" s="23">
        <v>27.34</v>
      </c>
      <c r="G430" s="23">
        <v>499.3</v>
      </c>
      <c r="H430" s="23">
        <v>5.79</v>
      </c>
      <c r="I430" s="13">
        <f t="shared" si="6"/>
        <v>2.9023408924652521</v>
      </c>
    </row>
    <row r="431" spans="2:9">
      <c r="C431" s="33">
        <v>3.1749999999999998</v>
      </c>
      <c r="D431" s="34">
        <v>153.80000000000001</v>
      </c>
      <c r="E431" s="23">
        <v>79.73</v>
      </c>
      <c r="F431" s="23">
        <v>27.92</v>
      </c>
      <c r="G431" s="23">
        <v>501.4</v>
      </c>
      <c r="H431" s="23">
        <v>4.7169999999999996</v>
      </c>
      <c r="I431" s="13">
        <f t="shared" si="6"/>
        <v>2.8556590257879657</v>
      </c>
    </row>
    <row r="432" spans="2:9">
      <c r="C432" s="33">
        <v>2.9319999999999999</v>
      </c>
      <c r="D432" s="34">
        <v>129.1</v>
      </c>
      <c r="E432" s="23">
        <v>79.7</v>
      </c>
      <c r="F432" s="23">
        <v>27.74</v>
      </c>
      <c r="G432" s="23">
        <v>512</v>
      </c>
      <c r="H432" s="23">
        <v>4.92</v>
      </c>
      <c r="I432" s="13">
        <f t="shared" si="6"/>
        <v>2.8731074260994958</v>
      </c>
    </row>
    <row r="433" spans="2:9">
      <c r="C433" s="33">
        <v>2.8820000000000001</v>
      </c>
      <c r="D433" s="34">
        <v>123.83</v>
      </c>
      <c r="E433" s="23">
        <v>79.349999999999994</v>
      </c>
      <c r="F433" s="23">
        <v>27.23</v>
      </c>
      <c r="G433" s="23">
        <v>489.6</v>
      </c>
      <c r="H433" s="23">
        <v>4.4370000000000003</v>
      </c>
      <c r="I433" s="13">
        <f t="shared" si="6"/>
        <v>2.9140653690782221</v>
      </c>
    </row>
    <row r="434" spans="2:9">
      <c r="C434" s="33">
        <v>2.98</v>
      </c>
      <c r="D434" s="34">
        <v>128.34</v>
      </c>
      <c r="E434" s="23">
        <v>79.59</v>
      </c>
      <c r="F434" s="23">
        <v>27.77</v>
      </c>
      <c r="G434" s="23">
        <v>497.4</v>
      </c>
      <c r="H434" s="23">
        <v>5.3339999999999996</v>
      </c>
      <c r="I434" s="13">
        <f t="shared" si="6"/>
        <v>2.8660424918977316</v>
      </c>
    </row>
    <row r="435" spans="2:9">
      <c r="C435" s="33">
        <v>3.0470000000000002</v>
      </c>
      <c r="D435" s="34">
        <v>129.27000000000001</v>
      </c>
      <c r="E435" s="23">
        <v>79.34</v>
      </c>
      <c r="F435" s="23">
        <v>27.35</v>
      </c>
      <c r="G435" s="23">
        <v>496.2</v>
      </c>
      <c r="H435" s="23">
        <v>4.5309999999999997</v>
      </c>
      <c r="I435" s="13">
        <f t="shared" si="6"/>
        <v>2.9009140767824495</v>
      </c>
    </row>
    <row r="436" spans="2:9">
      <c r="C436" s="33">
        <v>3.1440000000000001</v>
      </c>
      <c r="D436" s="34">
        <v>130.97999999999999</v>
      </c>
      <c r="E436" s="23">
        <v>79.319999999999993</v>
      </c>
      <c r="F436" s="23">
        <v>27.54</v>
      </c>
      <c r="G436" s="23">
        <v>512</v>
      </c>
      <c r="H436" s="23">
        <v>4.8499999999999996</v>
      </c>
      <c r="I436" s="13">
        <f t="shared" si="6"/>
        <v>2.8801742919389977</v>
      </c>
    </row>
    <row r="437" spans="2:9">
      <c r="C437" s="33">
        <v>3.157</v>
      </c>
      <c r="D437" s="34">
        <v>153</v>
      </c>
      <c r="E437" s="23">
        <v>79.400000000000006</v>
      </c>
      <c r="F437" s="23">
        <v>27.3</v>
      </c>
      <c r="G437" s="23">
        <v>510.3</v>
      </c>
      <c r="H437" s="23">
        <v>4.7329999999999997</v>
      </c>
      <c r="I437" s="13">
        <f t="shared" si="6"/>
        <v>2.9084249084249088</v>
      </c>
    </row>
    <row r="438" spans="2:9">
      <c r="C438" s="33">
        <v>3.105</v>
      </c>
      <c r="D438" s="34">
        <v>136.03</v>
      </c>
      <c r="E438" s="23">
        <v>79.88</v>
      </c>
      <c r="F438" s="23">
        <v>27.31</v>
      </c>
      <c r="G438" s="23">
        <v>501</v>
      </c>
      <c r="H438" s="23">
        <v>4.82</v>
      </c>
      <c r="I438" s="13">
        <f t="shared" si="6"/>
        <v>2.9249359209080921</v>
      </c>
    </row>
    <row r="439" spans="2:9">
      <c r="C439" s="33">
        <v>3.0680000000000001</v>
      </c>
      <c r="D439" s="34">
        <v>129.84</v>
      </c>
      <c r="E439" s="23">
        <v>80.09</v>
      </c>
      <c r="F439" s="23">
        <v>28.03</v>
      </c>
      <c r="G439" s="23">
        <v>494.5</v>
      </c>
      <c r="H439" s="23">
        <v>4.7629999999999999</v>
      </c>
      <c r="I439" s="13">
        <f t="shared" si="6"/>
        <v>2.8572957545486979</v>
      </c>
    </row>
    <row r="440" spans="2:9">
      <c r="C440" s="33">
        <v>3.101</v>
      </c>
      <c r="D440" s="34">
        <v>137.13999999999999</v>
      </c>
      <c r="E440" s="23">
        <v>80.13</v>
      </c>
      <c r="F440" s="23">
        <v>28.14</v>
      </c>
      <c r="G440" s="23">
        <v>495</v>
      </c>
      <c r="H440" s="23">
        <v>4.5940000000000003</v>
      </c>
      <c r="I440" s="13">
        <f t="shared" si="6"/>
        <v>2.8475479744136458</v>
      </c>
    </row>
    <row r="441" spans="2:9">
      <c r="C441" s="33">
        <v>3.1789999999999998</v>
      </c>
      <c r="D441" s="34">
        <v>134.85</v>
      </c>
      <c r="E441" s="23">
        <v>79.760000000000005</v>
      </c>
      <c r="F441" s="23">
        <v>27.45</v>
      </c>
      <c r="G441" s="23">
        <v>499.2</v>
      </c>
      <c r="H441" s="23">
        <v>4.665</v>
      </c>
      <c r="I441" s="13">
        <f t="shared" si="6"/>
        <v>2.9056466302367943</v>
      </c>
    </row>
    <row r="442" spans="2:9">
      <c r="B442" s="35">
        <v>23</v>
      </c>
      <c r="C442" s="36">
        <v>2.371</v>
      </c>
      <c r="D442" s="38">
        <v>167.3</v>
      </c>
      <c r="E442" s="38">
        <v>85.63</v>
      </c>
      <c r="F442" s="38">
        <v>19.89</v>
      </c>
      <c r="G442" s="38">
        <v>542.20000000000005</v>
      </c>
      <c r="H442" s="38">
        <v>4.5590000000000002</v>
      </c>
      <c r="I442" s="13">
        <f t="shared" si="6"/>
        <v>4.3051784816490697</v>
      </c>
    </row>
    <row r="443" spans="2:9">
      <c r="C443" s="33">
        <v>2.4729999999999999</v>
      </c>
      <c r="D443" s="23">
        <v>161.5</v>
      </c>
      <c r="E443" s="23">
        <v>85.43</v>
      </c>
      <c r="F443" s="23">
        <v>19.52</v>
      </c>
      <c r="G443" s="23">
        <v>538</v>
      </c>
      <c r="H443" s="23">
        <v>4.6920000000000002</v>
      </c>
      <c r="I443" s="13">
        <f t="shared" si="6"/>
        <v>4.3765368852459021</v>
      </c>
    </row>
    <row r="444" spans="2:9">
      <c r="C444" s="33">
        <v>2.2669999999999999</v>
      </c>
      <c r="D444" s="23">
        <v>158.5</v>
      </c>
      <c r="E444" s="23">
        <v>85.25</v>
      </c>
      <c r="F444" s="23">
        <v>20.079999999999998</v>
      </c>
      <c r="G444" s="23">
        <v>526.9</v>
      </c>
      <c r="H444" s="23">
        <v>4.5350000000000001</v>
      </c>
      <c r="I444" s="13">
        <f t="shared" si="6"/>
        <v>4.2455179282868531</v>
      </c>
    </row>
    <row r="445" spans="2:9">
      <c r="C445" s="33">
        <v>2.3879999999999999</v>
      </c>
      <c r="D445" s="23">
        <v>187.9</v>
      </c>
      <c r="E445" s="23">
        <v>85.62</v>
      </c>
      <c r="F445" s="23">
        <v>20.47</v>
      </c>
      <c r="G445" s="23">
        <v>525.1</v>
      </c>
      <c r="H445" s="23">
        <v>4.109</v>
      </c>
      <c r="I445" s="13">
        <f t="shared" si="6"/>
        <v>4.1827063996091844</v>
      </c>
    </row>
    <row r="446" spans="2:9">
      <c r="C446" s="33">
        <v>2.4710000000000001</v>
      </c>
      <c r="D446" s="23">
        <v>197.3</v>
      </c>
      <c r="E446" s="23">
        <v>85.45</v>
      </c>
      <c r="F446" s="23">
        <v>20.190000000000001</v>
      </c>
      <c r="G446" s="23">
        <v>526.1</v>
      </c>
      <c r="H446" s="23">
        <v>3.8889999999999998</v>
      </c>
      <c r="I446" s="13">
        <f t="shared" si="6"/>
        <v>4.2322932144626053</v>
      </c>
    </row>
    <row r="447" spans="2:9">
      <c r="C447" s="33">
        <v>2.363</v>
      </c>
      <c r="D447" s="23">
        <v>175.2</v>
      </c>
      <c r="E447" s="23">
        <v>85.64</v>
      </c>
      <c r="F447" s="23">
        <v>20.13</v>
      </c>
      <c r="G447" s="23">
        <v>527.6</v>
      </c>
      <c r="H447" s="23">
        <v>3.823</v>
      </c>
      <c r="I447" s="13">
        <f t="shared" si="6"/>
        <v>4.2543467461500253</v>
      </c>
    </row>
    <row r="448" spans="2:9">
      <c r="C448" s="33">
        <v>2.41</v>
      </c>
      <c r="D448" s="23">
        <v>191.5</v>
      </c>
      <c r="E448" s="23">
        <v>85.44</v>
      </c>
      <c r="F448" s="23">
        <v>20.13</v>
      </c>
      <c r="G448" s="23">
        <v>523.29999999999995</v>
      </c>
      <c r="H448" s="23">
        <v>3.899</v>
      </c>
      <c r="I448" s="13">
        <f t="shared" si="6"/>
        <v>4.2444113263785397</v>
      </c>
    </row>
    <row r="449" spans="2:9">
      <c r="C449" s="33">
        <v>2.456</v>
      </c>
      <c r="D449" s="23">
        <v>199.6</v>
      </c>
      <c r="E449" s="23">
        <v>85.83</v>
      </c>
      <c r="F449" s="23">
        <v>20.11</v>
      </c>
      <c r="G449" s="23">
        <v>529.6</v>
      </c>
      <c r="H449" s="23">
        <v>4.0609999999999999</v>
      </c>
      <c r="I449" s="13">
        <f t="shared" si="6"/>
        <v>4.2680258577821979</v>
      </c>
    </row>
    <row r="450" spans="2:9">
      <c r="C450" s="33">
        <v>2.3959999999999999</v>
      </c>
      <c r="D450" s="23">
        <v>202.7</v>
      </c>
      <c r="E450" s="23">
        <v>85.82</v>
      </c>
      <c r="F450" s="23">
        <v>20.100000000000001</v>
      </c>
      <c r="G450" s="23">
        <v>529.9</v>
      </c>
      <c r="H450" s="23">
        <v>4.109</v>
      </c>
      <c r="I450" s="13">
        <f t="shared" si="6"/>
        <v>4.269651741293532</v>
      </c>
    </row>
    <row r="451" spans="2:9">
      <c r="C451" s="33">
        <v>2.2629999999999999</v>
      </c>
      <c r="D451" s="23">
        <v>207.5</v>
      </c>
      <c r="E451" s="23">
        <v>85.43</v>
      </c>
      <c r="F451" s="23">
        <v>20.09</v>
      </c>
      <c r="G451" s="23">
        <v>530.20000000000005</v>
      </c>
      <c r="H451" s="23">
        <v>4.1379999999999999</v>
      </c>
      <c r="I451" s="13">
        <f t="shared" ref="I451:I514" si="7">E451/F451</f>
        <v>4.2523643603782979</v>
      </c>
    </row>
    <row r="452" spans="2:9">
      <c r="C452" s="33">
        <v>2.371</v>
      </c>
      <c r="D452" s="23">
        <v>212.1</v>
      </c>
      <c r="E452" s="23">
        <v>86</v>
      </c>
      <c r="F452" s="23">
        <v>20.079999999999998</v>
      </c>
      <c r="G452" s="23">
        <v>534.1</v>
      </c>
      <c r="H452" s="23">
        <v>3.9750000000000001</v>
      </c>
      <c r="I452" s="13">
        <f t="shared" si="7"/>
        <v>4.282868525896415</v>
      </c>
    </row>
    <row r="453" spans="2:9">
      <c r="C453" s="33">
        <v>2.37</v>
      </c>
      <c r="D453" s="23">
        <v>167.3</v>
      </c>
      <c r="E453" s="23">
        <v>84.85</v>
      </c>
      <c r="F453" s="23">
        <v>20.27</v>
      </c>
      <c r="G453" s="23">
        <v>530.79999999999995</v>
      </c>
      <c r="H453" s="23">
        <v>3.9620000000000002</v>
      </c>
      <c r="I453" s="13">
        <f t="shared" si="7"/>
        <v>4.1859891465219539</v>
      </c>
    </row>
    <row r="454" spans="2:9">
      <c r="C454" s="33">
        <v>2.492</v>
      </c>
      <c r="D454" s="23">
        <v>159</v>
      </c>
      <c r="E454" s="23">
        <v>85.42</v>
      </c>
      <c r="F454" s="23">
        <v>19.89</v>
      </c>
      <c r="G454" s="23">
        <v>525.1</v>
      </c>
      <c r="H454" s="23">
        <v>3.9750000000000001</v>
      </c>
      <c r="I454" s="13">
        <f t="shared" si="7"/>
        <v>4.2946204122674709</v>
      </c>
    </row>
    <row r="455" spans="2:9">
      <c r="C455" s="33">
        <v>2.3580000000000001</v>
      </c>
      <c r="D455" s="23">
        <v>183.2</v>
      </c>
      <c r="E455" s="23">
        <v>85.61</v>
      </c>
      <c r="F455" s="23">
        <v>19.89</v>
      </c>
      <c r="G455" s="23">
        <v>526</v>
      </c>
      <c r="H455" s="23">
        <v>3.899</v>
      </c>
      <c r="I455" s="13">
        <f t="shared" si="7"/>
        <v>4.3041729512317746</v>
      </c>
    </row>
    <row r="456" spans="2:9">
      <c r="C456" s="33">
        <v>2.456</v>
      </c>
      <c r="D456" s="23">
        <v>175.2</v>
      </c>
      <c r="E456" s="23">
        <v>85.99</v>
      </c>
      <c r="F456" s="23">
        <v>19.510000000000002</v>
      </c>
      <c r="G456" s="23">
        <v>526.1</v>
      </c>
      <c r="H456" s="23">
        <v>4.34</v>
      </c>
      <c r="I456" s="13">
        <f t="shared" si="7"/>
        <v>4.4074833418759605</v>
      </c>
    </row>
    <row r="457" spans="2:9">
      <c r="C457" s="33">
        <v>2.41</v>
      </c>
      <c r="D457" s="23">
        <v>152.69999999999999</v>
      </c>
      <c r="E457" s="23">
        <v>85.23</v>
      </c>
      <c r="F457" s="23">
        <v>19.32</v>
      </c>
      <c r="G457" s="23">
        <v>528.20000000000005</v>
      </c>
      <c r="H457" s="23">
        <v>4.4740000000000002</v>
      </c>
      <c r="I457" s="13">
        <f t="shared" si="7"/>
        <v>4.4114906832298137</v>
      </c>
    </row>
    <row r="458" spans="2:9">
      <c r="C458" s="33">
        <v>2.423</v>
      </c>
      <c r="D458" s="23">
        <v>144</v>
      </c>
      <c r="E458" s="23">
        <v>85.42</v>
      </c>
      <c r="F458" s="23">
        <v>19.510000000000002</v>
      </c>
      <c r="G458" s="23">
        <v>529.1</v>
      </c>
      <c r="H458" s="23">
        <v>3.899</v>
      </c>
      <c r="I458" s="13">
        <f t="shared" si="7"/>
        <v>4.3782675550999484</v>
      </c>
    </row>
    <row r="459" spans="2:9">
      <c r="C459" s="33">
        <v>2.4809999999999999</v>
      </c>
      <c r="D459" s="23">
        <v>171.7</v>
      </c>
      <c r="E459" s="23">
        <v>85.67</v>
      </c>
      <c r="F459" s="23">
        <v>19.7</v>
      </c>
      <c r="G459" s="23">
        <v>528.1</v>
      </c>
      <c r="H459" s="23">
        <v>3.8660000000000001</v>
      </c>
      <c r="I459" s="13">
        <f t="shared" si="7"/>
        <v>4.3487309644670056</v>
      </c>
    </row>
    <row r="460" spans="2:9">
      <c r="C460" s="33">
        <v>2.4220000000000002</v>
      </c>
      <c r="D460" s="23">
        <v>156</v>
      </c>
      <c r="E460" s="23">
        <v>85.61</v>
      </c>
      <c r="F460" s="23">
        <v>20.079999999999998</v>
      </c>
      <c r="G460" s="23">
        <v>528.9</v>
      </c>
      <c r="H460" s="23">
        <v>3.9630000000000001</v>
      </c>
      <c r="I460" s="13">
        <f t="shared" si="7"/>
        <v>4.2634462151394423</v>
      </c>
    </row>
    <row r="461" spans="2:9">
      <c r="C461" s="33">
        <v>2.4900000000000002</v>
      </c>
      <c r="D461" s="23">
        <v>158.6</v>
      </c>
      <c r="E461" s="23">
        <v>85.37</v>
      </c>
      <c r="F461" s="23">
        <v>19.510000000000002</v>
      </c>
      <c r="G461" s="23">
        <v>529.20000000000005</v>
      </c>
      <c r="H461" s="23">
        <v>3.9775</v>
      </c>
      <c r="I461" s="13">
        <f t="shared" si="7"/>
        <v>4.3757047667862636</v>
      </c>
    </row>
    <row r="462" spans="2:9">
      <c r="B462" s="35">
        <v>24</v>
      </c>
      <c r="C462" s="36">
        <v>2.7160000000000002</v>
      </c>
      <c r="D462" s="50">
        <v>156.4</v>
      </c>
      <c r="E462" s="38">
        <v>98.29</v>
      </c>
      <c r="F462" s="38">
        <v>27.85</v>
      </c>
      <c r="G462" s="38">
        <v>526.1</v>
      </c>
      <c r="H462" s="38">
        <v>5.3620000000000001</v>
      </c>
      <c r="I462" s="13">
        <f t="shared" si="7"/>
        <v>3.5292639138240576</v>
      </c>
    </row>
    <row r="463" spans="2:9">
      <c r="C463" s="33">
        <v>2.7559999999999998</v>
      </c>
      <c r="D463" s="23">
        <v>162.30000000000001</v>
      </c>
      <c r="E463" s="23">
        <v>99.22</v>
      </c>
      <c r="F463" s="23">
        <v>27.28</v>
      </c>
      <c r="G463" s="23">
        <v>525.1</v>
      </c>
      <c r="H463" s="23">
        <v>5.4530000000000003</v>
      </c>
      <c r="I463" s="13">
        <f t="shared" si="7"/>
        <v>3.637096774193548</v>
      </c>
    </row>
    <row r="464" spans="2:9">
      <c r="C464" s="33">
        <v>2.71</v>
      </c>
      <c r="D464" s="23">
        <v>148.19999999999999</v>
      </c>
      <c r="E464" s="23">
        <v>99.9</v>
      </c>
      <c r="F464" s="23">
        <v>27.57</v>
      </c>
      <c r="G464" s="23">
        <v>532.6</v>
      </c>
      <c r="H464" s="23">
        <v>5.0039999999999996</v>
      </c>
      <c r="I464" s="13">
        <f t="shared" si="7"/>
        <v>3.6235038084874867</v>
      </c>
    </row>
    <row r="465" spans="3:9">
      <c r="C465" s="33">
        <v>2.6890000000000001</v>
      </c>
      <c r="D465" s="23">
        <v>142.19999999999999</v>
      </c>
      <c r="E465" s="23">
        <v>100</v>
      </c>
      <c r="F465" s="23">
        <v>27.38</v>
      </c>
      <c r="G465" s="23">
        <v>531.1</v>
      </c>
      <c r="H465" s="23">
        <v>5.7990000000000004</v>
      </c>
      <c r="I465" s="13">
        <f t="shared" si="7"/>
        <v>3.652300949598247</v>
      </c>
    </row>
    <row r="466" spans="3:9">
      <c r="C466" s="33">
        <v>2.7240000000000002</v>
      </c>
      <c r="D466" s="23">
        <v>138.30000000000001</v>
      </c>
      <c r="E466" s="23">
        <v>99.5</v>
      </c>
      <c r="F466" s="23">
        <v>27.12</v>
      </c>
      <c r="G466" s="23">
        <v>530.79999999999995</v>
      </c>
      <c r="H466" s="23">
        <v>5.9850000000000003</v>
      </c>
      <c r="I466" s="13">
        <f t="shared" si="7"/>
        <v>3.6688790560471976</v>
      </c>
    </row>
    <row r="467" spans="3:9">
      <c r="C467" s="33">
        <v>2.6560000000000001</v>
      </c>
      <c r="D467" s="23">
        <v>139</v>
      </c>
      <c r="E467" s="23">
        <v>99.9</v>
      </c>
      <c r="F467" s="23">
        <v>27.18</v>
      </c>
      <c r="G467" s="23">
        <v>526</v>
      </c>
      <c r="H467" s="23">
        <v>4.7839999999999998</v>
      </c>
      <c r="I467" s="13">
        <f t="shared" si="7"/>
        <v>3.6754966887417222</v>
      </c>
    </row>
    <row r="468" spans="3:9">
      <c r="C468" s="33">
        <v>2.6110000000000002</v>
      </c>
      <c r="D468" s="23">
        <v>145.19999999999999</v>
      </c>
      <c r="E468" s="23">
        <v>99.22</v>
      </c>
      <c r="F468" s="23">
        <v>27.75</v>
      </c>
      <c r="G468" s="23">
        <v>532.4</v>
      </c>
      <c r="H468" s="23">
        <v>4.3920000000000003</v>
      </c>
      <c r="I468" s="13">
        <f t="shared" si="7"/>
        <v>3.5754954954954954</v>
      </c>
    </row>
    <row r="469" spans="3:9">
      <c r="C469" s="33">
        <v>2.7829999999999999</v>
      </c>
      <c r="D469" s="23">
        <v>172.4</v>
      </c>
      <c r="E469" s="23">
        <v>99.35</v>
      </c>
      <c r="F469" s="23">
        <v>27.88</v>
      </c>
      <c r="G469" s="23">
        <v>531.4</v>
      </c>
      <c r="H469" s="23">
        <v>4.6239999999999997</v>
      </c>
      <c r="I469" s="13">
        <f t="shared" si="7"/>
        <v>3.5634863701578192</v>
      </c>
    </row>
    <row r="470" spans="3:9">
      <c r="C470" s="33">
        <v>2.7559999999999998</v>
      </c>
      <c r="D470" s="23">
        <v>168.1</v>
      </c>
      <c r="E470" s="23">
        <v>99.46</v>
      </c>
      <c r="F470" s="23">
        <v>27.73</v>
      </c>
      <c r="G470" s="23">
        <v>531.1</v>
      </c>
      <c r="H470" s="23">
        <v>4.9589999999999996</v>
      </c>
      <c r="I470" s="13">
        <f t="shared" si="7"/>
        <v>3.5867291741795886</v>
      </c>
    </row>
    <row r="471" spans="3:9">
      <c r="C471" s="33">
        <v>2.7709999999999999</v>
      </c>
      <c r="D471" s="23">
        <v>161.30000000000001</v>
      </c>
      <c r="E471" s="23">
        <v>99.76</v>
      </c>
      <c r="F471" s="23">
        <v>27.63</v>
      </c>
      <c r="G471" s="23">
        <v>535</v>
      </c>
      <c r="H471" s="23">
        <v>5.766</v>
      </c>
      <c r="I471" s="13">
        <f t="shared" si="7"/>
        <v>3.6105682229460734</v>
      </c>
    </row>
    <row r="472" spans="3:9">
      <c r="C472" s="33">
        <v>2.7149999999999999</v>
      </c>
      <c r="D472" s="23">
        <v>124.3</v>
      </c>
      <c r="E472" s="23">
        <v>99.36</v>
      </c>
      <c r="F472" s="23">
        <v>27.21</v>
      </c>
      <c r="G472" s="23">
        <v>532.1</v>
      </c>
      <c r="H472" s="23">
        <v>6.0810000000000004</v>
      </c>
      <c r="I472" s="13">
        <f t="shared" si="7"/>
        <v>3.651598676957001</v>
      </c>
    </row>
    <row r="473" spans="3:9">
      <c r="C473" s="33">
        <v>2.8530000000000002</v>
      </c>
      <c r="D473" s="23">
        <v>142.19999999999999</v>
      </c>
      <c r="E473" s="23">
        <v>99.63</v>
      </c>
      <c r="F473" s="23">
        <v>28.43</v>
      </c>
      <c r="G473" s="23">
        <v>527.20000000000005</v>
      </c>
      <c r="H473" s="23">
        <v>5.7080000000000002</v>
      </c>
      <c r="I473" s="13">
        <f t="shared" si="7"/>
        <v>3.5043967639817093</v>
      </c>
    </row>
    <row r="474" spans="3:9">
      <c r="C474" s="33">
        <v>2.637</v>
      </c>
      <c r="D474" s="23">
        <v>153.80000000000001</v>
      </c>
      <c r="E474" s="23">
        <v>99.64</v>
      </c>
      <c r="F474" s="23">
        <v>27.38</v>
      </c>
      <c r="G474" s="23">
        <v>528.70000000000005</v>
      </c>
      <c r="H474" s="23">
        <v>6.0430000000000001</v>
      </c>
      <c r="I474" s="13">
        <f t="shared" si="7"/>
        <v>3.6391526661796934</v>
      </c>
    </row>
    <row r="475" spans="3:9">
      <c r="C475" s="33">
        <v>2.54</v>
      </c>
      <c r="D475" s="23">
        <v>139</v>
      </c>
      <c r="E475" s="23">
        <v>99.25</v>
      </c>
      <c r="F475" s="23">
        <v>27.5</v>
      </c>
      <c r="G475" s="23">
        <v>527.29999999999995</v>
      </c>
      <c r="H475" s="23">
        <v>5.6840000000000002</v>
      </c>
      <c r="I475" s="13">
        <f t="shared" si="7"/>
        <v>3.6090909090909089</v>
      </c>
    </row>
    <row r="476" spans="3:9">
      <c r="C476" s="33">
        <v>2.762</v>
      </c>
      <c r="D476" s="23">
        <v>168.1</v>
      </c>
      <c r="E476" s="23">
        <v>99.38</v>
      </c>
      <c r="F476" s="23">
        <v>27.63</v>
      </c>
      <c r="G476" s="23">
        <v>523</v>
      </c>
      <c r="H476" s="23">
        <v>5.7149999999999999</v>
      </c>
      <c r="I476" s="13">
        <f t="shared" si="7"/>
        <v>3.5968150560984435</v>
      </c>
    </row>
    <row r="477" spans="3:9">
      <c r="C477" s="33">
        <v>2.742</v>
      </c>
      <c r="D477" s="23">
        <v>187.2</v>
      </c>
      <c r="E477" s="23">
        <v>99.37</v>
      </c>
      <c r="F477" s="23">
        <v>27.77</v>
      </c>
      <c r="G477" s="23">
        <v>524.70000000000005</v>
      </c>
      <c r="H477" s="23">
        <v>6.6870000000000003</v>
      </c>
      <c r="I477" s="13">
        <f t="shared" si="7"/>
        <v>3.5783219301404396</v>
      </c>
    </row>
    <row r="478" spans="3:9">
      <c r="C478" s="33">
        <v>2.6680000000000001</v>
      </c>
      <c r="D478" s="23">
        <v>191.1</v>
      </c>
      <c r="E478" s="23">
        <v>99.55</v>
      </c>
      <c r="F478" s="23">
        <v>27.92</v>
      </c>
      <c r="G478" s="23">
        <v>526.1</v>
      </c>
      <c r="H478" s="23">
        <v>5.8789999999999996</v>
      </c>
      <c r="I478" s="13">
        <f t="shared" si="7"/>
        <v>3.5655444126074496</v>
      </c>
    </row>
    <row r="479" spans="3:9">
      <c r="C479" s="33">
        <v>2.6720000000000002</v>
      </c>
      <c r="D479" s="23">
        <v>163.1</v>
      </c>
      <c r="E479" s="23">
        <v>99.64</v>
      </c>
      <c r="F479" s="23">
        <v>27.37</v>
      </c>
      <c r="G479" s="23">
        <v>526.6</v>
      </c>
      <c r="H479" s="23">
        <v>5.7080000000000002</v>
      </c>
      <c r="I479" s="13">
        <f t="shared" si="7"/>
        <v>3.6404822798684688</v>
      </c>
    </row>
    <row r="480" spans="3:9">
      <c r="C480" s="33">
        <v>2.7759999999999998</v>
      </c>
      <c r="D480" s="23">
        <v>109.9</v>
      </c>
      <c r="E480" s="23">
        <v>99.1</v>
      </c>
      <c r="F480" s="23">
        <v>27.47</v>
      </c>
      <c r="G480" s="23">
        <v>530.1</v>
      </c>
      <c r="H480" s="23">
        <v>5.4530000000000003</v>
      </c>
      <c r="I480" s="13">
        <f t="shared" si="7"/>
        <v>3.6075718966144885</v>
      </c>
    </row>
    <row r="481" spans="2:9">
      <c r="C481" s="33">
        <v>2.7130000000000001</v>
      </c>
      <c r="D481" s="23">
        <v>148.19999999999999</v>
      </c>
      <c r="E481" s="23">
        <v>99.36</v>
      </c>
      <c r="F481" s="23">
        <v>27.58</v>
      </c>
      <c r="G481" s="23">
        <v>528.1</v>
      </c>
      <c r="H481" s="23">
        <v>5.258</v>
      </c>
      <c r="I481" s="13">
        <f t="shared" si="7"/>
        <v>3.602610587382161</v>
      </c>
    </row>
    <row r="482" spans="2:9">
      <c r="B482" s="35">
        <v>25</v>
      </c>
      <c r="C482" s="36">
        <v>2.875</v>
      </c>
      <c r="D482" s="50">
        <v>175.2</v>
      </c>
      <c r="E482" s="38">
        <v>106.7</v>
      </c>
      <c r="F482" s="38">
        <v>39.79</v>
      </c>
      <c r="G482" s="38">
        <v>599.4</v>
      </c>
      <c r="H482" s="38">
        <v>4.0549999999999997</v>
      </c>
      <c r="I482" s="13">
        <f t="shared" si="7"/>
        <v>2.6815782860015078</v>
      </c>
    </row>
    <row r="483" spans="2:9">
      <c r="C483" s="33">
        <v>2.8809999999999998</v>
      </c>
      <c r="D483" s="23">
        <v>149.1</v>
      </c>
      <c r="E483" s="23">
        <v>107.6</v>
      </c>
      <c r="F483" s="23">
        <v>39.020000000000003</v>
      </c>
      <c r="G483" s="23">
        <v>596.1</v>
      </c>
      <c r="H483" s="23">
        <v>4.0780000000000003</v>
      </c>
      <c r="I483" s="13">
        <f t="shared" si="7"/>
        <v>2.7575602255253711</v>
      </c>
    </row>
    <row r="484" spans="2:9">
      <c r="C484" s="33">
        <v>2.9289999999999998</v>
      </c>
      <c r="D484" s="23">
        <v>155.80000000000001</v>
      </c>
      <c r="E484" s="23">
        <v>107.8</v>
      </c>
      <c r="F484" s="23">
        <v>39.29</v>
      </c>
      <c r="G484" s="23">
        <v>595.1</v>
      </c>
      <c r="H484" s="23">
        <v>4.0670000000000002</v>
      </c>
      <c r="I484" s="13">
        <f t="shared" si="7"/>
        <v>2.7437006871977601</v>
      </c>
    </row>
    <row r="485" spans="2:9">
      <c r="C485" s="33">
        <v>2.9180000000000001</v>
      </c>
      <c r="D485" s="23">
        <v>154.1</v>
      </c>
      <c r="E485" s="23">
        <v>107.2</v>
      </c>
      <c r="F485" s="23">
        <v>39.200000000000003</v>
      </c>
      <c r="G485" s="23">
        <v>600</v>
      </c>
      <c r="H485" s="23">
        <v>4.0439999999999996</v>
      </c>
      <c r="I485" s="13">
        <f t="shared" si="7"/>
        <v>2.7346938775510203</v>
      </c>
    </row>
    <row r="486" spans="2:9">
      <c r="C486" s="33">
        <v>2.9279999999999999</v>
      </c>
      <c r="D486" s="23">
        <v>149.4</v>
      </c>
      <c r="E486" s="23">
        <v>107.6</v>
      </c>
      <c r="F486" s="23">
        <v>39.28</v>
      </c>
      <c r="G486" s="23">
        <v>600.29999999999995</v>
      </c>
      <c r="H486" s="23">
        <v>4.0549999999999997</v>
      </c>
      <c r="I486" s="13">
        <f t="shared" si="7"/>
        <v>2.7393075356415477</v>
      </c>
    </row>
    <row r="487" spans="2:9">
      <c r="C487" s="33">
        <v>2.9649999999999999</v>
      </c>
      <c r="D487" s="23">
        <v>149.1</v>
      </c>
      <c r="E487" s="23">
        <v>107.9</v>
      </c>
      <c r="F487" s="23">
        <v>38.89</v>
      </c>
      <c r="G487" s="23">
        <v>599.6</v>
      </c>
      <c r="H487" s="23">
        <v>4.0199999999999996</v>
      </c>
      <c r="I487" s="13">
        <f t="shared" si="7"/>
        <v>2.7744921573669323</v>
      </c>
    </row>
    <row r="488" spans="2:9">
      <c r="C488" s="33">
        <v>2.9820000000000002</v>
      </c>
      <c r="D488" s="23">
        <v>160.30000000000001</v>
      </c>
      <c r="E488" s="23">
        <v>107.6</v>
      </c>
      <c r="F488" s="23">
        <v>39.97</v>
      </c>
      <c r="G488" s="23">
        <v>604.4</v>
      </c>
      <c r="H488" s="23">
        <v>4.0620000000000003</v>
      </c>
      <c r="I488" s="13">
        <f t="shared" si="7"/>
        <v>2.6920190142606955</v>
      </c>
    </row>
    <row r="489" spans="2:9">
      <c r="C489" s="33">
        <v>2.9249999999999998</v>
      </c>
      <c r="D489" s="23">
        <v>140.9</v>
      </c>
      <c r="E489" s="23">
        <v>107.3</v>
      </c>
      <c r="F489" s="23">
        <v>39.619999999999997</v>
      </c>
      <c r="G489" s="23">
        <v>600.29999999999995</v>
      </c>
      <c r="H489" s="23">
        <v>4.0179999999999998</v>
      </c>
      <c r="I489" s="13">
        <f t="shared" si="7"/>
        <v>2.7082281675921251</v>
      </c>
    </row>
    <row r="490" spans="2:9">
      <c r="C490" s="33">
        <v>2.9630000000000001</v>
      </c>
      <c r="D490" s="23">
        <v>144.9</v>
      </c>
      <c r="E490" s="23">
        <v>107.5</v>
      </c>
      <c r="F490" s="23">
        <v>39.46</v>
      </c>
      <c r="G490" s="23">
        <v>598.4</v>
      </c>
      <c r="H490" s="23">
        <v>4.0780000000000003</v>
      </c>
      <c r="I490" s="13">
        <f t="shared" si="7"/>
        <v>2.7242777496198682</v>
      </c>
    </row>
    <row r="491" spans="2:9">
      <c r="C491" s="33">
        <v>2.9489999999999998</v>
      </c>
      <c r="D491" s="23">
        <v>141.19999999999999</v>
      </c>
      <c r="E491" s="23">
        <v>107.6</v>
      </c>
      <c r="F491" s="23">
        <v>39.53</v>
      </c>
      <c r="G491" s="23">
        <v>596.1</v>
      </c>
      <c r="H491" s="23">
        <v>4.0839999999999996</v>
      </c>
      <c r="I491" s="13">
        <f t="shared" si="7"/>
        <v>2.7219833038198833</v>
      </c>
    </row>
    <row r="492" spans="2:9">
      <c r="C492" s="33">
        <v>2.9039999999999999</v>
      </c>
      <c r="D492" s="23">
        <v>138.69999999999999</v>
      </c>
      <c r="E492" s="23">
        <v>107.1</v>
      </c>
      <c r="F492" s="23">
        <v>39.71</v>
      </c>
      <c r="G492" s="23">
        <v>595.6</v>
      </c>
      <c r="H492" s="23">
        <v>4.1289999999999996</v>
      </c>
      <c r="I492" s="13">
        <f t="shared" si="7"/>
        <v>2.6970536388818935</v>
      </c>
    </row>
    <row r="493" spans="2:9">
      <c r="C493" s="33">
        <v>2.9470000000000001</v>
      </c>
      <c r="D493" s="23">
        <v>137.6</v>
      </c>
      <c r="E493" s="23">
        <v>106.9</v>
      </c>
      <c r="F493" s="23">
        <v>39.44</v>
      </c>
      <c r="G493" s="23">
        <v>608.4</v>
      </c>
      <c r="H493" s="23">
        <v>4.2</v>
      </c>
      <c r="I493" s="13">
        <f t="shared" si="7"/>
        <v>2.7104462474645032</v>
      </c>
    </row>
    <row r="494" spans="2:9">
      <c r="C494" s="33">
        <v>2.9020000000000001</v>
      </c>
      <c r="D494" s="23">
        <v>149.1</v>
      </c>
      <c r="E494" s="23">
        <v>107.5</v>
      </c>
      <c r="F494" s="23">
        <v>39.11</v>
      </c>
      <c r="G494" s="23">
        <v>594.4</v>
      </c>
      <c r="H494" s="23">
        <v>4.2889999999999997</v>
      </c>
      <c r="I494" s="13">
        <f t="shared" si="7"/>
        <v>2.7486576323190999</v>
      </c>
    </row>
    <row r="495" spans="2:9">
      <c r="C495" s="33">
        <v>2.8340000000000001</v>
      </c>
      <c r="D495" s="23">
        <v>159.69999999999999</v>
      </c>
      <c r="E495" s="23">
        <v>107.2</v>
      </c>
      <c r="F495" s="23">
        <v>39.43</v>
      </c>
      <c r="G495" s="23">
        <v>599.1</v>
      </c>
      <c r="H495" s="23">
        <v>4.383</v>
      </c>
      <c r="I495" s="13">
        <f t="shared" si="7"/>
        <v>2.7187420745625159</v>
      </c>
    </row>
    <row r="496" spans="2:9">
      <c r="C496" s="33">
        <v>2.7669999999999999</v>
      </c>
      <c r="D496" s="23">
        <v>162.69999999999999</v>
      </c>
      <c r="E496" s="23">
        <v>107.1</v>
      </c>
      <c r="F496" s="23">
        <v>39.15</v>
      </c>
      <c r="G496" s="23">
        <v>600.70000000000005</v>
      </c>
      <c r="H496" s="23">
        <v>4.6070000000000002</v>
      </c>
      <c r="I496" s="13">
        <f t="shared" si="7"/>
        <v>2.735632183908046</v>
      </c>
    </row>
    <row r="497" spans="2:9">
      <c r="C497" s="33">
        <v>2.8340000000000001</v>
      </c>
      <c r="D497" s="23">
        <v>139</v>
      </c>
      <c r="E497" s="23">
        <v>107.3</v>
      </c>
      <c r="F497" s="23">
        <v>39.17</v>
      </c>
      <c r="G497" s="23">
        <v>602.29999999999995</v>
      </c>
      <c r="H497" s="23">
        <v>4.5709999999999997</v>
      </c>
      <c r="I497" s="13">
        <f t="shared" si="7"/>
        <v>2.7393413326525402</v>
      </c>
    </row>
    <row r="498" spans="2:9">
      <c r="C498" s="33">
        <v>2.875</v>
      </c>
      <c r="D498" s="23">
        <v>161.19999999999999</v>
      </c>
      <c r="E498" s="23">
        <v>107.7</v>
      </c>
      <c r="F498" s="23">
        <v>39.19</v>
      </c>
      <c r="G498" s="23">
        <v>603.5</v>
      </c>
      <c r="H498" s="23">
        <v>4.5259999999999998</v>
      </c>
      <c r="I498" s="13">
        <f t="shared" si="7"/>
        <v>2.7481500382750705</v>
      </c>
    </row>
    <row r="499" spans="2:9">
      <c r="C499" s="33">
        <v>2.8980000000000001</v>
      </c>
      <c r="D499" s="23">
        <v>158.80000000000001</v>
      </c>
      <c r="E499" s="23">
        <v>107.5</v>
      </c>
      <c r="F499" s="23">
        <v>39.020000000000003</v>
      </c>
      <c r="G499" s="23">
        <v>600.29999999999995</v>
      </c>
      <c r="H499" s="23">
        <v>4.6790000000000003</v>
      </c>
      <c r="I499" s="13">
        <f t="shared" si="7"/>
        <v>2.7549974372116859</v>
      </c>
    </row>
    <row r="500" spans="2:9">
      <c r="C500" s="33">
        <v>2.9790000000000001</v>
      </c>
      <c r="D500" s="23">
        <v>148.19999999999999</v>
      </c>
      <c r="E500" s="23">
        <v>107.6</v>
      </c>
      <c r="F500" s="23">
        <v>39.18</v>
      </c>
      <c r="G500" s="23">
        <v>591.4</v>
      </c>
      <c r="H500" s="23">
        <v>4.8239999999999998</v>
      </c>
      <c r="I500" s="13">
        <f t="shared" si="7"/>
        <v>2.7462991322103112</v>
      </c>
    </row>
    <row r="501" spans="2:9">
      <c r="C501" s="33">
        <v>2.9430000000000001</v>
      </c>
      <c r="D501" s="23">
        <v>180.4</v>
      </c>
      <c r="E501" s="23">
        <v>107.5</v>
      </c>
      <c r="F501" s="23">
        <v>39.26</v>
      </c>
      <c r="G501" s="23">
        <v>597.6</v>
      </c>
      <c r="H501" s="23">
        <v>4.5380000000000003</v>
      </c>
      <c r="I501" s="13">
        <f t="shared" si="7"/>
        <v>2.7381558838512481</v>
      </c>
    </row>
    <row r="502" spans="2:9">
      <c r="B502" s="35">
        <v>26</v>
      </c>
      <c r="C502" s="36">
        <v>2.7469999999999999</v>
      </c>
      <c r="D502" s="50">
        <v>157.6</v>
      </c>
      <c r="E502" s="38">
        <v>86.93</v>
      </c>
      <c r="F502" s="38">
        <v>30.91</v>
      </c>
      <c r="G502" s="38">
        <v>578.29999999999995</v>
      </c>
      <c r="H502" s="38">
        <v>5.6929999999999996</v>
      </c>
      <c r="I502" s="13">
        <f t="shared" si="7"/>
        <v>2.8123584600452931</v>
      </c>
    </row>
    <row r="503" spans="2:9">
      <c r="C503" s="33">
        <v>2.6480000000000001</v>
      </c>
      <c r="D503" s="23">
        <v>171.3</v>
      </c>
      <c r="E503" s="23">
        <v>86.14</v>
      </c>
      <c r="F503" s="23">
        <v>30.41</v>
      </c>
      <c r="G503" s="23">
        <v>570.5</v>
      </c>
      <c r="H503" s="23">
        <v>6.1459999999999999</v>
      </c>
      <c r="I503" s="13">
        <f t="shared" si="7"/>
        <v>2.8326208484051301</v>
      </c>
    </row>
    <row r="504" spans="2:9">
      <c r="C504" s="33">
        <v>2.67</v>
      </c>
      <c r="D504" s="23">
        <v>179.3</v>
      </c>
      <c r="E504" s="23">
        <v>86.76</v>
      </c>
      <c r="F504" s="23">
        <v>30.2</v>
      </c>
      <c r="G504" s="23">
        <v>575.5</v>
      </c>
      <c r="H504" s="23">
        <v>6.2569999999999997</v>
      </c>
      <c r="I504" s="13">
        <f t="shared" si="7"/>
        <v>2.8728476821192057</v>
      </c>
    </row>
    <row r="505" spans="2:9">
      <c r="C505" s="33">
        <v>2.7610000000000001</v>
      </c>
      <c r="D505" s="23">
        <v>204.3</v>
      </c>
      <c r="E505" s="23">
        <v>87.06</v>
      </c>
      <c r="F505" s="23">
        <v>30.43</v>
      </c>
      <c r="G505" s="23">
        <v>574.1</v>
      </c>
      <c r="H505" s="23">
        <v>6.6180000000000003</v>
      </c>
      <c r="I505" s="13">
        <f t="shared" si="7"/>
        <v>2.8609924416694055</v>
      </c>
    </row>
    <row r="506" spans="2:9">
      <c r="C506" s="33">
        <v>2.8679999999999999</v>
      </c>
      <c r="D506" s="23">
        <v>164.7</v>
      </c>
      <c r="E506" s="23">
        <v>86.84</v>
      </c>
      <c r="F506" s="23">
        <v>30.56</v>
      </c>
      <c r="G506" s="23">
        <v>570.20000000000005</v>
      </c>
      <c r="H506" s="23">
        <v>6.6680000000000001</v>
      </c>
      <c r="I506" s="13">
        <f t="shared" si="7"/>
        <v>2.841623036649215</v>
      </c>
    </row>
    <row r="507" spans="2:9">
      <c r="C507" s="33">
        <v>2.8380000000000001</v>
      </c>
      <c r="D507" s="23">
        <v>192.3</v>
      </c>
      <c r="E507" s="23">
        <v>86.81</v>
      </c>
      <c r="F507" s="23">
        <v>30.76</v>
      </c>
      <c r="G507" s="23">
        <v>565.4</v>
      </c>
      <c r="H507" s="23">
        <v>6.2450000000000001</v>
      </c>
      <c r="I507" s="13">
        <f t="shared" si="7"/>
        <v>2.8221716514954487</v>
      </c>
    </row>
    <row r="508" spans="2:9">
      <c r="C508" s="33">
        <v>2.8769999999999998</v>
      </c>
      <c r="D508" s="23">
        <v>186.1</v>
      </c>
      <c r="E508" s="23">
        <v>86.91</v>
      </c>
      <c r="F508" s="23">
        <v>30.26</v>
      </c>
      <c r="G508" s="23">
        <v>576.20000000000005</v>
      </c>
      <c r="H508" s="23">
        <v>5.7110000000000003</v>
      </c>
      <c r="I508" s="13">
        <f t="shared" si="7"/>
        <v>2.8721083939193655</v>
      </c>
    </row>
    <row r="509" spans="2:9">
      <c r="C509" s="33">
        <v>2.8069999999999999</v>
      </c>
      <c r="D509" s="23">
        <v>222.1</v>
      </c>
      <c r="E509" s="23">
        <v>86.84</v>
      </c>
      <c r="F509" s="23">
        <v>30.42</v>
      </c>
      <c r="G509" s="23">
        <v>569.70000000000005</v>
      </c>
      <c r="H509" s="23">
        <v>5.6689999999999996</v>
      </c>
      <c r="I509" s="13">
        <f t="shared" si="7"/>
        <v>2.8547008547008548</v>
      </c>
    </row>
    <row r="510" spans="2:9">
      <c r="C510" s="33">
        <v>2.774</v>
      </c>
      <c r="D510" s="23">
        <v>218</v>
      </c>
      <c r="E510" s="23">
        <v>86.74</v>
      </c>
      <c r="F510" s="23">
        <v>30.4</v>
      </c>
      <c r="G510" s="23">
        <v>574.5</v>
      </c>
      <c r="H510" s="23">
        <v>5.6</v>
      </c>
      <c r="I510" s="13">
        <f t="shared" si="7"/>
        <v>2.8532894736842107</v>
      </c>
    </row>
    <row r="511" spans="2:9">
      <c r="C511" s="33">
        <v>2.7650000000000001</v>
      </c>
      <c r="D511" s="23">
        <v>204.3</v>
      </c>
      <c r="E511" s="23">
        <v>86.01</v>
      </c>
      <c r="F511" s="23">
        <v>30.48</v>
      </c>
      <c r="G511" s="23">
        <v>572</v>
      </c>
      <c r="H511" s="23">
        <v>5.6989999999999998</v>
      </c>
      <c r="I511" s="13">
        <f t="shared" si="7"/>
        <v>2.8218503937007875</v>
      </c>
    </row>
    <row r="512" spans="2:9">
      <c r="C512" s="33">
        <v>2.653</v>
      </c>
      <c r="D512" s="23">
        <v>148.80000000000001</v>
      </c>
      <c r="E512" s="23">
        <v>86.56</v>
      </c>
      <c r="F512" s="23">
        <v>30.44</v>
      </c>
      <c r="G512" s="23">
        <v>564.70000000000005</v>
      </c>
      <c r="H512" s="23">
        <v>5.5430000000000001</v>
      </c>
      <c r="I512" s="13">
        <f t="shared" si="7"/>
        <v>2.8436268068331141</v>
      </c>
    </row>
    <row r="513" spans="2:9">
      <c r="C513" s="33">
        <v>2.5529999999999999</v>
      </c>
      <c r="D513" s="23">
        <v>130.30000000000001</v>
      </c>
      <c r="E513" s="23">
        <v>86.69</v>
      </c>
      <c r="F513" s="23">
        <v>30.42</v>
      </c>
      <c r="G513" s="23">
        <v>574.1</v>
      </c>
      <c r="H513" s="23">
        <v>5.23</v>
      </c>
      <c r="I513" s="13">
        <f t="shared" si="7"/>
        <v>2.8497698882314264</v>
      </c>
    </row>
    <row r="514" spans="2:9">
      <c r="C514" s="33">
        <v>2.5680000000000001</v>
      </c>
      <c r="D514" s="23">
        <v>152.6</v>
      </c>
      <c r="E514" s="23">
        <v>86.19</v>
      </c>
      <c r="F514" s="23">
        <v>30.21</v>
      </c>
      <c r="G514" s="23">
        <v>586.70000000000005</v>
      </c>
      <c r="H514" s="23">
        <v>5.7110000000000003</v>
      </c>
      <c r="I514" s="13">
        <f t="shared" si="7"/>
        <v>2.8530287984111218</v>
      </c>
    </row>
    <row r="515" spans="2:9">
      <c r="C515" s="33">
        <v>2.4750000000000001</v>
      </c>
      <c r="D515" s="23">
        <v>138</v>
      </c>
      <c r="E515" s="23">
        <v>86.53</v>
      </c>
      <c r="F515" s="23">
        <v>30.61</v>
      </c>
      <c r="G515" s="23">
        <v>588.4</v>
      </c>
      <c r="H515" s="23">
        <v>6.3120000000000003</v>
      </c>
      <c r="I515" s="13">
        <f t="shared" ref="I515:I578" si="8">E515/F515</f>
        <v>2.8268539692910815</v>
      </c>
    </row>
    <row r="516" spans="2:9">
      <c r="C516" s="33">
        <v>2.468</v>
      </c>
      <c r="D516" s="23">
        <v>103.6</v>
      </c>
      <c r="E516" s="23">
        <v>86.35</v>
      </c>
      <c r="F516" s="23">
        <v>30.97</v>
      </c>
      <c r="G516" s="23">
        <v>582.5</v>
      </c>
      <c r="H516" s="23">
        <v>5.7770000000000001</v>
      </c>
      <c r="I516" s="13">
        <f t="shared" si="8"/>
        <v>2.7881821117210204</v>
      </c>
    </row>
    <row r="517" spans="2:9">
      <c r="C517" s="33">
        <v>2.6930000000000001</v>
      </c>
      <c r="D517" s="23">
        <v>152.6</v>
      </c>
      <c r="E517" s="23">
        <v>85.95</v>
      </c>
      <c r="F517" s="23">
        <v>30.22</v>
      </c>
      <c r="G517" s="23">
        <v>572.1</v>
      </c>
      <c r="H517" s="23">
        <v>5.8890000000000002</v>
      </c>
      <c r="I517" s="13">
        <f t="shared" si="8"/>
        <v>2.8441429516876244</v>
      </c>
    </row>
    <row r="518" spans="2:9">
      <c r="C518" s="33">
        <v>2.7160000000000002</v>
      </c>
      <c r="D518" s="23">
        <v>172.2</v>
      </c>
      <c r="E518" s="23">
        <v>86.56</v>
      </c>
      <c r="F518" s="23">
        <v>30.41</v>
      </c>
      <c r="G518" s="23">
        <v>578.29999999999995</v>
      </c>
      <c r="H518" s="23">
        <v>5.9790000000000001</v>
      </c>
      <c r="I518" s="13">
        <f t="shared" si="8"/>
        <v>2.8464320947056891</v>
      </c>
    </row>
    <row r="519" spans="2:9">
      <c r="C519" s="33">
        <v>2.7770000000000001</v>
      </c>
      <c r="D519" s="23">
        <v>183.5</v>
      </c>
      <c r="E519" s="23">
        <v>86.23</v>
      </c>
      <c r="F519" s="23">
        <v>30.43</v>
      </c>
      <c r="G519" s="23">
        <v>585.4</v>
      </c>
      <c r="H519" s="23">
        <v>5.95</v>
      </c>
      <c r="I519" s="13">
        <f t="shared" si="8"/>
        <v>2.8337167269142296</v>
      </c>
    </row>
    <row r="520" spans="2:9">
      <c r="C520" s="33">
        <v>2.7160000000000002</v>
      </c>
      <c r="D520" s="23">
        <v>186.1</v>
      </c>
      <c r="E520" s="23">
        <v>86.19</v>
      </c>
      <c r="F520" s="23">
        <v>30.62</v>
      </c>
      <c r="G520" s="23">
        <v>591.79999999999995</v>
      </c>
      <c r="H520" s="23">
        <v>5.633</v>
      </c>
      <c r="I520" s="13">
        <f t="shared" si="8"/>
        <v>2.8148269105160026</v>
      </c>
    </row>
    <row r="521" spans="2:9">
      <c r="C521" s="33">
        <v>2.6579999999999999</v>
      </c>
      <c r="D521" s="23">
        <v>184.9</v>
      </c>
      <c r="E521" s="23">
        <v>86.9</v>
      </c>
      <c r="F521" s="23">
        <v>30.6</v>
      </c>
      <c r="G521" s="23">
        <v>588.4</v>
      </c>
      <c r="H521" s="23">
        <v>5.9290000000000003</v>
      </c>
      <c r="I521" s="13">
        <f t="shared" si="8"/>
        <v>2.8398692810457518</v>
      </c>
    </row>
    <row r="522" spans="2:9">
      <c r="B522" s="35">
        <v>27</v>
      </c>
      <c r="C522" s="36">
        <v>1.9650000000000001</v>
      </c>
      <c r="D522" s="38">
        <v>114.9</v>
      </c>
      <c r="E522" s="38">
        <v>92.88</v>
      </c>
      <c r="F522" s="38">
        <v>23.81</v>
      </c>
      <c r="G522" s="38">
        <v>578.79999999999995</v>
      </c>
      <c r="H522" s="38">
        <v>5.6829999999999998</v>
      </c>
      <c r="I522" s="13">
        <f t="shared" si="8"/>
        <v>3.9008819823603527</v>
      </c>
    </row>
    <row r="523" spans="2:9">
      <c r="C523" s="33">
        <v>1.958</v>
      </c>
      <c r="D523" s="23">
        <v>113.1</v>
      </c>
      <c r="E523" s="23">
        <v>92.59</v>
      </c>
      <c r="F523" s="23">
        <v>23.4</v>
      </c>
      <c r="G523" s="23">
        <v>570.1</v>
      </c>
      <c r="H523" s="23">
        <v>5.35</v>
      </c>
      <c r="I523" s="13">
        <f t="shared" si="8"/>
        <v>3.9568376068376074</v>
      </c>
    </row>
    <row r="524" spans="2:9">
      <c r="C524" s="33">
        <v>1.9410000000000001</v>
      </c>
      <c r="D524" s="23">
        <v>136.9</v>
      </c>
      <c r="E524" s="23">
        <v>92.45</v>
      </c>
      <c r="F524" s="23">
        <v>23.1</v>
      </c>
      <c r="G524" s="23">
        <v>572.20000000000005</v>
      </c>
      <c r="H524" s="23">
        <v>5.2430000000000003</v>
      </c>
      <c r="I524" s="13">
        <f t="shared" si="8"/>
        <v>4.0021645021645025</v>
      </c>
    </row>
    <row r="525" spans="2:9">
      <c r="C525" s="33">
        <v>2.0449999999999999</v>
      </c>
      <c r="D525" s="23">
        <v>152.69999999999999</v>
      </c>
      <c r="E525" s="23">
        <v>92.36</v>
      </c>
      <c r="F525" s="23">
        <v>22.99</v>
      </c>
      <c r="G525" s="23">
        <v>573.1</v>
      </c>
      <c r="H525" s="23">
        <v>5.1420000000000003</v>
      </c>
      <c r="I525" s="13">
        <f t="shared" si="8"/>
        <v>4.0173988690735101</v>
      </c>
    </row>
    <row r="526" spans="2:9">
      <c r="C526" s="33">
        <v>2.073</v>
      </c>
      <c r="D526" s="23">
        <v>173.6</v>
      </c>
      <c r="E526" s="23">
        <v>92.32</v>
      </c>
      <c r="F526" s="23">
        <v>23.16</v>
      </c>
      <c r="G526" s="23">
        <v>573.6</v>
      </c>
      <c r="H526" s="23">
        <v>5.3140000000000001</v>
      </c>
      <c r="I526" s="13">
        <f t="shared" si="8"/>
        <v>3.9861830742659756</v>
      </c>
    </row>
    <row r="527" spans="2:9">
      <c r="C527" s="33">
        <v>2.0750000000000002</v>
      </c>
      <c r="D527" s="23">
        <v>128.19999999999999</v>
      </c>
      <c r="E527" s="23">
        <v>92.31</v>
      </c>
      <c r="F527" s="23">
        <v>23.98</v>
      </c>
      <c r="G527" s="23">
        <v>574.6</v>
      </c>
      <c r="H527" s="23">
        <v>5.3360000000000003</v>
      </c>
      <c r="I527" s="13">
        <f t="shared" si="8"/>
        <v>3.8494578815679734</v>
      </c>
    </row>
    <row r="528" spans="2:9">
      <c r="C528" s="33">
        <v>2.0579999999999998</v>
      </c>
      <c r="D528" s="23">
        <v>130.1</v>
      </c>
      <c r="E528" s="23">
        <v>92.45</v>
      </c>
      <c r="F528" s="23">
        <v>23.69</v>
      </c>
      <c r="G528" s="23">
        <v>576.9</v>
      </c>
      <c r="H528" s="23">
        <v>5.1210000000000004</v>
      </c>
      <c r="I528" s="13">
        <f t="shared" si="8"/>
        <v>3.9024905023216547</v>
      </c>
    </row>
    <row r="529" spans="2:9">
      <c r="C529" s="33">
        <v>2.125</v>
      </c>
      <c r="D529" s="23">
        <v>158.30000000000001</v>
      </c>
      <c r="E529" s="23">
        <v>91.77</v>
      </c>
      <c r="F529" s="23">
        <v>23.78</v>
      </c>
      <c r="G529" s="23">
        <v>572.9</v>
      </c>
      <c r="H529" s="23">
        <v>5.2619999999999996</v>
      </c>
      <c r="I529" s="13">
        <f t="shared" si="8"/>
        <v>3.8591253153910845</v>
      </c>
    </row>
    <row r="530" spans="2:9">
      <c r="C530" s="33">
        <v>2.1070000000000002</v>
      </c>
      <c r="D530" s="23">
        <v>161.6</v>
      </c>
      <c r="E530" s="23">
        <v>92.72</v>
      </c>
      <c r="F530" s="23">
        <v>23.85</v>
      </c>
      <c r="G530" s="23">
        <v>570.5</v>
      </c>
      <c r="H530" s="23">
        <v>5.78</v>
      </c>
      <c r="I530" s="13">
        <f t="shared" si="8"/>
        <v>3.8876310272536685</v>
      </c>
    </row>
    <row r="531" spans="2:9">
      <c r="C531" s="33">
        <v>2.0790000000000002</v>
      </c>
      <c r="D531" s="23">
        <v>151.4</v>
      </c>
      <c r="E531" s="23">
        <v>92.45</v>
      </c>
      <c r="F531" s="23">
        <v>23.28</v>
      </c>
      <c r="G531" s="23">
        <v>570.4</v>
      </c>
      <c r="H531" s="23">
        <v>5.6849999999999996</v>
      </c>
      <c r="I531" s="13">
        <f t="shared" si="8"/>
        <v>3.9712199312714778</v>
      </c>
    </row>
    <row r="532" spans="2:9">
      <c r="C532" s="33">
        <v>2.0449999999999999</v>
      </c>
      <c r="D532" s="23">
        <v>139.4</v>
      </c>
      <c r="E532" s="23">
        <v>92.74</v>
      </c>
      <c r="F532" s="23">
        <v>23.28</v>
      </c>
      <c r="G532" s="23">
        <v>568.29999999999995</v>
      </c>
      <c r="H532" s="23">
        <v>5.6440000000000001</v>
      </c>
      <c r="I532" s="13">
        <f t="shared" si="8"/>
        <v>3.9836769759450168</v>
      </c>
    </row>
    <row r="533" spans="2:9">
      <c r="C533" s="33">
        <v>2.0049999999999999</v>
      </c>
      <c r="D533" s="23">
        <v>148.1</v>
      </c>
      <c r="E533" s="23">
        <v>92.46</v>
      </c>
      <c r="F533" s="23">
        <v>23.35</v>
      </c>
      <c r="G533" s="23">
        <v>570.29999999999995</v>
      </c>
      <c r="H533" s="23">
        <v>5.35</v>
      </c>
      <c r="I533" s="13">
        <f t="shared" si="8"/>
        <v>3.9597430406852245</v>
      </c>
    </row>
    <row r="534" spans="2:9">
      <c r="C534" s="33">
        <v>2.0449999999999999</v>
      </c>
      <c r="D534" s="23">
        <v>142.5</v>
      </c>
      <c r="E534" s="23">
        <v>92.32</v>
      </c>
      <c r="F534" s="23">
        <v>23.58</v>
      </c>
      <c r="G534" s="23">
        <v>571.79999999999995</v>
      </c>
      <c r="H534" s="23">
        <v>5.31</v>
      </c>
      <c r="I534" s="13">
        <f t="shared" si="8"/>
        <v>3.9151823579304494</v>
      </c>
    </row>
    <row r="535" spans="2:9">
      <c r="C535" s="33">
        <v>2.0249999999999999</v>
      </c>
      <c r="D535" s="23">
        <v>148.19999999999999</v>
      </c>
      <c r="E535" s="23">
        <v>92.05</v>
      </c>
      <c r="F535" s="23">
        <v>23.38</v>
      </c>
      <c r="G535" s="23">
        <v>575.70000000000005</v>
      </c>
      <c r="H535" s="23">
        <v>5.4580000000000002</v>
      </c>
      <c r="I535" s="13">
        <f t="shared" si="8"/>
        <v>3.9371257485029942</v>
      </c>
    </row>
    <row r="536" spans="2:9">
      <c r="C536" s="33">
        <v>2.0449999999999999</v>
      </c>
      <c r="D536" s="23">
        <v>113.2</v>
      </c>
      <c r="E536" s="23">
        <v>92.33</v>
      </c>
      <c r="F536" s="23">
        <v>23.1</v>
      </c>
      <c r="G536" s="23">
        <v>576</v>
      </c>
      <c r="H536" s="23">
        <v>5.2949999999999999</v>
      </c>
      <c r="I536" s="13">
        <f t="shared" si="8"/>
        <v>3.9969696969696966</v>
      </c>
    </row>
    <row r="537" spans="2:9">
      <c r="C537" s="33">
        <v>2.0350000000000001</v>
      </c>
      <c r="D537" s="23">
        <v>128.19999999999999</v>
      </c>
      <c r="E537" s="23">
        <v>92.7</v>
      </c>
      <c r="F537" s="23">
        <v>22.99</v>
      </c>
      <c r="G537" s="23">
        <v>582.4</v>
      </c>
      <c r="H537" s="23">
        <v>5.1859999999999999</v>
      </c>
      <c r="I537" s="13">
        <f t="shared" si="8"/>
        <v>4.0321879077859943</v>
      </c>
    </row>
    <row r="538" spans="2:9">
      <c r="C538" s="33">
        <v>2.0329999999999999</v>
      </c>
      <c r="D538" s="23">
        <v>140.80000000000001</v>
      </c>
      <c r="E538" s="23">
        <v>92.07</v>
      </c>
      <c r="F538" s="23">
        <v>23.96</v>
      </c>
      <c r="G538" s="23">
        <v>589.29999999999995</v>
      </c>
      <c r="H538" s="23">
        <v>5.2619999999999996</v>
      </c>
      <c r="I538" s="13">
        <f t="shared" si="8"/>
        <v>3.8426544240400662</v>
      </c>
    </row>
    <row r="539" spans="2:9">
      <c r="C539" s="33">
        <v>2.044</v>
      </c>
      <c r="D539" s="23">
        <v>137.6</v>
      </c>
      <c r="E539" s="23">
        <v>92.21</v>
      </c>
      <c r="F539" s="23">
        <v>23.84</v>
      </c>
      <c r="G539" s="23">
        <v>574.9</v>
      </c>
      <c r="H539" s="23">
        <v>5.1929999999999996</v>
      </c>
      <c r="I539" s="13">
        <f t="shared" si="8"/>
        <v>3.8678691275167782</v>
      </c>
    </row>
    <row r="540" spans="2:9">
      <c r="C540" s="33">
        <v>2.093</v>
      </c>
      <c r="D540" s="23">
        <v>112.8</v>
      </c>
      <c r="E540" s="23">
        <v>92.43</v>
      </c>
      <c r="F540" s="23">
        <v>23.31</v>
      </c>
      <c r="G540" s="23">
        <v>568.5</v>
      </c>
      <c r="H540" s="23">
        <v>5.3360000000000003</v>
      </c>
      <c r="I540" s="13">
        <f t="shared" si="8"/>
        <v>3.9652509652509655</v>
      </c>
    </row>
    <row r="541" spans="2:9">
      <c r="C541" s="33">
        <v>2.1240000000000001</v>
      </c>
      <c r="D541" s="23">
        <v>138.4</v>
      </c>
      <c r="E541" s="23">
        <v>92.16</v>
      </c>
      <c r="F541" s="23">
        <v>23.52</v>
      </c>
      <c r="G541" s="23">
        <v>569.6</v>
      </c>
      <c r="H541" s="23">
        <v>5.3140000000000001</v>
      </c>
      <c r="I541" s="13">
        <f t="shared" si="8"/>
        <v>3.9183673469387754</v>
      </c>
    </row>
    <row r="542" spans="2:9">
      <c r="B542" s="35">
        <v>28</v>
      </c>
      <c r="C542" s="36">
        <v>1.78</v>
      </c>
      <c r="D542" s="38">
        <v>112.4</v>
      </c>
      <c r="E542" s="38">
        <v>82.69</v>
      </c>
      <c r="F542" s="38">
        <v>22.75</v>
      </c>
      <c r="G542" s="38">
        <v>585.6</v>
      </c>
      <c r="H542" s="38">
        <v>5.61</v>
      </c>
      <c r="I542" s="13">
        <f t="shared" si="8"/>
        <v>3.6347252747252745</v>
      </c>
    </row>
    <row r="543" spans="2:9">
      <c r="C543" s="33">
        <v>1.782</v>
      </c>
      <c r="D543" s="23">
        <v>120.7</v>
      </c>
      <c r="E543" s="23">
        <v>82.61</v>
      </c>
      <c r="F543" s="23">
        <v>22.82</v>
      </c>
      <c r="G543" s="23">
        <v>586.79999999999995</v>
      </c>
      <c r="H543" s="23">
        <v>5.5010000000000003</v>
      </c>
      <c r="I543" s="13">
        <f t="shared" si="8"/>
        <v>3.6200701139351446</v>
      </c>
    </row>
    <row r="544" spans="2:9">
      <c r="C544" s="33">
        <v>1.7450000000000001</v>
      </c>
      <c r="D544" s="23">
        <v>114.4</v>
      </c>
      <c r="E544" s="23">
        <v>82.24</v>
      </c>
      <c r="F544" s="23">
        <v>23</v>
      </c>
      <c r="G544" s="23">
        <v>592.9</v>
      </c>
      <c r="H544" s="23">
        <v>5.4320000000000004</v>
      </c>
      <c r="I544" s="13">
        <f t="shared" si="8"/>
        <v>3.5756521739130434</v>
      </c>
    </row>
    <row r="545" spans="3:9">
      <c r="C545" s="33">
        <v>1.7</v>
      </c>
      <c r="D545" s="23">
        <v>167.9</v>
      </c>
      <c r="E545" s="23">
        <v>82.8</v>
      </c>
      <c r="F545" s="23">
        <v>22.57</v>
      </c>
      <c r="G545" s="23">
        <v>586.1</v>
      </c>
      <c r="H545" s="23">
        <v>5.375</v>
      </c>
      <c r="I545" s="13">
        <f t="shared" si="8"/>
        <v>3.6685866194062915</v>
      </c>
    </row>
    <row r="546" spans="3:9">
      <c r="C546" s="33">
        <v>1.78</v>
      </c>
      <c r="D546" s="23">
        <v>162.69999999999999</v>
      </c>
      <c r="E546" s="23">
        <v>82.37</v>
      </c>
      <c r="F546" s="23">
        <v>22.21</v>
      </c>
      <c r="G546" s="23">
        <v>578.29999999999995</v>
      </c>
      <c r="H546" s="23">
        <v>5.49</v>
      </c>
      <c r="I546" s="13">
        <f t="shared" si="8"/>
        <v>3.7086897793786582</v>
      </c>
    </row>
    <row r="547" spans="3:9">
      <c r="C547" s="33">
        <v>1.7669999999999999</v>
      </c>
      <c r="D547" s="23">
        <v>167.3</v>
      </c>
      <c r="E547" s="23">
        <v>82.22</v>
      </c>
      <c r="F547" s="23">
        <v>22.52</v>
      </c>
      <c r="G547" s="23">
        <v>587.1</v>
      </c>
      <c r="H547" s="23">
        <v>5.407</v>
      </c>
      <c r="I547" s="13">
        <f t="shared" si="8"/>
        <v>3.6509769094138544</v>
      </c>
    </row>
    <row r="548" spans="3:9">
      <c r="C548" s="33">
        <v>1.738</v>
      </c>
      <c r="D548" s="23">
        <v>115.1</v>
      </c>
      <c r="E548" s="23">
        <v>82.41</v>
      </c>
      <c r="F548" s="23">
        <v>22.36</v>
      </c>
      <c r="G548" s="23">
        <v>590.9</v>
      </c>
      <c r="H548" s="23">
        <v>5.375</v>
      </c>
      <c r="I548" s="13">
        <f t="shared" si="8"/>
        <v>3.6855992844364938</v>
      </c>
    </row>
    <row r="549" spans="3:9">
      <c r="C549" s="33">
        <v>1.782</v>
      </c>
      <c r="D549" s="23">
        <v>134.9</v>
      </c>
      <c r="E549" s="23">
        <v>82.52</v>
      </c>
      <c r="F549" s="23">
        <v>22.15</v>
      </c>
      <c r="G549" s="23">
        <v>589</v>
      </c>
      <c r="H549" s="23">
        <v>5.431</v>
      </c>
      <c r="I549" s="13">
        <f t="shared" si="8"/>
        <v>3.7255079006772012</v>
      </c>
    </row>
    <row r="550" spans="3:9">
      <c r="C550" s="33">
        <v>1.766</v>
      </c>
      <c r="D550" s="23">
        <v>120.7</v>
      </c>
      <c r="E550" s="23">
        <v>82.91</v>
      </c>
      <c r="F550" s="23">
        <v>22.68</v>
      </c>
      <c r="G550" s="23">
        <v>584.70000000000005</v>
      </c>
      <c r="H550" s="23">
        <v>5.452</v>
      </c>
      <c r="I550" s="13">
        <f t="shared" si="8"/>
        <v>3.6556437389770724</v>
      </c>
    </row>
    <row r="551" spans="3:9">
      <c r="C551" s="33">
        <v>1.7410000000000001</v>
      </c>
      <c r="D551" s="23">
        <v>141.6</v>
      </c>
      <c r="E551" s="23">
        <v>82.85</v>
      </c>
      <c r="F551" s="23">
        <v>22.72</v>
      </c>
      <c r="G551" s="23">
        <v>585.79999999999995</v>
      </c>
      <c r="H551" s="23">
        <v>5.6070000000000002</v>
      </c>
      <c r="I551" s="13">
        <f t="shared" si="8"/>
        <v>3.6465669014084505</v>
      </c>
    </row>
    <row r="552" spans="3:9">
      <c r="C552" s="33">
        <v>1.786</v>
      </c>
      <c r="D552" s="23">
        <v>138.9</v>
      </c>
      <c r="E552" s="23">
        <v>82.64</v>
      </c>
      <c r="F552" s="23">
        <v>22.93</v>
      </c>
      <c r="G552" s="23">
        <v>583.79999999999995</v>
      </c>
      <c r="H552" s="23">
        <v>5.7039999999999997</v>
      </c>
      <c r="I552" s="13">
        <f t="shared" si="8"/>
        <v>3.6040122110771917</v>
      </c>
    </row>
    <row r="553" spans="3:9">
      <c r="C553" s="33">
        <v>1.766</v>
      </c>
      <c r="D553" s="23">
        <v>117.8</v>
      </c>
      <c r="E553" s="23">
        <v>82.27</v>
      </c>
      <c r="F553" s="23">
        <v>22.95</v>
      </c>
      <c r="G553" s="23">
        <v>579.70000000000005</v>
      </c>
      <c r="H553" s="23">
        <v>5.8179999999999996</v>
      </c>
      <c r="I553" s="13">
        <f t="shared" si="8"/>
        <v>3.5847494553376906</v>
      </c>
    </row>
    <row r="554" spans="3:9">
      <c r="C554" s="33">
        <v>1.7829999999999999</v>
      </c>
      <c r="D554" s="23">
        <v>138.6</v>
      </c>
      <c r="E554" s="23">
        <v>82.37</v>
      </c>
      <c r="F554" s="23">
        <v>23.03</v>
      </c>
      <c r="G554" s="23">
        <v>577.4</v>
      </c>
      <c r="H554" s="23">
        <v>5.8819999999999997</v>
      </c>
      <c r="I554" s="13">
        <f t="shared" si="8"/>
        <v>3.5766391663048198</v>
      </c>
    </row>
    <row r="555" spans="3:9">
      <c r="C555" s="33">
        <v>1.762</v>
      </c>
      <c r="D555" s="23">
        <v>166.2</v>
      </c>
      <c r="E555" s="23">
        <v>82.43</v>
      </c>
      <c r="F555" s="23">
        <v>23.11</v>
      </c>
      <c r="G555" s="23">
        <v>588</v>
      </c>
      <c r="H555" s="23">
        <v>5.8159999999999998</v>
      </c>
      <c r="I555" s="13">
        <f t="shared" si="8"/>
        <v>3.5668541756815237</v>
      </c>
    </row>
    <row r="556" spans="3:9">
      <c r="C556" s="33">
        <v>1.7430000000000001</v>
      </c>
      <c r="D556" s="23">
        <v>115.1</v>
      </c>
      <c r="E556" s="23">
        <v>82.11</v>
      </c>
      <c r="F556" s="23">
        <v>22.95</v>
      </c>
      <c r="G556" s="23">
        <v>581.29999999999995</v>
      </c>
      <c r="H556" s="23">
        <v>5.7759999999999998</v>
      </c>
      <c r="I556" s="13">
        <f t="shared" si="8"/>
        <v>3.5777777777777779</v>
      </c>
    </row>
    <row r="557" spans="3:9">
      <c r="C557" s="33">
        <v>1.7470000000000001</v>
      </c>
      <c r="D557" s="23">
        <v>167.9</v>
      </c>
      <c r="E557" s="23">
        <v>82.78</v>
      </c>
      <c r="F557" s="23">
        <v>22.44</v>
      </c>
      <c r="G557" s="23">
        <v>576.29999999999995</v>
      </c>
      <c r="H557" s="23">
        <v>5.7320000000000002</v>
      </c>
      <c r="I557" s="13">
        <f t="shared" si="8"/>
        <v>3.6889483065953654</v>
      </c>
    </row>
    <row r="558" spans="3:9">
      <c r="C558" s="33">
        <v>1.7150000000000001</v>
      </c>
      <c r="D558" s="23">
        <v>162.69999999999999</v>
      </c>
      <c r="E558" s="23">
        <v>82.8</v>
      </c>
      <c r="F558" s="23">
        <v>22.42</v>
      </c>
      <c r="G558" s="23">
        <v>584.20000000000005</v>
      </c>
      <c r="H558" s="23">
        <v>5.7039999999999997</v>
      </c>
      <c r="I558" s="13">
        <f t="shared" si="8"/>
        <v>3.693131132917038</v>
      </c>
    </row>
    <row r="559" spans="3:9">
      <c r="C559" s="33">
        <v>1.6639999999999999</v>
      </c>
      <c r="D559" s="23">
        <v>115.8</v>
      </c>
      <c r="E559" s="23">
        <v>82.61</v>
      </c>
      <c r="F559" s="23">
        <v>22.41</v>
      </c>
      <c r="G559" s="23">
        <v>587.20000000000005</v>
      </c>
      <c r="H559" s="23">
        <v>5.7320000000000002</v>
      </c>
      <c r="I559" s="13">
        <f t="shared" si="8"/>
        <v>3.686300758589915</v>
      </c>
    </row>
    <row r="560" spans="3:9">
      <c r="C560" s="33">
        <v>1.6659999999999999</v>
      </c>
      <c r="D560" s="23">
        <v>117.8</v>
      </c>
      <c r="E560" s="23">
        <v>82.89</v>
      </c>
      <c r="F560" s="23">
        <v>22.07</v>
      </c>
      <c r="G560" s="23">
        <v>578.70000000000005</v>
      </c>
      <c r="H560" s="23">
        <v>5.7560000000000002</v>
      </c>
      <c r="I560" s="13">
        <f t="shared" si="8"/>
        <v>3.7557770729497055</v>
      </c>
    </row>
    <row r="561" spans="2:9">
      <c r="C561" s="33">
        <v>1.7669999999999999</v>
      </c>
      <c r="D561" s="23">
        <v>150.30000000000001</v>
      </c>
      <c r="E561" s="23">
        <v>82.15</v>
      </c>
      <c r="F561" s="23">
        <v>22.77</v>
      </c>
      <c r="G561" s="23">
        <v>576.29999999999995</v>
      </c>
      <c r="H561" s="23">
        <v>5.6980000000000004</v>
      </c>
      <c r="I561" s="13">
        <f t="shared" si="8"/>
        <v>3.6078173034694778</v>
      </c>
    </row>
    <row r="562" spans="2:9">
      <c r="B562" s="35">
        <v>29</v>
      </c>
      <c r="C562" s="36">
        <v>1.9330000000000001</v>
      </c>
      <c r="D562" s="38">
        <v>140.6</v>
      </c>
      <c r="E562" s="38">
        <v>97.07</v>
      </c>
      <c r="F562" s="38">
        <v>36.75</v>
      </c>
      <c r="G562" s="38">
        <v>582.9</v>
      </c>
      <c r="H562" s="38">
        <v>4.6639999999999997</v>
      </c>
      <c r="I562" s="13">
        <f t="shared" si="8"/>
        <v>2.6413605442176871</v>
      </c>
    </row>
    <row r="563" spans="2:9">
      <c r="C563" s="33">
        <v>2.0009999999999999</v>
      </c>
      <c r="D563" s="23">
        <v>149.9</v>
      </c>
      <c r="E563" s="23">
        <v>97.43</v>
      </c>
      <c r="F563" s="23">
        <v>36.68</v>
      </c>
      <c r="G563" s="23">
        <v>584.79999999999995</v>
      </c>
      <c r="H563" s="23">
        <v>4.6669999999999998</v>
      </c>
      <c r="I563" s="13">
        <f t="shared" si="8"/>
        <v>2.6562159214830974</v>
      </c>
    </row>
    <row r="564" spans="2:9">
      <c r="C564" s="33">
        <v>1.9410000000000001</v>
      </c>
      <c r="D564" s="23">
        <v>139.69999999999999</v>
      </c>
      <c r="E564" s="23">
        <v>97.23</v>
      </c>
      <c r="F564" s="23">
        <v>36.6</v>
      </c>
      <c r="G564" s="23">
        <v>589.5</v>
      </c>
      <c r="H564" s="23">
        <v>4.6100000000000003</v>
      </c>
      <c r="I564" s="13">
        <f t="shared" si="8"/>
        <v>2.6565573770491802</v>
      </c>
    </row>
    <row r="565" spans="2:9">
      <c r="C565" s="33">
        <v>1.925</v>
      </c>
      <c r="D565" s="23">
        <v>149.69999999999999</v>
      </c>
      <c r="E565" s="23">
        <v>97.04</v>
      </c>
      <c r="F565" s="23">
        <v>36.47</v>
      </c>
      <c r="G565" s="23">
        <v>583.29999999999995</v>
      </c>
      <c r="H565" s="23">
        <v>4.5449999999999999</v>
      </c>
      <c r="I565" s="13">
        <f t="shared" si="8"/>
        <v>2.6608171099533866</v>
      </c>
    </row>
    <row r="566" spans="2:9">
      <c r="C566" s="33">
        <v>1.9239999999999999</v>
      </c>
      <c r="D566" s="23">
        <v>141.19999999999999</v>
      </c>
      <c r="E566" s="23">
        <v>97.18</v>
      </c>
      <c r="F566" s="23">
        <v>36.24</v>
      </c>
      <c r="G566" s="23">
        <v>577.5</v>
      </c>
      <c r="H566" s="23">
        <v>4.5019999999999998</v>
      </c>
      <c r="I566" s="13">
        <f t="shared" si="8"/>
        <v>2.6815673289183222</v>
      </c>
    </row>
    <row r="567" spans="2:9">
      <c r="C567" s="33">
        <v>1.9359999999999999</v>
      </c>
      <c r="D567" s="23">
        <v>142.80000000000001</v>
      </c>
      <c r="E567" s="23">
        <v>97.68</v>
      </c>
      <c r="F567" s="23">
        <v>36.42</v>
      </c>
      <c r="G567" s="23">
        <v>575.9</v>
      </c>
      <c r="H567" s="23">
        <v>4.4400000000000004</v>
      </c>
      <c r="I567" s="13">
        <f t="shared" si="8"/>
        <v>2.6820428336079076</v>
      </c>
    </row>
    <row r="568" spans="2:9">
      <c r="C568" s="33">
        <v>1.9470000000000001</v>
      </c>
      <c r="D568" s="23">
        <v>143.19999999999999</v>
      </c>
      <c r="E568" s="23">
        <v>97.5</v>
      </c>
      <c r="F568" s="23">
        <v>36.78</v>
      </c>
      <c r="G568" s="23">
        <v>581.1</v>
      </c>
      <c r="H568" s="23">
        <v>4.3769999999999998</v>
      </c>
      <c r="I568" s="13">
        <f t="shared" si="8"/>
        <v>2.6508972267536706</v>
      </c>
    </row>
    <row r="569" spans="2:9">
      <c r="C569" s="33">
        <v>1.9370000000000001</v>
      </c>
      <c r="D569" s="23">
        <v>163.69999999999999</v>
      </c>
      <c r="E569" s="23">
        <v>96.94</v>
      </c>
      <c r="F569" s="23">
        <v>37</v>
      </c>
      <c r="G569" s="23">
        <v>581.5</v>
      </c>
      <c r="H569" s="23">
        <v>4.4710000000000001</v>
      </c>
      <c r="I569" s="13">
        <f t="shared" si="8"/>
        <v>2.62</v>
      </c>
    </row>
    <row r="570" spans="2:9">
      <c r="C570" s="33">
        <v>1.972</v>
      </c>
      <c r="D570" s="23">
        <v>158.80000000000001</v>
      </c>
      <c r="E570" s="23">
        <v>97.35</v>
      </c>
      <c r="F570" s="23">
        <v>36.93</v>
      </c>
      <c r="G570" s="23">
        <v>582.1</v>
      </c>
      <c r="H570" s="23">
        <v>4.6100000000000003</v>
      </c>
      <c r="I570" s="13">
        <f t="shared" si="8"/>
        <v>2.636068237205524</v>
      </c>
    </row>
    <row r="571" spans="2:9">
      <c r="C571" s="33">
        <v>2.012</v>
      </c>
      <c r="D571" s="23">
        <v>139.4</v>
      </c>
      <c r="E571" s="23">
        <v>97.24</v>
      </c>
      <c r="F571" s="23">
        <v>36.67</v>
      </c>
      <c r="G571" s="23">
        <v>585.1</v>
      </c>
      <c r="H571" s="23">
        <v>4.6820000000000004</v>
      </c>
      <c r="I571" s="13">
        <f t="shared" si="8"/>
        <v>2.6517589310062717</v>
      </c>
    </row>
    <row r="572" spans="2:9">
      <c r="C572" s="33">
        <v>2.0009999999999999</v>
      </c>
      <c r="D572" s="23">
        <v>150.4</v>
      </c>
      <c r="E572" s="23">
        <v>97.28</v>
      </c>
      <c r="F572" s="23">
        <v>36.75</v>
      </c>
      <c r="G572" s="23">
        <v>587.4</v>
      </c>
      <c r="H572" s="23">
        <v>4.625</v>
      </c>
      <c r="I572" s="13">
        <f t="shared" si="8"/>
        <v>2.6470748299319729</v>
      </c>
    </row>
    <row r="573" spans="2:9">
      <c r="C573" s="33">
        <v>2.0150000000000001</v>
      </c>
      <c r="D573" s="23">
        <v>141.19999999999999</v>
      </c>
      <c r="E573" s="23">
        <v>97.45</v>
      </c>
      <c r="F573" s="23">
        <v>36.49</v>
      </c>
      <c r="G573" s="23">
        <v>589.70000000000005</v>
      </c>
      <c r="H573" s="23">
        <v>4.6180000000000003</v>
      </c>
      <c r="I573" s="13">
        <f t="shared" si="8"/>
        <v>2.6705946834749246</v>
      </c>
    </row>
    <row r="574" spans="2:9">
      <c r="C574" s="33">
        <v>2.024</v>
      </c>
      <c r="D574" s="23">
        <v>147.30000000000001</v>
      </c>
      <c r="E574" s="23">
        <v>97.66</v>
      </c>
      <c r="F574" s="23">
        <v>36.49</v>
      </c>
      <c r="G574" s="23">
        <v>587.79999999999995</v>
      </c>
      <c r="H574" s="23">
        <v>4.609</v>
      </c>
      <c r="I574" s="13">
        <f t="shared" si="8"/>
        <v>2.6763496848451629</v>
      </c>
    </row>
    <row r="575" spans="2:9">
      <c r="C575" s="33">
        <v>1.958</v>
      </c>
      <c r="D575" s="23">
        <v>158.80000000000001</v>
      </c>
      <c r="E575" s="23">
        <v>97.42</v>
      </c>
      <c r="F575" s="23">
        <v>36.75</v>
      </c>
      <c r="G575" s="23">
        <v>590</v>
      </c>
      <c r="H575" s="23">
        <v>4.5839999999999996</v>
      </c>
      <c r="I575" s="13">
        <f t="shared" si="8"/>
        <v>2.6508843537414966</v>
      </c>
    </row>
    <row r="576" spans="2:9">
      <c r="C576" s="33">
        <v>1.8640000000000001</v>
      </c>
      <c r="D576" s="23">
        <v>168.1</v>
      </c>
      <c r="E576" s="23">
        <v>97.27</v>
      </c>
      <c r="F576" s="23">
        <v>37.01</v>
      </c>
      <c r="G576" s="23">
        <v>591.4</v>
      </c>
      <c r="H576" s="23">
        <v>4.4960000000000004</v>
      </c>
      <c r="I576" s="13">
        <f t="shared" si="8"/>
        <v>2.628208592272359</v>
      </c>
    </row>
    <row r="577" spans="2:9">
      <c r="C577" s="33">
        <v>1.9510000000000001</v>
      </c>
      <c r="D577" s="23">
        <v>159.19999999999999</v>
      </c>
      <c r="E577" s="23">
        <v>97.13</v>
      </c>
      <c r="F577" s="23">
        <v>36.42</v>
      </c>
      <c r="G577" s="23">
        <v>589.70000000000005</v>
      </c>
      <c r="H577" s="23">
        <v>4.5449999999999999</v>
      </c>
      <c r="I577" s="13">
        <f t="shared" si="8"/>
        <v>2.6669412410763313</v>
      </c>
    </row>
    <row r="578" spans="2:9">
      <c r="C578" s="33">
        <v>1.9570000000000001</v>
      </c>
      <c r="D578" s="23">
        <v>143.19999999999999</v>
      </c>
      <c r="E578" s="23">
        <v>97.3</v>
      </c>
      <c r="F578" s="23">
        <v>36.82</v>
      </c>
      <c r="G578" s="23">
        <v>589</v>
      </c>
      <c r="H578" s="23">
        <v>4.6539999999999999</v>
      </c>
      <c r="I578" s="13">
        <f t="shared" si="8"/>
        <v>2.6425855513307983</v>
      </c>
    </row>
    <row r="579" spans="2:9">
      <c r="C579" s="33">
        <v>1.9630000000000001</v>
      </c>
      <c r="D579" s="23">
        <v>175.6</v>
      </c>
      <c r="E579" s="23">
        <v>97.9</v>
      </c>
      <c r="F579" s="23">
        <v>36.75</v>
      </c>
      <c r="G579" s="23">
        <v>589.5</v>
      </c>
      <c r="H579" s="23">
        <v>4.6669999999999998</v>
      </c>
      <c r="I579" s="13">
        <f t="shared" ref="I579:I642" si="9">E579/F579</f>
        <v>2.6639455782312926</v>
      </c>
    </row>
    <row r="580" spans="2:9">
      <c r="C580" s="33">
        <v>1.958</v>
      </c>
      <c r="D580" s="23">
        <v>170</v>
      </c>
      <c r="E580" s="23">
        <v>97.4</v>
      </c>
      <c r="F580" s="23">
        <v>36.9</v>
      </c>
      <c r="G580" s="23">
        <v>590.4</v>
      </c>
      <c r="H580" s="23">
        <v>4.5960000000000001</v>
      </c>
      <c r="I580" s="13">
        <f t="shared" si="9"/>
        <v>2.639566395663957</v>
      </c>
    </row>
    <row r="581" spans="2:9">
      <c r="C581" s="33">
        <v>1.9850000000000001</v>
      </c>
      <c r="D581" s="23">
        <v>143.19999999999999</v>
      </c>
      <c r="E581" s="23">
        <v>97.23</v>
      </c>
      <c r="F581" s="23">
        <v>36.67</v>
      </c>
      <c r="G581" s="23">
        <v>595</v>
      </c>
      <c r="H581" s="23">
        <v>4.5030000000000001</v>
      </c>
      <c r="I581" s="13">
        <f t="shared" si="9"/>
        <v>2.6514862285246794</v>
      </c>
    </row>
    <row r="582" spans="2:9">
      <c r="B582" s="35">
        <v>30</v>
      </c>
      <c r="C582" s="36">
        <v>2.4119999999999999</v>
      </c>
      <c r="D582" s="38">
        <v>159.5</v>
      </c>
      <c r="E582" s="38">
        <v>96.69</v>
      </c>
      <c r="F582" s="38">
        <v>23.62</v>
      </c>
      <c r="G582" s="38">
        <v>550.5</v>
      </c>
      <c r="H582" s="38">
        <v>4.7699999999999996</v>
      </c>
      <c r="I582" s="13">
        <f t="shared" si="9"/>
        <v>4.0935647756138867</v>
      </c>
    </row>
    <row r="583" spans="2:9">
      <c r="C583" s="33">
        <v>2.4340000000000002</v>
      </c>
      <c r="D583" s="23">
        <v>155.9</v>
      </c>
      <c r="E583" s="23">
        <v>96.54</v>
      </c>
      <c r="F583" s="23">
        <v>24.02</v>
      </c>
      <c r="G583" s="23">
        <v>554</v>
      </c>
      <c r="H583" s="23">
        <v>4.7949999999999999</v>
      </c>
      <c r="I583" s="13">
        <f t="shared" si="9"/>
        <v>4.0191507077435471</v>
      </c>
    </row>
    <row r="584" spans="2:9">
      <c r="C584" s="33">
        <v>2.3809999999999998</v>
      </c>
      <c r="D584" s="23">
        <v>167.5</v>
      </c>
      <c r="E584" s="23">
        <v>96.32</v>
      </c>
      <c r="F584" s="23">
        <v>23.63</v>
      </c>
      <c r="G584" s="23">
        <v>554.70000000000005</v>
      </c>
      <c r="H584" s="23">
        <v>4.8209999999999997</v>
      </c>
      <c r="I584" s="13">
        <f t="shared" si="9"/>
        <v>4.07617435463394</v>
      </c>
    </row>
    <row r="585" spans="2:9">
      <c r="C585" s="33">
        <v>2.4209999999999998</v>
      </c>
      <c r="D585" s="23">
        <v>155.9</v>
      </c>
      <c r="E585" s="23">
        <v>96.13</v>
      </c>
      <c r="F585" s="23">
        <v>23.76</v>
      </c>
      <c r="G585" s="23">
        <v>563.1</v>
      </c>
      <c r="H585" s="23">
        <v>4.7389999999999999</v>
      </c>
      <c r="I585" s="13">
        <f t="shared" si="9"/>
        <v>4.0458754208754204</v>
      </c>
    </row>
    <row r="586" spans="2:9">
      <c r="C586" s="33">
        <v>2.4319999999999999</v>
      </c>
      <c r="D586" s="23">
        <v>150.5</v>
      </c>
      <c r="E586" s="23">
        <v>96.42</v>
      </c>
      <c r="F586" s="23">
        <v>23.89</v>
      </c>
      <c r="G586" s="23">
        <v>560.20000000000005</v>
      </c>
      <c r="H586" s="23">
        <v>4.7309999999999999</v>
      </c>
      <c r="I586" s="13">
        <f t="shared" si="9"/>
        <v>4.0359983256592713</v>
      </c>
    </row>
    <row r="587" spans="2:9">
      <c r="C587" s="33">
        <v>2.46</v>
      </c>
      <c r="D587" s="23">
        <v>168.7</v>
      </c>
      <c r="E587" s="23">
        <v>96.41</v>
      </c>
      <c r="F587" s="23">
        <v>23.62</v>
      </c>
      <c r="G587" s="23">
        <v>552.29999999999995</v>
      </c>
      <c r="H587" s="23">
        <v>4.7610000000000001</v>
      </c>
      <c r="I587" s="13">
        <f t="shared" si="9"/>
        <v>4.0817104149026244</v>
      </c>
    </row>
    <row r="588" spans="2:9">
      <c r="C588" s="33">
        <v>2.4500000000000002</v>
      </c>
      <c r="D588" s="23">
        <v>167.5</v>
      </c>
      <c r="E588" s="23">
        <v>96.94</v>
      </c>
      <c r="F588" s="23">
        <v>23.22</v>
      </c>
      <c r="G588" s="23">
        <v>551.6</v>
      </c>
      <c r="H588" s="23">
        <v>4.7759999999999998</v>
      </c>
      <c r="I588" s="13">
        <f t="shared" si="9"/>
        <v>4.1748492678725242</v>
      </c>
    </row>
    <row r="589" spans="2:9">
      <c r="C589" s="33">
        <v>2.4620000000000002</v>
      </c>
      <c r="D589" s="23">
        <v>168.7</v>
      </c>
      <c r="E589" s="23">
        <v>96.67</v>
      </c>
      <c r="F589" s="23">
        <v>23.08</v>
      </c>
      <c r="G589" s="23">
        <v>554.1</v>
      </c>
      <c r="H589" s="23">
        <v>4.7619999999999996</v>
      </c>
      <c r="I589" s="13">
        <f t="shared" si="9"/>
        <v>4.1884748700173313</v>
      </c>
    </row>
    <row r="590" spans="2:9">
      <c r="C590" s="33">
        <v>2.464</v>
      </c>
      <c r="D590" s="23">
        <v>157.69999999999999</v>
      </c>
      <c r="E590" s="23">
        <v>96.68</v>
      </c>
      <c r="F590" s="23">
        <v>22.95</v>
      </c>
      <c r="G590" s="23">
        <v>554</v>
      </c>
      <c r="H590" s="23">
        <v>4.7590000000000003</v>
      </c>
      <c r="I590" s="13">
        <f t="shared" si="9"/>
        <v>4.2126361655773428</v>
      </c>
    </row>
    <row r="591" spans="2:9">
      <c r="C591" s="33">
        <v>2.4420000000000002</v>
      </c>
      <c r="D591" s="23">
        <v>155.9</v>
      </c>
      <c r="E591" s="23">
        <v>96.95</v>
      </c>
      <c r="F591" s="23">
        <v>23.08</v>
      </c>
      <c r="G591" s="23">
        <v>560.20000000000005</v>
      </c>
      <c r="H591" s="23">
        <v>4.7709999999999999</v>
      </c>
      <c r="I591" s="13">
        <f t="shared" si="9"/>
        <v>4.2006065857885622</v>
      </c>
    </row>
    <row r="592" spans="2:9">
      <c r="C592" s="33">
        <v>2.4319999999999999</v>
      </c>
      <c r="D592" s="23">
        <v>165.5</v>
      </c>
      <c r="E592" s="23">
        <v>96.82</v>
      </c>
      <c r="F592" s="23">
        <v>23.22</v>
      </c>
      <c r="G592" s="23">
        <v>553.70000000000005</v>
      </c>
      <c r="H592" s="23">
        <v>4.7830000000000004</v>
      </c>
      <c r="I592" s="13">
        <f t="shared" si="9"/>
        <v>4.1696813092161928</v>
      </c>
    </row>
    <row r="593" spans="2:9">
      <c r="C593" s="33">
        <v>2.4180000000000001</v>
      </c>
      <c r="D593" s="23">
        <v>169.5</v>
      </c>
      <c r="E593" s="23">
        <v>96.4</v>
      </c>
      <c r="F593" s="23">
        <v>23.36</v>
      </c>
      <c r="G593" s="23">
        <v>554.6</v>
      </c>
      <c r="H593" s="23">
        <v>4.819</v>
      </c>
      <c r="I593" s="13">
        <f t="shared" si="9"/>
        <v>4.1267123287671232</v>
      </c>
    </row>
    <row r="594" spans="2:9">
      <c r="C594" s="33">
        <v>2.4420000000000002</v>
      </c>
      <c r="D594" s="23">
        <v>143.5</v>
      </c>
      <c r="E594" s="23">
        <v>96.66</v>
      </c>
      <c r="F594" s="23">
        <v>23.78</v>
      </c>
      <c r="G594" s="23">
        <v>549.4</v>
      </c>
      <c r="H594" s="23">
        <v>4.7850000000000001</v>
      </c>
      <c r="I594" s="13">
        <f t="shared" si="9"/>
        <v>4.0647603027754409</v>
      </c>
    </row>
    <row r="595" spans="2:9">
      <c r="C595" s="33">
        <v>2.4350000000000001</v>
      </c>
      <c r="D595" s="23">
        <v>147.5</v>
      </c>
      <c r="E595" s="23">
        <v>96.82</v>
      </c>
      <c r="F595" s="23">
        <v>23.51</v>
      </c>
      <c r="G595" s="23">
        <v>551.4</v>
      </c>
      <c r="H595" s="23">
        <v>4.7869999999999999</v>
      </c>
      <c r="I595" s="13">
        <f t="shared" si="9"/>
        <v>4.1182475542322408</v>
      </c>
    </row>
    <row r="596" spans="2:9">
      <c r="C596" s="33">
        <v>2.4500000000000002</v>
      </c>
      <c r="D596" s="23">
        <v>155.1</v>
      </c>
      <c r="E596" s="23">
        <v>96.93</v>
      </c>
      <c r="F596" s="23">
        <v>23.33</v>
      </c>
      <c r="G596" s="23">
        <v>545.6</v>
      </c>
      <c r="H596" s="23">
        <v>4.7690000000000001</v>
      </c>
      <c r="I596" s="13">
        <f t="shared" si="9"/>
        <v>4.154736390912988</v>
      </c>
    </row>
    <row r="597" spans="2:9">
      <c r="C597" s="33">
        <v>2.3820000000000001</v>
      </c>
      <c r="D597" s="23">
        <v>167.5</v>
      </c>
      <c r="E597" s="23">
        <v>96.65</v>
      </c>
      <c r="F597" s="23">
        <v>23.37</v>
      </c>
      <c r="G597" s="23">
        <v>543</v>
      </c>
      <c r="H597" s="23">
        <v>4.7610000000000001</v>
      </c>
      <c r="I597" s="13">
        <f t="shared" si="9"/>
        <v>4.1356439880188276</v>
      </c>
    </row>
    <row r="598" spans="2:9">
      <c r="C598" s="33">
        <v>2.359</v>
      </c>
      <c r="D598" s="23">
        <v>159.5</v>
      </c>
      <c r="E598" s="23">
        <v>96.53</v>
      </c>
      <c r="F598" s="23">
        <v>23.55</v>
      </c>
      <c r="G598" s="23">
        <v>547.20000000000005</v>
      </c>
      <c r="H598" s="23">
        <v>4.7389999999999999</v>
      </c>
      <c r="I598" s="13">
        <f t="shared" si="9"/>
        <v>4.0989384288747344</v>
      </c>
    </row>
    <row r="599" spans="2:9">
      <c r="C599" s="33">
        <v>2.3199999999999998</v>
      </c>
      <c r="D599" s="23">
        <v>169.2</v>
      </c>
      <c r="E599" s="23">
        <v>96.94</v>
      </c>
      <c r="F599" s="23">
        <v>23.79</v>
      </c>
      <c r="G599" s="23">
        <v>557.79999999999995</v>
      </c>
      <c r="H599" s="23">
        <v>4.7549999999999999</v>
      </c>
      <c r="I599" s="13">
        <f t="shared" si="9"/>
        <v>4.0748213535098783</v>
      </c>
    </row>
    <row r="600" spans="2:9">
      <c r="C600" s="33">
        <v>2.3860000000000001</v>
      </c>
      <c r="D600" s="23">
        <v>158.19999999999999</v>
      </c>
      <c r="E600" s="23">
        <v>96.77</v>
      </c>
      <c r="F600" s="23">
        <v>23.67</v>
      </c>
      <c r="G600" s="23">
        <v>576.79999999999995</v>
      </c>
      <c r="H600" s="23">
        <v>4.7690000000000001</v>
      </c>
      <c r="I600" s="13">
        <f t="shared" si="9"/>
        <v>4.088297422898183</v>
      </c>
    </row>
    <row r="601" spans="2:9">
      <c r="C601" s="33">
        <v>2.4119999999999999</v>
      </c>
      <c r="D601" s="23">
        <v>160.80000000000001</v>
      </c>
      <c r="E601" s="23">
        <v>96.5</v>
      </c>
      <c r="F601" s="23">
        <v>23.55</v>
      </c>
      <c r="G601" s="23">
        <v>555</v>
      </c>
      <c r="H601" s="23">
        <v>4.8390000000000004</v>
      </c>
      <c r="I601" s="13">
        <f t="shared" si="9"/>
        <v>4.0976645435244157</v>
      </c>
    </row>
    <row r="602" spans="2:9">
      <c r="B602" s="35">
        <v>31</v>
      </c>
      <c r="C602" s="36">
        <v>1.587</v>
      </c>
      <c r="D602" s="38">
        <v>182.3</v>
      </c>
      <c r="E602" s="38">
        <v>106.3</v>
      </c>
      <c r="F602" s="38">
        <v>44.38</v>
      </c>
      <c r="G602" s="38">
        <v>564.9</v>
      </c>
      <c r="H602" s="38">
        <v>5.5220000000000002</v>
      </c>
      <c r="I602" s="13">
        <f t="shared" si="9"/>
        <v>2.3952230734565116</v>
      </c>
    </row>
    <row r="603" spans="2:9">
      <c r="C603" s="33">
        <v>1.5740000000000001</v>
      </c>
      <c r="D603" s="23">
        <v>185.1</v>
      </c>
      <c r="E603" s="23">
        <v>105.9</v>
      </c>
      <c r="F603" s="23">
        <v>43.91</v>
      </c>
      <c r="G603" s="23">
        <v>573.9</v>
      </c>
      <c r="H603" s="23">
        <v>5.2240000000000002</v>
      </c>
      <c r="I603" s="13">
        <f t="shared" si="9"/>
        <v>2.4117513094966982</v>
      </c>
    </row>
    <row r="604" spans="2:9">
      <c r="C604" s="33">
        <v>1.597</v>
      </c>
      <c r="D604" s="23">
        <v>206.8</v>
      </c>
      <c r="E604" s="23">
        <v>105.7</v>
      </c>
      <c r="F604" s="23">
        <v>43.27</v>
      </c>
      <c r="G604" s="23">
        <v>577.79999999999995</v>
      </c>
      <c r="H604" s="23">
        <v>5.2919999999999998</v>
      </c>
      <c r="I604" s="13">
        <f t="shared" si="9"/>
        <v>2.4428010168708112</v>
      </c>
    </row>
    <row r="605" spans="2:9">
      <c r="C605" s="33">
        <v>1.5880000000000001</v>
      </c>
      <c r="D605" s="23">
        <v>217.8</v>
      </c>
      <c r="E605" s="23">
        <v>105.4</v>
      </c>
      <c r="F605" s="23">
        <v>43.51</v>
      </c>
      <c r="G605" s="23">
        <v>576.70000000000005</v>
      </c>
      <c r="H605" s="23">
        <v>5.508</v>
      </c>
      <c r="I605" s="13">
        <f t="shared" si="9"/>
        <v>2.4224316249138131</v>
      </c>
    </row>
    <row r="606" spans="2:9">
      <c r="C606" s="33">
        <v>1.583</v>
      </c>
      <c r="D606" s="23">
        <v>212.1</v>
      </c>
      <c r="E606" s="23">
        <v>105.8</v>
      </c>
      <c r="F606" s="23">
        <v>43.49</v>
      </c>
      <c r="G606" s="23">
        <v>579.5</v>
      </c>
      <c r="H606" s="23">
        <v>5.29</v>
      </c>
      <c r="I606" s="13">
        <f t="shared" si="9"/>
        <v>2.4327431593469759</v>
      </c>
    </row>
    <row r="607" spans="2:9">
      <c r="C607" s="33">
        <v>1.587</v>
      </c>
      <c r="D607" s="23">
        <v>185.1</v>
      </c>
      <c r="E607" s="23">
        <v>105.6</v>
      </c>
      <c r="F607" s="23">
        <v>43.06</v>
      </c>
      <c r="G607" s="23">
        <v>577.9</v>
      </c>
      <c r="H607" s="23">
        <v>5.2919999999999998</v>
      </c>
      <c r="I607" s="13">
        <f t="shared" si="9"/>
        <v>2.4523920111472362</v>
      </c>
    </row>
    <row r="608" spans="2:9">
      <c r="C608" s="33">
        <v>1.591</v>
      </c>
      <c r="D608" s="23">
        <v>206.8</v>
      </c>
      <c r="E608" s="23">
        <v>105.7</v>
      </c>
      <c r="F608" s="23">
        <v>43.61</v>
      </c>
      <c r="G608" s="23">
        <v>586.9</v>
      </c>
      <c r="H608" s="23">
        <v>5.2309999999999999</v>
      </c>
      <c r="I608" s="13">
        <f t="shared" si="9"/>
        <v>2.4237560192616372</v>
      </c>
    </row>
    <row r="609" spans="2:9">
      <c r="C609" s="33">
        <v>1.5820000000000001</v>
      </c>
      <c r="D609" s="23">
        <v>208.7</v>
      </c>
      <c r="E609" s="23">
        <v>105</v>
      </c>
      <c r="F609" s="23">
        <v>43.18</v>
      </c>
      <c r="G609" s="23">
        <v>593.70000000000005</v>
      </c>
      <c r="H609" s="23">
        <v>5.2549999999999999</v>
      </c>
      <c r="I609" s="13">
        <f t="shared" si="9"/>
        <v>2.4316813339509031</v>
      </c>
    </row>
    <row r="610" spans="2:9">
      <c r="C610" s="33">
        <v>1.573</v>
      </c>
      <c r="D610" s="23">
        <v>219.9</v>
      </c>
      <c r="E610" s="23">
        <v>105.3</v>
      </c>
      <c r="F610" s="23">
        <v>43.88</v>
      </c>
      <c r="G610" s="23">
        <v>589</v>
      </c>
      <c r="H610" s="23">
        <v>5.7649999999999997</v>
      </c>
      <c r="I610" s="13">
        <f t="shared" si="9"/>
        <v>2.3997265268915222</v>
      </c>
    </row>
    <row r="611" spans="2:9">
      <c r="C611" s="33">
        <v>1.5609999999999999</v>
      </c>
      <c r="D611" s="23">
        <v>229.3</v>
      </c>
      <c r="E611" s="23">
        <v>106.2</v>
      </c>
      <c r="F611" s="23">
        <v>43.35</v>
      </c>
      <c r="G611" s="23">
        <v>586.4</v>
      </c>
      <c r="H611" s="23">
        <v>5.8319999999999999</v>
      </c>
      <c r="I611" s="13">
        <f t="shared" si="9"/>
        <v>2.4498269896193769</v>
      </c>
    </row>
    <row r="612" spans="2:9">
      <c r="C612" s="33">
        <v>1.57</v>
      </c>
      <c r="D612" s="23">
        <v>188.7</v>
      </c>
      <c r="E612" s="23">
        <v>106.3</v>
      </c>
      <c r="F612" s="23">
        <v>42.81</v>
      </c>
      <c r="G612" s="23">
        <v>585.5</v>
      </c>
      <c r="H612" s="23">
        <v>6.109</v>
      </c>
      <c r="I612" s="13">
        <f t="shared" si="9"/>
        <v>2.4830647045082923</v>
      </c>
    </row>
    <row r="613" spans="2:9">
      <c r="C613" s="33">
        <v>1.583</v>
      </c>
      <c r="D613" s="23">
        <v>172.6</v>
      </c>
      <c r="E613" s="23">
        <v>105.9</v>
      </c>
      <c r="F613" s="23">
        <v>43.31</v>
      </c>
      <c r="G613" s="23">
        <v>576.70000000000005</v>
      </c>
      <c r="H613" s="23">
        <v>5.6130000000000004</v>
      </c>
      <c r="I613" s="13">
        <f t="shared" si="9"/>
        <v>2.445162779958439</v>
      </c>
    </row>
    <row r="614" spans="2:9">
      <c r="C614" s="33">
        <v>1.581</v>
      </c>
      <c r="D614" s="23">
        <v>198.6</v>
      </c>
      <c r="E614" s="23">
        <v>105.3</v>
      </c>
      <c r="F614" s="23">
        <v>43.31</v>
      </c>
      <c r="G614" s="23">
        <v>574</v>
      </c>
      <c r="H614" s="23">
        <v>5.1150000000000002</v>
      </c>
      <c r="I614" s="13">
        <f t="shared" si="9"/>
        <v>2.431309166474255</v>
      </c>
    </row>
    <row r="615" spans="2:9">
      <c r="C615" s="33">
        <v>1.5609999999999999</v>
      </c>
      <c r="D615" s="23">
        <v>202.4</v>
      </c>
      <c r="E615" s="23">
        <v>105.6</v>
      </c>
      <c r="F615" s="23">
        <v>43.27</v>
      </c>
      <c r="G615" s="23">
        <v>580.1</v>
      </c>
      <c r="H615" s="23">
        <v>4.9329999999999998</v>
      </c>
      <c r="I615" s="13">
        <f t="shared" si="9"/>
        <v>2.4404899468453891</v>
      </c>
    </row>
    <row r="616" spans="2:9">
      <c r="C616" s="33">
        <v>1.532</v>
      </c>
      <c r="D616" s="23">
        <v>232.3</v>
      </c>
      <c r="E616" s="23">
        <v>106.3</v>
      </c>
      <c r="F616" s="23">
        <v>43.63</v>
      </c>
      <c r="G616" s="23">
        <v>576.20000000000005</v>
      </c>
      <c r="H616" s="23">
        <v>5.8319999999999999</v>
      </c>
      <c r="I616" s="13">
        <f t="shared" si="9"/>
        <v>2.4363969745587895</v>
      </c>
    </row>
    <row r="617" spans="2:9">
      <c r="C617" s="33">
        <v>1.5409999999999999</v>
      </c>
      <c r="D617" s="23">
        <v>195.1</v>
      </c>
      <c r="E617" s="23">
        <v>106.6</v>
      </c>
      <c r="F617" s="23">
        <v>43.7</v>
      </c>
      <c r="G617" s="23">
        <v>569.29999999999995</v>
      </c>
      <c r="H617" s="23">
        <v>6.1340000000000003</v>
      </c>
      <c r="I617" s="13">
        <f t="shared" si="9"/>
        <v>2.4393592677345537</v>
      </c>
    </row>
    <row r="618" spans="2:9">
      <c r="C618" s="33">
        <v>1.5629999999999999</v>
      </c>
      <c r="D618" s="23">
        <v>213.2</v>
      </c>
      <c r="E618" s="23">
        <v>105.9</v>
      </c>
      <c r="F618" s="23">
        <v>43.5</v>
      </c>
      <c r="G618" s="23">
        <v>576.79999999999995</v>
      </c>
      <c r="H618" s="23">
        <v>5.85</v>
      </c>
      <c r="I618" s="13">
        <f t="shared" si="9"/>
        <v>2.4344827586206899</v>
      </c>
    </row>
    <row r="619" spans="2:9">
      <c r="C619" s="33">
        <v>1.577</v>
      </c>
      <c r="D619" s="23">
        <v>209.1</v>
      </c>
      <c r="E619" s="23">
        <v>105.5</v>
      </c>
      <c r="F619" s="23">
        <v>43.1</v>
      </c>
      <c r="G619" s="23">
        <v>575.6</v>
      </c>
      <c r="H619" s="23">
        <v>5.5220000000000002</v>
      </c>
      <c r="I619" s="13">
        <f t="shared" si="9"/>
        <v>2.447795823665893</v>
      </c>
    </row>
    <row r="620" spans="2:9">
      <c r="C620" s="33">
        <v>1.569</v>
      </c>
      <c r="D620" s="23">
        <v>210.5</v>
      </c>
      <c r="E620" s="23">
        <v>105.2</v>
      </c>
      <c r="F620" s="23">
        <v>43.39</v>
      </c>
      <c r="G620" s="23">
        <v>569.70000000000005</v>
      </c>
      <c r="H620" s="23">
        <v>6.6210000000000004</v>
      </c>
      <c r="I620" s="13">
        <f t="shared" si="9"/>
        <v>2.4245217792117999</v>
      </c>
    </row>
    <row r="621" spans="2:9">
      <c r="C621" s="33">
        <v>1.5820000000000001</v>
      </c>
      <c r="D621" s="23">
        <v>208.7</v>
      </c>
      <c r="E621" s="23">
        <v>105.3</v>
      </c>
      <c r="F621" s="23">
        <v>43.36</v>
      </c>
      <c r="G621" s="23">
        <v>573.6</v>
      </c>
      <c r="H621" s="23">
        <v>6.1109999999999998</v>
      </c>
      <c r="I621" s="13">
        <f t="shared" si="9"/>
        <v>2.4285055350553506</v>
      </c>
    </row>
    <row r="622" spans="2:9">
      <c r="B622" s="35">
        <v>32</v>
      </c>
      <c r="C622" s="36">
        <v>2.238</v>
      </c>
      <c r="D622" s="38">
        <v>233.9</v>
      </c>
      <c r="E622" s="38">
        <v>84.27</v>
      </c>
      <c r="F622" s="38">
        <v>24.15</v>
      </c>
      <c r="G622" s="38">
        <v>526.9</v>
      </c>
      <c r="H622" s="38">
        <v>4.6440000000000001</v>
      </c>
      <c r="I622" s="13">
        <f t="shared" si="9"/>
        <v>3.4894409937888198</v>
      </c>
    </row>
    <row r="623" spans="2:9">
      <c r="C623" s="33">
        <v>2.17</v>
      </c>
      <c r="D623" s="23">
        <v>219.8</v>
      </c>
      <c r="E623" s="23">
        <v>84.68</v>
      </c>
      <c r="F623" s="23">
        <v>24.23</v>
      </c>
      <c r="G623" s="23">
        <v>527.5</v>
      </c>
      <c r="H623" s="23">
        <v>4.6529999999999996</v>
      </c>
      <c r="I623" s="13">
        <f t="shared" si="9"/>
        <v>3.4948411060668594</v>
      </c>
    </row>
    <row r="624" spans="2:9">
      <c r="C624" s="33">
        <v>2.21</v>
      </c>
      <c r="D624" s="23">
        <v>225</v>
      </c>
      <c r="E624" s="23">
        <v>84.52</v>
      </c>
      <c r="F624" s="23">
        <v>24.91</v>
      </c>
      <c r="G624" s="23">
        <v>529.9</v>
      </c>
      <c r="H624" s="23">
        <v>4.6609999999999996</v>
      </c>
      <c r="I624" s="13">
        <f t="shared" si="9"/>
        <v>3.3930148534725006</v>
      </c>
    </row>
    <row r="625" spans="3:9">
      <c r="C625" s="33">
        <v>2.2000000000000002</v>
      </c>
      <c r="D625" s="23">
        <v>251.7</v>
      </c>
      <c r="E625" s="23">
        <v>84.19</v>
      </c>
      <c r="F625" s="23">
        <v>24.65</v>
      </c>
      <c r="G625" s="23">
        <v>532.20000000000005</v>
      </c>
      <c r="H625" s="23">
        <v>4.6310000000000002</v>
      </c>
      <c r="I625" s="13">
        <f t="shared" si="9"/>
        <v>3.4154158215010142</v>
      </c>
    </row>
    <row r="626" spans="3:9">
      <c r="C626" s="33">
        <v>2.2320000000000002</v>
      </c>
      <c r="D626" s="23">
        <v>229.6</v>
      </c>
      <c r="E626" s="23">
        <v>84.03</v>
      </c>
      <c r="F626" s="23">
        <v>24.03</v>
      </c>
      <c r="G626" s="23">
        <v>530.4</v>
      </c>
      <c r="H626" s="23">
        <v>4.6239999999999997</v>
      </c>
      <c r="I626" s="13">
        <f t="shared" si="9"/>
        <v>3.4968789013732833</v>
      </c>
    </row>
    <row r="627" spans="3:9">
      <c r="C627" s="33">
        <v>2.2269999999999999</v>
      </c>
      <c r="D627" s="23">
        <v>187.3</v>
      </c>
      <c r="E627" s="23">
        <v>84.16</v>
      </c>
      <c r="F627" s="23">
        <v>24.47</v>
      </c>
      <c r="G627" s="23">
        <v>526.4</v>
      </c>
      <c r="H627" s="23">
        <v>4.641</v>
      </c>
      <c r="I627" s="13">
        <f t="shared" si="9"/>
        <v>3.4393134450347365</v>
      </c>
    </row>
    <row r="628" spans="3:9">
      <c r="C628" s="33">
        <v>2.1720000000000002</v>
      </c>
      <c r="D628" s="23">
        <v>242.7</v>
      </c>
      <c r="E628" s="23">
        <v>84.37</v>
      </c>
      <c r="F628" s="23">
        <v>24.85</v>
      </c>
      <c r="G628" s="23">
        <v>527.29999999999995</v>
      </c>
      <c r="H628" s="23">
        <v>4.6689999999999996</v>
      </c>
      <c r="I628" s="13">
        <f t="shared" si="9"/>
        <v>3.3951710261569414</v>
      </c>
    </row>
    <row r="629" spans="3:9">
      <c r="C629" s="33">
        <v>2.12</v>
      </c>
      <c r="D629" s="23">
        <v>219.8</v>
      </c>
      <c r="E629" s="23">
        <v>84.53</v>
      </c>
      <c r="F629" s="23">
        <v>24.75</v>
      </c>
      <c r="G629" s="23">
        <v>530.9</v>
      </c>
      <c r="H629" s="23">
        <v>4.6749999999999998</v>
      </c>
      <c r="I629" s="13">
        <f t="shared" si="9"/>
        <v>3.4153535353535354</v>
      </c>
    </row>
    <row r="630" spans="3:9">
      <c r="C630" s="33">
        <v>2.14</v>
      </c>
      <c r="D630" s="23">
        <v>201.4</v>
      </c>
      <c r="E630" s="23">
        <v>84.7</v>
      </c>
      <c r="F630" s="23">
        <v>24.36</v>
      </c>
      <c r="G630" s="23">
        <v>524</v>
      </c>
      <c r="H630" s="23">
        <v>4.6989999999999998</v>
      </c>
      <c r="I630" s="13">
        <f t="shared" si="9"/>
        <v>3.4770114942528738</v>
      </c>
    </row>
    <row r="631" spans="3:9">
      <c r="C631" s="33">
        <v>2.1579999999999999</v>
      </c>
      <c r="D631" s="23">
        <v>198.6</v>
      </c>
      <c r="E631" s="23">
        <v>84.49</v>
      </c>
      <c r="F631" s="23">
        <v>24.91</v>
      </c>
      <c r="G631" s="23">
        <v>529.5</v>
      </c>
      <c r="H631" s="23">
        <v>4.7489999999999997</v>
      </c>
      <c r="I631" s="13">
        <f t="shared" si="9"/>
        <v>3.3918105178643114</v>
      </c>
    </row>
    <row r="632" spans="3:9">
      <c r="C632" s="33">
        <v>2.169</v>
      </c>
      <c r="D632" s="23">
        <v>195.6</v>
      </c>
      <c r="E632" s="23">
        <v>84.38</v>
      </c>
      <c r="F632" s="23">
        <v>24.39</v>
      </c>
      <c r="G632" s="23">
        <v>530.5</v>
      </c>
      <c r="H632" s="23">
        <v>4.7510000000000003</v>
      </c>
      <c r="I632" s="13">
        <f t="shared" si="9"/>
        <v>3.4596145961459612</v>
      </c>
    </row>
    <row r="633" spans="3:9">
      <c r="C633" s="33">
        <v>2.2090000000000001</v>
      </c>
      <c r="D633" s="23">
        <v>187.4</v>
      </c>
      <c r="E633" s="23">
        <v>84.55</v>
      </c>
      <c r="F633" s="23">
        <v>24.88</v>
      </c>
      <c r="G633" s="23">
        <v>540.5</v>
      </c>
      <c r="H633" s="23">
        <v>4.7670000000000003</v>
      </c>
      <c r="I633" s="13">
        <f t="shared" si="9"/>
        <v>3.3983118971061095</v>
      </c>
    </row>
    <row r="634" spans="3:9">
      <c r="C634" s="33">
        <v>2.1880000000000002</v>
      </c>
      <c r="D634" s="23">
        <v>240.2</v>
      </c>
      <c r="E634" s="23">
        <v>84.28</v>
      </c>
      <c r="F634" s="23">
        <v>24.13</v>
      </c>
      <c r="G634" s="23">
        <v>530.29999999999995</v>
      </c>
      <c r="H634" s="23">
        <v>4.7060000000000004</v>
      </c>
      <c r="I634" s="13">
        <f t="shared" si="9"/>
        <v>3.4927476170741816</v>
      </c>
    </row>
    <row r="635" spans="3:9">
      <c r="C635" s="33">
        <v>2.218</v>
      </c>
      <c r="D635" s="23">
        <v>233.8</v>
      </c>
      <c r="E635" s="23">
        <v>84.33</v>
      </c>
      <c r="F635" s="23">
        <v>24.05</v>
      </c>
      <c r="G635" s="23">
        <v>523.29999999999995</v>
      </c>
      <c r="H635" s="23">
        <v>4.7370000000000001</v>
      </c>
      <c r="I635" s="13">
        <f t="shared" si="9"/>
        <v>3.5064449064449064</v>
      </c>
    </row>
    <row r="636" spans="3:9">
      <c r="C636" s="33">
        <v>2.238</v>
      </c>
      <c r="D636" s="23">
        <v>200.5</v>
      </c>
      <c r="E636" s="23">
        <v>84.68</v>
      </c>
      <c r="F636" s="23">
        <v>24.85</v>
      </c>
      <c r="G636" s="23">
        <v>528.20000000000005</v>
      </c>
      <c r="H636" s="23">
        <v>4.7489999999999997</v>
      </c>
      <c r="I636" s="13">
        <f t="shared" si="9"/>
        <v>3.4076458752515091</v>
      </c>
    </row>
    <row r="637" spans="3:9">
      <c r="C637" s="33">
        <v>2.2170000000000001</v>
      </c>
      <c r="D637" s="23">
        <v>195.6</v>
      </c>
      <c r="E637" s="23">
        <v>84.99</v>
      </c>
      <c r="F637" s="23">
        <v>24.91</v>
      </c>
      <c r="G637" s="23">
        <v>532.9</v>
      </c>
      <c r="H637" s="23">
        <v>4.782</v>
      </c>
      <c r="I637" s="13">
        <f t="shared" si="9"/>
        <v>3.4118827780008028</v>
      </c>
    </row>
    <row r="638" spans="3:9">
      <c r="C638" s="33">
        <v>2.1989999999999998</v>
      </c>
      <c r="D638" s="23">
        <v>198.6</v>
      </c>
      <c r="E638" s="23">
        <v>84.86</v>
      </c>
      <c r="F638" s="23">
        <v>24.64</v>
      </c>
      <c r="G638" s="23">
        <v>527.6</v>
      </c>
      <c r="H638" s="23">
        <v>4.7640000000000002</v>
      </c>
      <c r="I638" s="13">
        <f t="shared" si="9"/>
        <v>3.4439935064935066</v>
      </c>
    </row>
    <row r="639" spans="3:9">
      <c r="C639" s="33">
        <v>2.17</v>
      </c>
      <c r="D639" s="23">
        <v>257.60000000000002</v>
      </c>
      <c r="E639" s="23">
        <v>84.55</v>
      </c>
      <c r="F639" s="23">
        <v>24.64</v>
      </c>
      <c r="G639" s="23">
        <v>531.79999999999995</v>
      </c>
      <c r="H639" s="23">
        <v>4.819</v>
      </c>
      <c r="I639" s="13">
        <f t="shared" si="9"/>
        <v>3.4314123376623376</v>
      </c>
    </row>
    <row r="640" spans="3:9">
      <c r="C640" s="33">
        <v>2.125</v>
      </c>
      <c r="D640" s="23">
        <v>242.8</v>
      </c>
      <c r="E640" s="23">
        <v>84.68</v>
      </c>
      <c r="F640" s="23">
        <v>24.82</v>
      </c>
      <c r="G640" s="23">
        <v>534.20000000000005</v>
      </c>
      <c r="H640" s="23">
        <v>4.8010000000000002</v>
      </c>
      <c r="I640" s="13">
        <f t="shared" si="9"/>
        <v>3.4117647058823533</v>
      </c>
    </row>
    <row r="641" spans="2:9">
      <c r="C641" s="33">
        <v>2.069</v>
      </c>
      <c r="D641" s="23">
        <v>234.7</v>
      </c>
      <c r="E641" s="23">
        <v>84.14</v>
      </c>
      <c r="F641" s="23">
        <v>24.47</v>
      </c>
      <c r="G641" s="23">
        <v>539.9</v>
      </c>
      <c r="H641" s="23">
        <v>4.7720000000000002</v>
      </c>
      <c r="I641" s="13">
        <f t="shared" si="9"/>
        <v>3.438496117695137</v>
      </c>
    </row>
    <row r="642" spans="2:9">
      <c r="B642" s="35">
        <v>33</v>
      </c>
      <c r="C642" s="36">
        <v>2.7320000000000002</v>
      </c>
      <c r="D642" s="38">
        <v>166.2</v>
      </c>
      <c r="E642" s="38">
        <v>72.69</v>
      </c>
      <c r="F642" s="38">
        <v>32.380000000000003</v>
      </c>
      <c r="G642" s="38">
        <v>555.20000000000005</v>
      </c>
      <c r="H642" s="38">
        <v>3.1579999999999999</v>
      </c>
      <c r="I642" s="13">
        <f t="shared" si="9"/>
        <v>2.2449042618900554</v>
      </c>
    </row>
    <row r="643" spans="2:9">
      <c r="C643" s="33">
        <v>2.7549999999999999</v>
      </c>
      <c r="D643" s="23">
        <v>151.19999999999999</v>
      </c>
      <c r="E643" s="23">
        <v>72.94</v>
      </c>
      <c r="F643" s="23">
        <v>32.880000000000003</v>
      </c>
      <c r="G643" s="23">
        <v>555.9</v>
      </c>
      <c r="H643" s="23">
        <v>3.2719999999999998</v>
      </c>
      <c r="I643" s="13">
        <f t="shared" ref="I643:I706" si="10">E643/F643</f>
        <v>2.2183698296836982</v>
      </c>
    </row>
    <row r="644" spans="2:9">
      <c r="C644" s="33">
        <v>2.7440000000000002</v>
      </c>
      <c r="D644" s="23">
        <v>142.5</v>
      </c>
      <c r="E644" s="23">
        <v>73.010000000000005</v>
      </c>
      <c r="F644" s="23">
        <v>32.14</v>
      </c>
      <c r="G644" s="23">
        <v>552.1</v>
      </c>
      <c r="H644" s="23">
        <v>3.4769999999999999</v>
      </c>
      <c r="I644" s="13">
        <f t="shared" si="10"/>
        <v>2.2716241443683884</v>
      </c>
    </row>
    <row r="645" spans="2:9">
      <c r="C645" s="33">
        <v>2.7370000000000001</v>
      </c>
      <c r="D645" s="23">
        <v>142</v>
      </c>
      <c r="E645" s="23">
        <v>73.11</v>
      </c>
      <c r="F645" s="23">
        <v>32.33</v>
      </c>
      <c r="G645" s="23">
        <v>582.9</v>
      </c>
      <c r="H645" s="23">
        <v>3.5920000000000001</v>
      </c>
      <c r="I645" s="13">
        <f t="shared" si="10"/>
        <v>2.2613671512527067</v>
      </c>
    </row>
    <row r="646" spans="2:9">
      <c r="C646" s="33">
        <v>2.7519999999999998</v>
      </c>
      <c r="D646" s="23">
        <v>167.3</v>
      </c>
      <c r="E646" s="23">
        <v>72.81</v>
      </c>
      <c r="F646" s="23">
        <v>32.89</v>
      </c>
      <c r="G646" s="23">
        <v>563.29999999999995</v>
      </c>
      <c r="H646" s="23">
        <v>3.3849999999999998</v>
      </c>
      <c r="I646" s="13">
        <f t="shared" si="10"/>
        <v>2.2137427789601705</v>
      </c>
    </row>
    <row r="647" spans="2:9">
      <c r="C647" s="33">
        <v>2.7410000000000001</v>
      </c>
      <c r="D647" s="23">
        <v>156.80000000000001</v>
      </c>
      <c r="E647" s="23">
        <v>72.88</v>
      </c>
      <c r="F647" s="23">
        <v>33.08</v>
      </c>
      <c r="G647" s="23">
        <v>564.29999999999995</v>
      </c>
      <c r="H647" s="23">
        <v>3.625</v>
      </c>
      <c r="I647" s="13">
        <f t="shared" si="10"/>
        <v>2.2031438935912937</v>
      </c>
    </row>
    <row r="648" spans="2:9">
      <c r="C648" s="33">
        <v>2.64</v>
      </c>
      <c r="D648" s="23">
        <v>166.1</v>
      </c>
      <c r="E648" s="23">
        <v>72.81</v>
      </c>
      <c r="F648" s="23">
        <v>33.46</v>
      </c>
      <c r="G648" s="23">
        <v>555.9</v>
      </c>
      <c r="H648" s="23">
        <v>3.919</v>
      </c>
      <c r="I648" s="13">
        <f t="shared" si="10"/>
        <v>2.1760310818888224</v>
      </c>
    </row>
    <row r="649" spans="2:9">
      <c r="C649" s="33">
        <v>2.5920000000000001</v>
      </c>
      <c r="D649" s="23">
        <v>136.69999999999999</v>
      </c>
      <c r="E649" s="23">
        <v>72.75</v>
      </c>
      <c r="F649" s="23">
        <v>33.65</v>
      </c>
      <c r="G649" s="23">
        <v>553.79999999999995</v>
      </c>
      <c r="H649" s="23">
        <v>4.2290000000000001</v>
      </c>
      <c r="I649" s="13">
        <f t="shared" si="10"/>
        <v>2.1619613670133733</v>
      </c>
    </row>
    <row r="650" spans="2:9">
      <c r="C650" s="33">
        <v>2.6869999999999998</v>
      </c>
      <c r="D650" s="23">
        <v>148.6</v>
      </c>
      <c r="E650" s="23">
        <v>72.540000000000006</v>
      </c>
      <c r="F650" s="23">
        <v>33.270000000000003</v>
      </c>
      <c r="G650" s="23">
        <v>556</v>
      </c>
      <c r="H650" s="23">
        <v>3.9079999999999999</v>
      </c>
      <c r="I650" s="13">
        <f t="shared" si="10"/>
        <v>2.1803426510369701</v>
      </c>
    </row>
    <row r="651" spans="2:9">
      <c r="C651" s="33">
        <v>2.72</v>
      </c>
      <c r="D651" s="23">
        <v>162.19999999999999</v>
      </c>
      <c r="E651" s="23">
        <v>72.89</v>
      </c>
      <c r="F651" s="23">
        <v>33.29</v>
      </c>
      <c r="G651" s="23">
        <v>549.29999999999995</v>
      </c>
      <c r="H651" s="23">
        <v>4.0369999999999999</v>
      </c>
      <c r="I651" s="13">
        <f t="shared" si="10"/>
        <v>2.1895464103334334</v>
      </c>
    </row>
    <row r="652" spans="2:9">
      <c r="C652" s="33">
        <v>2.7519999999999998</v>
      </c>
      <c r="D652" s="23">
        <v>135.80000000000001</v>
      </c>
      <c r="E652" s="23">
        <v>73.5</v>
      </c>
      <c r="F652" s="23">
        <v>33.28</v>
      </c>
      <c r="G652" s="23">
        <v>548.70000000000005</v>
      </c>
      <c r="H652" s="23">
        <v>3.593</v>
      </c>
      <c r="I652" s="13">
        <f t="shared" si="10"/>
        <v>2.2085336538461537</v>
      </c>
    </row>
    <row r="653" spans="2:9">
      <c r="C653" s="33">
        <v>2.7639999999999998</v>
      </c>
      <c r="D653" s="23">
        <v>136.69999999999999</v>
      </c>
      <c r="E653" s="23">
        <v>73.41</v>
      </c>
      <c r="F653" s="23">
        <v>32.71</v>
      </c>
      <c r="G653" s="23">
        <v>552.4</v>
      </c>
      <c r="H653" s="23">
        <v>3.58</v>
      </c>
      <c r="I653" s="13">
        <f t="shared" si="10"/>
        <v>2.2442678080097829</v>
      </c>
    </row>
    <row r="654" spans="2:9">
      <c r="C654" s="33">
        <v>2.7360000000000002</v>
      </c>
      <c r="D654" s="23">
        <v>146.30000000000001</v>
      </c>
      <c r="E654" s="23">
        <v>73.260000000000005</v>
      </c>
      <c r="F654" s="23">
        <v>32.33</v>
      </c>
      <c r="G654" s="23">
        <v>549.70000000000005</v>
      </c>
      <c r="H654" s="23">
        <v>3.625</v>
      </c>
      <c r="I654" s="13">
        <f t="shared" si="10"/>
        <v>2.2660068048252402</v>
      </c>
    </row>
    <row r="655" spans="2:9">
      <c r="C655" s="33">
        <v>2.6970000000000001</v>
      </c>
      <c r="D655" s="23">
        <v>162</v>
      </c>
      <c r="E655" s="23">
        <v>72.72</v>
      </c>
      <c r="F655" s="23">
        <v>32.54</v>
      </c>
      <c r="G655" s="23">
        <v>552.79999999999995</v>
      </c>
      <c r="H655" s="23">
        <v>4.2290000000000001</v>
      </c>
      <c r="I655" s="13">
        <f t="shared" si="10"/>
        <v>2.2347879532882606</v>
      </c>
    </row>
    <row r="656" spans="2:9">
      <c r="C656" s="33">
        <v>2.6920000000000002</v>
      </c>
      <c r="D656" s="23">
        <v>142.5</v>
      </c>
      <c r="E656" s="23">
        <v>73.010000000000005</v>
      </c>
      <c r="F656" s="23">
        <v>32.520000000000003</v>
      </c>
      <c r="G656" s="23">
        <v>556</v>
      </c>
      <c r="H656" s="23">
        <v>4.8529999999999998</v>
      </c>
      <c r="I656" s="13">
        <f t="shared" si="10"/>
        <v>2.2450799507995081</v>
      </c>
    </row>
    <row r="657" spans="2:9">
      <c r="C657" s="33">
        <v>2.7360000000000002</v>
      </c>
      <c r="D657" s="23">
        <v>175.9</v>
      </c>
      <c r="E657" s="23">
        <v>73.38</v>
      </c>
      <c r="F657" s="23">
        <v>32.71</v>
      </c>
      <c r="G657" s="23">
        <v>556.70000000000005</v>
      </c>
      <c r="H657" s="23">
        <v>4.1790000000000003</v>
      </c>
      <c r="I657" s="13">
        <f t="shared" si="10"/>
        <v>2.243350657291348</v>
      </c>
    </row>
    <row r="658" spans="2:9">
      <c r="C658" s="33">
        <v>2.7639999999999998</v>
      </c>
      <c r="D658" s="23">
        <v>185.8</v>
      </c>
      <c r="E658" s="23">
        <v>73.16</v>
      </c>
      <c r="F658" s="23">
        <v>32.14</v>
      </c>
      <c r="G658" s="23">
        <v>553.79999999999995</v>
      </c>
      <c r="H658" s="23">
        <v>3.625</v>
      </c>
      <c r="I658" s="13">
        <f t="shared" si="10"/>
        <v>2.2762912258867454</v>
      </c>
    </row>
    <row r="659" spans="2:9">
      <c r="C659" s="33">
        <v>2.7589999999999999</v>
      </c>
      <c r="D659" s="23">
        <v>163.4</v>
      </c>
      <c r="E659" s="23">
        <v>72.88</v>
      </c>
      <c r="F659" s="23">
        <v>32.72</v>
      </c>
      <c r="G659" s="23">
        <v>573.6</v>
      </c>
      <c r="H659" s="23">
        <v>3.3849999999999998</v>
      </c>
      <c r="I659" s="13">
        <f t="shared" si="10"/>
        <v>2.2273838630806844</v>
      </c>
    </row>
    <row r="660" spans="2:9">
      <c r="C660" s="33">
        <v>2.7519999999999998</v>
      </c>
      <c r="D660" s="23">
        <v>136.69999999999999</v>
      </c>
      <c r="E660" s="23">
        <v>72.97</v>
      </c>
      <c r="F660" s="23">
        <v>32.53</v>
      </c>
      <c r="G660" s="23">
        <v>575</v>
      </c>
      <c r="H660" s="23">
        <v>3.58</v>
      </c>
      <c r="I660" s="13">
        <f t="shared" si="10"/>
        <v>2.2431601598524438</v>
      </c>
    </row>
    <row r="661" spans="2:9">
      <c r="C661" s="33">
        <v>2.718</v>
      </c>
      <c r="D661" s="23">
        <v>158.80000000000001</v>
      </c>
      <c r="E661" s="23">
        <v>73.599999999999994</v>
      </c>
      <c r="F661" s="23">
        <v>32.9</v>
      </c>
      <c r="G661" s="23">
        <v>582.9</v>
      </c>
      <c r="H661" s="23">
        <v>3.3279999999999998</v>
      </c>
      <c r="I661" s="13">
        <f t="shared" si="10"/>
        <v>2.2370820668693008</v>
      </c>
    </row>
    <row r="662" spans="2:9">
      <c r="B662" s="35">
        <v>34</v>
      </c>
      <c r="C662" s="36">
        <v>2.1949999999999998</v>
      </c>
      <c r="D662" s="38">
        <v>128.69999999999999</v>
      </c>
      <c r="E662" s="38">
        <v>83.24</v>
      </c>
      <c r="F662" s="38">
        <v>21.12</v>
      </c>
      <c r="G662" s="38">
        <v>600.70000000000005</v>
      </c>
      <c r="H662" s="38">
        <v>4.9909999999999997</v>
      </c>
      <c r="I662" s="13">
        <f t="shared" si="10"/>
        <v>3.9412878787878785</v>
      </c>
    </row>
    <row r="663" spans="2:9">
      <c r="C663" s="33">
        <v>2.1349999999999998</v>
      </c>
      <c r="D663" s="23">
        <v>95.5</v>
      </c>
      <c r="E663" s="23">
        <v>83.31</v>
      </c>
      <c r="F663" s="23">
        <v>20.59</v>
      </c>
      <c r="G663" s="23">
        <v>594.9</v>
      </c>
      <c r="H663" s="23">
        <v>5.0590000000000002</v>
      </c>
      <c r="I663" s="13">
        <f t="shared" si="10"/>
        <v>4.0461389023797958</v>
      </c>
    </row>
    <row r="664" spans="2:9">
      <c r="C664" s="33">
        <v>2.105</v>
      </c>
      <c r="D664" s="23">
        <v>93.27</v>
      </c>
      <c r="E664" s="23">
        <v>83.68</v>
      </c>
      <c r="F664" s="23">
        <v>20.54</v>
      </c>
      <c r="G664" s="23">
        <v>595.9</v>
      </c>
      <c r="H664" s="23">
        <v>5.056</v>
      </c>
      <c r="I664" s="13">
        <f t="shared" si="10"/>
        <v>4.0740019474196698</v>
      </c>
    </row>
    <row r="665" spans="2:9">
      <c r="C665" s="33">
        <v>2.08</v>
      </c>
      <c r="D665" s="23">
        <v>94.25</v>
      </c>
      <c r="E665" s="23">
        <v>83.86</v>
      </c>
      <c r="F665" s="23">
        <v>20.72</v>
      </c>
      <c r="G665" s="23">
        <v>608.6</v>
      </c>
      <c r="H665" s="23">
        <v>5.258</v>
      </c>
      <c r="I665" s="13">
        <f t="shared" si="10"/>
        <v>4.0472972972972974</v>
      </c>
    </row>
    <row r="666" spans="2:9">
      <c r="C666" s="33">
        <v>2.0369999999999999</v>
      </c>
      <c r="D666" s="23">
        <v>91.28</v>
      </c>
      <c r="E666" s="23">
        <v>83.62</v>
      </c>
      <c r="F666" s="23">
        <v>20.67</v>
      </c>
      <c r="G666" s="23">
        <v>597</v>
      </c>
      <c r="H666" s="23">
        <v>5.12</v>
      </c>
      <c r="I666" s="13">
        <f t="shared" si="10"/>
        <v>4.0454765360425737</v>
      </c>
    </row>
    <row r="667" spans="2:9">
      <c r="C667" s="33">
        <v>2.1389999999999998</v>
      </c>
      <c r="D667" s="23">
        <v>96.82</v>
      </c>
      <c r="E667" s="23">
        <v>83.51</v>
      </c>
      <c r="F667" s="23">
        <v>20.62</v>
      </c>
      <c r="G667" s="23">
        <v>595.9</v>
      </c>
      <c r="H667" s="23">
        <v>4.9589999999999996</v>
      </c>
      <c r="I667" s="13">
        <f t="shared" si="10"/>
        <v>4.0499515033947624</v>
      </c>
    </row>
    <row r="668" spans="2:9">
      <c r="C668" s="33">
        <v>2.2320000000000002</v>
      </c>
      <c r="D668" s="23">
        <v>105.1</v>
      </c>
      <c r="E668" s="23">
        <v>84.02</v>
      </c>
      <c r="F668" s="23">
        <v>21.04</v>
      </c>
      <c r="G668" s="23">
        <v>592.29999999999995</v>
      </c>
      <c r="H668" s="23">
        <v>5.0129999999999999</v>
      </c>
      <c r="I668" s="13">
        <f t="shared" si="10"/>
        <v>3.9933460076045626</v>
      </c>
    </row>
    <row r="669" spans="2:9">
      <c r="C669" s="33">
        <v>2.2530000000000001</v>
      </c>
      <c r="D669" s="23">
        <v>81.37</v>
      </c>
      <c r="E669" s="23">
        <v>83.73</v>
      </c>
      <c r="F669" s="23">
        <v>20.94</v>
      </c>
      <c r="G669" s="23">
        <v>593.4</v>
      </c>
      <c r="H669" s="23">
        <v>4.9630000000000001</v>
      </c>
      <c r="I669" s="13">
        <f t="shared" si="10"/>
        <v>3.9985673352435529</v>
      </c>
    </row>
    <row r="670" spans="2:9">
      <c r="C670" s="33">
        <v>2.2690000000000001</v>
      </c>
      <c r="D670" s="23">
        <v>91.28</v>
      </c>
      <c r="E670" s="23">
        <v>83.58</v>
      </c>
      <c r="F670" s="23">
        <v>20.76</v>
      </c>
      <c r="G670" s="23">
        <v>594.9</v>
      </c>
      <c r="H670" s="23">
        <v>5.0970000000000004</v>
      </c>
      <c r="I670" s="13">
        <f t="shared" si="10"/>
        <v>4.0260115606936413</v>
      </c>
    </row>
    <row r="671" spans="2:9">
      <c r="C671" s="33">
        <v>2.2829999999999999</v>
      </c>
      <c r="D671" s="23">
        <v>107.5</v>
      </c>
      <c r="E671" s="23">
        <v>83.38</v>
      </c>
      <c r="F671" s="23">
        <v>20.57</v>
      </c>
      <c r="G671" s="23">
        <v>600.5</v>
      </c>
      <c r="H671" s="23">
        <v>5.1390000000000002</v>
      </c>
      <c r="I671" s="13">
        <f t="shared" si="10"/>
        <v>4.0534759358288763</v>
      </c>
    </row>
    <row r="672" spans="2:9">
      <c r="C672" s="33">
        <v>2.2730000000000001</v>
      </c>
      <c r="D672" s="23">
        <v>94.29</v>
      </c>
      <c r="E672" s="23">
        <v>83.71</v>
      </c>
      <c r="F672" s="23">
        <v>20.67</v>
      </c>
      <c r="G672" s="23">
        <v>611.79999999999995</v>
      </c>
      <c r="H672" s="23">
        <v>5.2329999999999997</v>
      </c>
      <c r="I672" s="13">
        <f t="shared" si="10"/>
        <v>4.0498306724721811</v>
      </c>
    </row>
    <row r="673" spans="2:9">
      <c r="C673" s="33">
        <v>2.258</v>
      </c>
      <c r="D673" s="23">
        <v>102.1</v>
      </c>
      <c r="E673" s="23">
        <v>83.53</v>
      </c>
      <c r="F673" s="23">
        <v>20.170000000000002</v>
      </c>
      <c r="G673" s="23">
        <v>612.1</v>
      </c>
      <c r="H673" s="23">
        <v>5.3029999999999999</v>
      </c>
      <c r="I673" s="13">
        <f t="shared" si="10"/>
        <v>4.1412989588497764</v>
      </c>
    </row>
    <row r="674" spans="2:9">
      <c r="C674" s="33">
        <v>2.25</v>
      </c>
      <c r="D674" s="23">
        <v>88.03</v>
      </c>
      <c r="E674" s="23">
        <v>83.41</v>
      </c>
      <c r="F674" s="23">
        <v>20.41</v>
      </c>
      <c r="G674" s="23">
        <v>600.5</v>
      </c>
      <c r="H674" s="23">
        <v>5.3470000000000004</v>
      </c>
      <c r="I674" s="13">
        <f t="shared" si="10"/>
        <v>4.0867221950024497</v>
      </c>
    </row>
    <row r="675" spans="2:9">
      <c r="C675" s="33">
        <v>2.2170000000000001</v>
      </c>
      <c r="D675" s="23">
        <v>102</v>
      </c>
      <c r="E675" s="23">
        <v>83.65</v>
      </c>
      <c r="F675" s="23">
        <v>20.59</v>
      </c>
      <c r="G675" s="23">
        <v>620.6</v>
      </c>
      <c r="H675" s="23">
        <v>5.415</v>
      </c>
      <c r="I675" s="13">
        <f t="shared" si="10"/>
        <v>4.0626517727051974</v>
      </c>
    </row>
    <row r="676" spans="2:9">
      <c r="C676" s="33">
        <v>2.0840000000000001</v>
      </c>
      <c r="D676" s="23">
        <v>95.32</v>
      </c>
      <c r="E676" s="23">
        <v>84.12</v>
      </c>
      <c r="F676" s="23">
        <v>20.54</v>
      </c>
      <c r="G676" s="23">
        <v>614.20000000000005</v>
      </c>
      <c r="H676" s="23">
        <v>5.3369999999999997</v>
      </c>
      <c r="I676" s="13">
        <f t="shared" si="10"/>
        <v>4.0954235637779943</v>
      </c>
    </row>
    <row r="677" spans="2:9">
      <c r="C677" s="33">
        <v>2.1970000000000001</v>
      </c>
      <c r="D677" s="23">
        <v>109.4</v>
      </c>
      <c r="E677" s="23">
        <v>84</v>
      </c>
      <c r="F677" s="23">
        <v>20.72</v>
      </c>
      <c r="G677" s="23">
        <v>594.5</v>
      </c>
      <c r="H677" s="23">
        <v>5.2060000000000004</v>
      </c>
      <c r="I677" s="13">
        <f t="shared" si="10"/>
        <v>4.0540540540540544</v>
      </c>
    </row>
    <row r="678" spans="2:9">
      <c r="C678" s="33">
        <v>2.258</v>
      </c>
      <c r="D678" s="23">
        <v>95.32</v>
      </c>
      <c r="E678" s="23">
        <v>83.82</v>
      </c>
      <c r="F678" s="23">
        <v>20.59</v>
      </c>
      <c r="G678" s="23">
        <v>592</v>
      </c>
      <c r="H678" s="23">
        <v>5.1390000000000002</v>
      </c>
      <c r="I678" s="13">
        <f t="shared" si="10"/>
        <v>4.0709082078678964</v>
      </c>
    </row>
    <row r="679" spans="2:9">
      <c r="C679" s="33">
        <v>2.2280000000000002</v>
      </c>
      <c r="D679" s="23">
        <v>88.22</v>
      </c>
      <c r="E679" s="23">
        <v>83.46</v>
      </c>
      <c r="F679" s="23">
        <v>20.83</v>
      </c>
      <c r="G679" s="23">
        <v>595</v>
      </c>
      <c r="H679" s="23">
        <v>5.0970000000000004</v>
      </c>
      <c r="I679" s="13">
        <f t="shared" si="10"/>
        <v>4.0067210753720595</v>
      </c>
    </row>
    <row r="680" spans="2:9">
      <c r="C680" s="33">
        <v>2.262</v>
      </c>
      <c r="D680" s="23">
        <v>86.4</v>
      </c>
      <c r="E680" s="23">
        <v>84.08</v>
      </c>
      <c r="F680" s="23">
        <v>20.440000000000001</v>
      </c>
      <c r="G680" s="23">
        <v>603.29999999999995</v>
      </c>
      <c r="H680" s="23">
        <v>5.0529999999999999</v>
      </c>
      <c r="I680" s="13">
        <f t="shared" si="10"/>
        <v>4.1135029354207431</v>
      </c>
    </row>
    <row r="681" spans="2:9">
      <c r="C681" s="33">
        <v>2.2610000000000001</v>
      </c>
      <c r="D681" s="23">
        <v>103.7</v>
      </c>
      <c r="E681" s="23">
        <v>84.05</v>
      </c>
      <c r="F681" s="23">
        <v>20.62</v>
      </c>
      <c r="G681" s="23">
        <v>596.1</v>
      </c>
      <c r="H681" s="23">
        <v>4.9909999999999997</v>
      </c>
      <c r="I681" s="13">
        <f t="shared" si="10"/>
        <v>4.0761396702230837</v>
      </c>
    </row>
    <row r="682" spans="2:9">
      <c r="B682" s="35">
        <v>35</v>
      </c>
      <c r="C682" s="36">
        <v>2.798</v>
      </c>
      <c r="D682" s="38">
        <v>173.7</v>
      </c>
      <c r="E682" s="38">
        <v>118.9</v>
      </c>
      <c r="F682" s="38">
        <v>34.380000000000003</v>
      </c>
      <c r="G682" s="38">
        <v>564.6</v>
      </c>
      <c r="H682" s="38">
        <v>4.51</v>
      </c>
      <c r="I682" s="13">
        <f t="shared" si="10"/>
        <v>3.4584060500290867</v>
      </c>
    </row>
    <row r="683" spans="2:9">
      <c r="C683" s="33">
        <v>2.859</v>
      </c>
      <c r="D683" s="23">
        <v>141.69999999999999</v>
      </c>
      <c r="E683" s="23">
        <v>118.7</v>
      </c>
      <c r="F683" s="23">
        <v>34.21</v>
      </c>
      <c r="G683" s="23">
        <v>559.9</v>
      </c>
      <c r="H683" s="23">
        <v>4.851</v>
      </c>
      <c r="I683" s="13">
        <f t="shared" si="10"/>
        <v>3.4697456883952063</v>
      </c>
    </row>
    <row r="684" spans="2:9">
      <c r="C684" s="33">
        <v>2.92</v>
      </c>
      <c r="D684" s="23">
        <v>154</v>
      </c>
      <c r="E684" s="23">
        <v>118.4</v>
      </c>
      <c r="F684" s="23">
        <v>34.159999999999997</v>
      </c>
      <c r="G684" s="23">
        <v>556.5</v>
      </c>
      <c r="H684" s="23">
        <v>4.7279999999999998</v>
      </c>
      <c r="I684" s="13">
        <f t="shared" si="10"/>
        <v>3.466042154566745</v>
      </c>
    </row>
    <row r="685" spans="2:9">
      <c r="C685" s="33">
        <v>2.8340000000000001</v>
      </c>
      <c r="D685" s="23">
        <v>158.30000000000001</v>
      </c>
      <c r="E685" s="23">
        <v>118.5</v>
      </c>
      <c r="F685" s="23">
        <v>33.99</v>
      </c>
      <c r="G685" s="23">
        <v>558.6</v>
      </c>
      <c r="H685" s="23">
        <v>4.46</v>
      </c>
      <c r="I685" s="13">
        <f t="shared" si="10"/>
        <v>3.4863195057369811</v>
      </c>
    </row>
    <row r="686" spans="2:9">
      <c r="C686" s="33">
        <v>2.9630000000000001</v>
      </c>
      <c r="D686" s="23">
        <v>170.7</v>
      </c>
      <c r="E686" s="23">
        <v>118.6</v>
      </c>
      <c r="F686" s="23">
        <v>34.369999999999997</v>
      </c>
      <c r="G686" s="23">
        <v>568.6</v>
      </c>
      <c r="H686" s="23">
        <v>4.2750000000000004</v>
      </c>
      <c r="I686" s="13">
        <f t="shared" si="10"/>
        <v>3.4506837358161189</v>
      </c>
    </row>
    <row r="687" spans="2:9">
      <c r="C687" s="33">
        <v>2.8919999999999999</v>
      </c>
      <c r="D687" s="23">
        <v>151.80000000000001</v>
      </c>
      <c r="E687" s="23">
        <v>118.3</v>
      </c>
      <c r="F687" s="23">
        <v>34.14</v>
      </c>
      <c r="G687" s="23">
        <v>563.79999999999995</v>
      </c>
      <c r="H687" s="23">
        <v>4.2469999999999999</v>
      </c>
      <c r="I687" s="13">
        <f t="shared" si="10"/>
        <v>3.4651435266549502</v>
      </c>
    </row>
    <row r="688" spans="2:9">
      <c r="C688" s="33">
        <v>2.95</v>
      </c>
      <c r="D688" s="23">
        <v>140.5</v>
      </c>
      <c r="E688" s="23">
        <v>119.3</v>
      </c>
      <c r="F688" s="23">
        <v>34.03</v>
      </c>
      <c r="G688" s="23">
        <v>564.79999999999995</v>
      </c>
      <c r="H688" s="23">
        <v>4.3559999999999999</v>
      </c>
      <c r="I688" s="13">
        <f t="shared" si="10"/>
        <v>3.5057302380252717</v>
      </c>
    </row>
    <row r="689" spans="2:9">
      <c r="C689" s="33">
        <v>2.887</v>
      </c>
      <c r="D689" s="23">
        <v>157.9</v>
      </c>
      <c r="E689" s="23">
        <v>119</v>
      </c>
      <c r="F689" s="23">
        <v>34.04</v>
      </c>
      <c r="G689" s="23">
        <v>569</v>
      </c>
      <c r="H689" s="23">
        <v>4.3120000000000003</v>
      </c>
      <c r="I689" s="13">
        <f t="shared" si="10"/>
        <v>3.4958871915393654</v>
      </c>
    </row>
    <row r="690" spans="2:9">
      <c r="C690" s="33">
        <v>2.92</v>
      </c>
      <c r="D690" s="23">
        <v>183.3</v>
      </c>
      <c r="E690" s="23">
        <v>118.8</v>
      </c>
      <c r="F690" s="23">
        <v>34.07</v>
      </c>
      <c r="G690" s="23">
        <v>566.1</v>
      </c>
      <c r="H690" s="23">
        <v>4.1820000000000004</v>
      </c>
      <c r="I690" s="13">
        <f t="shared" si="10"/>
        <v>3.4869386557088347</v>
      </c>
    </row>
    <row r="691" spans="2:9">
      <c r="C691" s="33">
        <v>2.9380000000000002</v>
      </c>
      <c r="D691" s="23">
        <v>170.7</v>
      </c>
      <c r="E691" s="23">
        <v>118.5</v>
      </c>
      <c r="F691" s="23">
        <v>33.83</v>
      </c>
      <c r="G691" s="23">
        <v>564.29999999999995</v>
      </c>
      <c r="H691" s="23">
        <v>4.4000000000000004</v>
      </c>
      <c r="I691" s="13">
        <f t="shared" si="10"/>
        <v>3.5028081584392554</v>
      </c>
    </row>
    <row r="692" spans="2:9">
      <c r="C692" s="33">
        <v>2.8650000000000002</v>
      </c>
      <c r="D692" s="23">
        <v>154</v>
      </c>
      <c r="E692" s="23">
        <v>118.4</v>
      </c>
      <c r="F692" s="23">
        <v>33.72</v>
      </c>
      <c r="G692" s="23">
        <v>564.6</v>
      </c>
      <c r="H692" s="23">
        <v>4.6630000000000003</v>
      </c>
      <c r="I692" s="13">
        <f t="shared" si="10"/>
        <v>3.5112692763938318</v>
      </c>
    </row>
    <row r="693" spans="2:9">
      <c r="C693" s="33">
        <v>2.798</v>
      </c>
      <c r="D693" s="23">
        <v>178.5</v>
      </c>
      <c r="E693" s="23">
        <v>118.9</v>
      </c>
      <c r="F693" s="23">
        <v>34.24</v>
      </c>
      <c r="G693" s="23">
        <v>560.79999999999995</v>
      </c>
      <c r="H693" s="23">
        <v>4.9290000000000003</v>
      </c>
      <c r="I693" s="13">
        <f t="shared" si="10"/>
        <v>3.4725467289719627</v>
      </c>
    </row>
    <row r="694" spans="2:9">
      <c r="C694" s="33">
        <v>2.86</v>
      </c>
      <c r="D694" s="23">
        <v>205</v>
      </c>
      <c r="E694" s="23">
        <v>118.6</v>
      </c>
      <c r="F694" s="23">
        <v>31.14</v>
      </c>
      <c r="G694" s="23">
        <v>562</v>
      </c>
      <c r="H694" s="23">
        <v>4.8789999999999996</v>
      </c>
      <c r="I694" s="13">
        <f t="shared" si="10"/>
        <v>3.8086062941554268</v>
      </c>
    </row>
    <row r="695" spans="2:9">
      <c r="C695" s="33">
        <v>2.984</v>
      </c>
      <c r="D695" s="23">
        <v>158.30000000000001</v>
      </c>
      <c r="E695" s="23">
        <v>118.3</v>
      </c>
      <c r="F695" s="23">
        <v>33.86</v>
      </c>
      <c r="G695" s="23">
        <v>556.9</v>
      </c>
      <c r="H695" s="23">
        <v>5.01</v>
      </c>
      <c r="I695" s="13">
        <f t="shared" si="10"/>
        <v>3.4937979917306556</v>
      </c>
    </row>
    <row r="696" spans="2:9">
      <c r="C696" s="33">
        <v>2.95</v>
      </c>
      <c r="D696" s="23">
        <v>171</v>
      </c>
      <c r="E696" s="23">
        <v>118.7</v>
      </c>
      <c r="F696" s="23">
        <v>34.11</v>
      </c>
      <c r="G696" s="23">
        <v>555.6</v>
      </c>
      <c r="H696" s="23">
        <v>4.8789999999999996</v>
      </c>
      <c r="I696" s="13">
        <f t="shared" si="10"/>
        <v>3.479917912635591</v>
      </c>
    </row>
    <row r="697" spans="2:9">
      <c r="C697" s="33">
        <v>2.8809999999999998</v>
      </c>
      <c r="D697" s="23">
        <v>192.7</v>
      </c>
      <c r="E697" s="23">
        <v>118.6</v>
      </c>
      <c r="F697" s="23">
        <v>33.979999999999997</v>
      </c>
      <c r="G697" s="23">
        <v>552.70000000000005</v>
      </c>
      <c r="H697" s="23">
        <v>4.4450000000000003</v>
      </c>
      <c r="I697" s="13">
        <f t="shared" si="10"/>
        <v>3.490288404944085</v>
      </c>
    </row>
    <row r="698" spans="2:9">
      <c r="C698" s="33">
        <v>2.7909999999999999</v>
      </c>
      <c r="D698" s="23">
        <v>137.30000000000001</v>
      </c>
      <c r="E698" s="23">
        <v>118.2</v>
      </c>
      <c r="F698" s="23">
        <v>34.11</v>
      </c>
      <c r="G698" s="23">
        <v>549.79999999999995</v>
      </c>
      <c r="H698" s="23">
        <v>4.8120000000000003</v>
      </c>
      <c r="I698" s="13">
        <f t="shared" si="10"/>
        <v>3.465259454705365</v>
      </c>
    </row>
    <row r="699" spans="2:9">
      <c r="C699" s="33">
        <v>2.5880000000000001</v>
      </c>
      <c r="D699" s="23">
        <v>162.1</v>
      </c>
      <c r="E699" s="23">
        <v>118.9</v>
      </c>
      <c r="F699" s="23">
        <v>33.79</v>
      </c>
      <c r="G699" s="23">
        <v>552.29999999999995</v>
      </c>
      <c r="H699" s="23">
        <v>4.51</v>
      </c>
      <c r="I699" s="13">
        <f t="shared" si="10"/>
        <v>3.5187925421722404</v>
      </c>
    </row>
    <row r="700" spans="2:9">
      <c r="C700" s="33">
        <v>2.6360000000000001</v>
      </c>
      <c r="D700" s="23">
        <v>157.9</v>
      </c>
      <c r="E700" s="23">
        <v>118.6</v>
      </c>
      <c r="F700" s="23">
        <v>33.86</v>
      </c>
      <c r="G700" s="23">
        <v>559.9</v>
      </c>
      <c r="H700" s="23">
        <v>4.7309999999999999</v>
      </c>
      <c r="I700" s="13">
        <f t="shared" si="10"/>
        <v>3.5026580035440045</v>
      </c>
    </row>
    <row r="701" spans="2:9">
      <c r="C701" s="33">
        <v>2.859</v>
      </c>
      <c r="D701" s="23">
        <v>162.1</v>
      </c>
      <c r="E701" s="23">
        <v>118.5</v>
      </c>
      <c r="F701" s="23">
        <v>34.22</v>
      </c>
      <c r="G701" s="23">
        <v>553.1</v>
      </c>
      <c r="H701" s="23">
        <v>4.891</v>
      </c>
      <c r="I701" s="13">
        <f t="shared" si="10"/>
        <v>3.4628872004675628</v>
      </c>
    </row>
    <row r="702" spans="2:9">
      <c r="B702" s="35">
        <v>36</v>
      </c>
      <c r="C702" s="36">
        <v>2.415</v>
      </c>
      <c r="D702" s="38">
        <v>99.26</v>
      </c>
      <c r="E702" s="38">
        <v>93.81</v>
      </c>
      <c r="F702" s="38">
        <v>32.770000000000003</v>
      </c>
      <c r="G702" s="38">
        <v>561.70000000000005</v>
      </c>
      <c r="H702" s="38">
        <v>4.3369999999999997</v>
      </c>
      <c r="I702" s="13">
        <f t="shared" si="10"/>
        <v>2.8626792798291119</v>
      </c>
    </row>
    <row r="703" spans="2:9">
      <c r="C703" s="33">
        <v>2.2879999999999998</v>
      </c>
      <c r="D703" s="23">
        <v>103.3</v>
      </c>
      <c r="E703" s="23">
        <v>93.74</v>
      </c>
      <c r="F703" s="23">
        <v>32.619999999999997</v>
      </c>
      <c r="G703" s="23">
        <v>563.6</v>
      </c>
      <c r="H703" s="23">
        <v>4.3360000000000003</v>
      </c>
      <c r="I703" s="13">
        <f t="shared" si="10"/>
        <v>2.8736971183323115</v>
      </c>
    </row>
    <row r="704" spans="2:9">
      <c r="C704" s="33">
        <v>2.222</v>
      </c>
      <c r="D704" s="23">
        <v>98.91</v>
      </c>
      <c r="E704" s="23">
        <v>94.09</v>
      </c>
      <c r="F704" s="23">
        <v>32.65</v>
      </c>
      <c r="G704" s="23">
        <v>568.70000000000005</v>
      </c>
      <c r="H704" s="23">
        <v>4.375</v>
      </c>
      <c r="I704" s="13">
        <f t="shared" si="10"/>
        <v>2.8817764165390507</v>
      </c>
    </row>
    <row r="705" spans="3:9">
      <c r="C705" s="33">
        <v>2.234</v>
      </c>
      <c r="D705" s="23">
        <v>97.84</v>
      </c>
      <c r="E705" s="23">
        <v>93.63</v>
      </c>
      <c r="F705" s="23">
        <v>32.4</v>
      </c>
      <c r="G705" s="23">
        <v>568.29999999999995</v>
      </c>
      <c r="H705" s="23">
        <v>4.4089999999999998</v>
      </c>
      <c r="I705" s="13">
        <f t="shared" si="10"/>
        <v>2.8898148148148146</v>
      </c>
    </row>
    <row r="706" spans="3:9">
      <c r="C706" s="33">
        <v>2.2599999999999998</v>
      </c>
      <c r="D706" s="23">
        <v>98.94</v>
      </c>
      <c r="E706" s="23">
        <v>93.84</v>
      </c>
      <c r="F706" s="23">
        <v>32.770000000000003</v>
      </c>
      <c r="G706" s="23">
        <v>577.20000000000005</v>
      </c>
      <c r="H706" s="23">
        <v>4.4550000000000001</v>
      </c>
      <c r="I706" s="13">
        <f t="shared" si="10"/>
        <v>2.8635947512969175</v>
      </c>
    </row>
    <row r="707" spans="3:9">
      <c r="C707" s="33">
        <v>2.1749999999999998</v>
      </c>
      <c r="D707" s="23">
        <v>106.6</v>
      </c>
      <c r="E707" s="23">
        <v>94.09</v>
      </c>
      <c r="F707" s="23">
        <v>32.619999999999997</v>
      </c>
      <c r="G707" s="23">
        <v>569.5</v>
      </c>
      <c r="H707" s="23">
        <v>4.335</v>
      </c>
      <c r="I707" s="13">
        <f t="shared" ref="I707:I770" si="11">E707/F707</f>
        <v>2.8844267320662174</v>
      </c>
    </row>
    <row r="708" spans="3:9">
      <c r="C708" s="33">
        <v>2.218</v>
      </c>
      <c r="D708" s="23">
        <v>98.61</v>
      </c>
      <c r="E708" s="23">
        <v>93.82</v>
      </c>
      <c r="F708" s="23">
        <v>32.58</v>
      </c>
      <c r="G708" s="23">
        <v>558.6</v>
      </c>
      <c r="H708" s="23">
        <v>4.3179999999999996</v>
      </c>
      <c r="I708" s="13">
        <f t="shared" si="11"/>
        <v>2.8796807857581337</v>
      </c>
    </row>
    <row r="709" spans="3:9">
      <c r="C709" s="33">
        <v>2.242</v>
      </c>
      <c r="D709" s="23">
        <v>99.27</v>
      </c>
      <c r="E709" s="23">
        <v>94.2</v>
      </c>
      <c r="F709" s="23">
        <v>32.46</v>
      </c>
      <c r="G709" s="23">
        <v>561.20000000000005</v>
      </c>
      <c r="H709" s="23">
        <v>4.306</v>
      </c>
      <c r="I709" s="13">
        <f t="shared" si="11"/>
        <v>2.9020332717190387</v>
      </c>
    </row>
    <row r="710" spans="3:9">
      <c r="C710" s="33">
        <v>2.27</v>
      </c>
      <c r="D710" s="23">
        <v>103</v>
      </c>
      <c r="E710" s="23">
        <v>93.17</v>
      </c>
      <c r="F710" s="23">
        <v>32.520000000000003</v>
      </c>
      <c r="G710" s="23">
        <v>573.29999999999995</v>
      </c>
      <c r="H710" s="23">
        <v>4.3140000000000001</v>
      </c>
      <c r="I710" s="13">
        <f t="shared" si="11"/>
        <v>2.8650061500615003</v>
      </c>
    </row>
    <row r="711" spans="3:9">
      <c r="C711" s="33">
        <v>2.3029999999999999</v>
      </c>
      <c r="D711" s="23">
        <v>98.61</v>
      </c>
      <c r="E711" s="23">
        <v>93.7</v>
      </c>
      <c r="F711" s="23">
        <v>32.67</v>
      </c>
      <c r="G711" s="23">
        <v>566.70000000000005</v>
      </c>
      <c r="H711" s="23">
        <v>4.383</v>
      </c>
      <c r="I711" s="13">
        <f t="shared" si="11"/>
        <v>2.8680746862565045</v>
      </c>
    </row>
    <row r="712" spans="3:9">
      <c r="C712" s="33">
        <v>2.37</v>
      </c>
      <c r="D712" s="23">
        <v>94.66</v>
      </c>
      <c r="E712" s="23">
        <v>94.06</v>
      </c>
      <c r="F712" s="23">
        <v>32.46</v>
      </c>
      <c r="G712" s="23">
        <v>566.4</v>
      </c>
      <c r="H712" s="23">
        <v>4.3840000000000003</v>
      </c>
      <c r="I712" s="13">
        <f t="shared" si="11"/>
        <v>2.8977202711028958</v>
      </c>
    </row>
    <row r="713" spans="3:9">
      <c r="C713" s="33">
        <v>2.3359999999999999</v>
      </c>
      <c r="D713" s="23">
        <v>103.3</v>
      </c>
      <c r="E713" s="23">
        <v>93.49</v>
      </c>
      <c r="F713" s="23">
        <v>32.92</v>
      </c>
      <c r="G713" s="23">
        <v>567.1</v>
      </c>
      <c r="H713" s="23">
        <v>4.3090000000000002</v>
      </c>
      <c r="I713" s="13">
        <f t="shared" si="11"/>
        <v>2.8399149453219925</v>
      </c>
    </row>
    <row r="714" spans="3:9">
      <c r="C714" s="33">
        <v>2.3639999999999999</v>
      </c>
      <c r="D714" s="23">
        <v>97.84</v>
      </c>
      <c r="E714" s="23">
        <v>93.38</v>
      </c>
      <c r="F714" s="23">
        <v>32.68</v>
      </c>
      <c r="G714" s="23">
        <v>578</v>
      </c>
      <c r="H714" s="23">
        <v>4.2370000000000001</v>
      </c>
      <c r="I714" s="13">
        <f t="shared" si="11"/>
        <v>2.8574051407588739</v>
      </c>
    </row>
    <row r="715" spans="3:9">
      <c r="C715" s="33">
        <v>2.298</v>
      </c>
      <c r="D715" s="23">
        <v>97.86</v>
      </c>
      <c r="E715" s="23">
        <v>93.52</v>
      </c>
      <c r="F715" s="23">
        <v>32.57</v>
      </c>
      <c r="G715" s="23">
        <v>575.20000000000005</v>
      </c>
      <c r="H715" s="23">
        <v>4.3019999999999996</v>
      </c>
      <c r="I715" s="13">
        <f t="shared" si="11"/>
        <v>2.8713540067546819</v>
      </c>
    </row>
    <row r="716" spans="3:9">
      <c r="C716" s="33">
        <v>2.3029999999999999</v>
      </c>
      <c r="D716" s="23">
        <v>106.6</v>
      </c>
      <c r="E716" s="23">
        <v>93.77</v>
      </c>
      <c r="F716" s="23">
        <v>32.46</v>
      </c>
      <c r="G716" s="23">
        <v>561.6</v>
      </c>
      <c r="H716" s="23">
        <v>4.2130000000000001</v>
      </c>
      <c r="I716" s="13">
        <f t="shared" si="11"/>
        <v>2.8887861983980283</v>
      </c>
    </row>
    <row r="717" spans="3:9">
      <c r="C717" s="33">
        <v>2.3450000000000002</v>
      </c>
      <c r="D717" s="23">
        <v>98.73</v>
      </c>
      <c r="E717" s="23">
        <v>93.84</v>
      </c>
      <c r="F717" s="23">
        <v>32.11</v>
      </c>
      <c r="G717" s="23">
        <v>558</v>
      </c>
      <c r="H717" s="23">
        <v>4.3479999999999999</v>
      </c>
      <c r="I717" s="13">
        <f t="shared" si="11"/>
        <v>2.922454064154469</v>
      </c>
    </row>
    <row r="718" spans="3:9">
      <c r="C718" s="33">
        <v>2.35</v>
      </c>
      <c r="D718" s="23">
        <v>97.86</v>
      </c>
      <c r="E718" s="23">
        <v>93.56</v>
      </c>
      <c r="F718" s="23">
        <v>32.58</v>
      </c>
      <c r="G718" s="23">
        <v>569.70000000000005</v>
      </c>
      <c r="H718" s="23">
        <v>4.2679999999999998</v>
      </c>
      <c r="I718" s="13">
        <f t="shared" si="11"/>
        <v>2.8717004297114799</v>
      </c>
    </row>
    <row r="719" spans="3:9">
      <c r="C719" s="33">
        <v>2.282</v>
      </c>
      <c r="D719" s="23">
        <v>99.83</v>
      </c>
      <c r="E719" s="23">
        <v>93.74</v>
      </c>
      <c r="F719" s="23">
        <v>32.82</v>
      </c>
      <c r="G719" s="23">
        <v>566.70000000000005</v>
      </c>
      <c r="H719" s="23">
        <v>4.2130000000000001</v>
      </c>
      <c r="I719" s="13">
        <f t="shared" si="11"/>
        <v>2.8561852528945764</v>
      </c>
    </row>
    <row r="720" spans="3:9">
      <c r="C720" s="33">
        <v>2.3519999999999999</v>
      </c>
      <c r="D720" s="23">
        <v>94.66</v>
      </c>
      <c r="E720" s="23">
        <v>94.24</v>
      </c>
      <c r="F720" s="23">
        <v>32.700000000000003</v>
      </c>
      <c r="G720" s="23">
        <v>556.29999999999995</v>
      </c>
      <c r="H720" s="23">
        <v>4.2370000000000001</v>
      </c>
      <c r="I720" s="13">
        <f t="shared" si="11"/>
        <v>2.8819571865443421</v>
      </c>
    </row>
    <row r="721" spans="2:9">
      <c r="C721" s="33">
        <v>2.3039999999999998</v>
      </c>
      <c r="D721" s="23">
        <v>110.5</v>
      </c>
      <c r="E721" s="23">
        <v>93.49</v>
      </c>
      <c r="F721" s="23">
        <v>32.58</v>
      </c>
      <c r="G721" s="23">
        <v>557.4</v>
      </c>
      <c r="H721" s="23">
        <v>4.3090000000000002</v>
      </c>
      <c r="I721" s="13">
        <f t="shared" si="11"/>
        <v>2.8695518723143034</v>
      </c>
    </row>
    <row r="722" spans="2:9">
      <c r="B722" s="35">
        <v>37</v>
      </c>
      <c r="C722" s="36">
        <v>2.1949999999999998</v>
      </c>
      <c r="D722" s="38">
        <v>99.38</v>
      </c>
      <c r="E722" s="38">
        <v>96.48</v>
      </c>
      <c r="F722" s="38">
        <v>30.47</v>
      </c>
      <c r="G722" s="38">
        <v>556.79999999999995</v>
      </c>
      <c r="H722" s="38">
        <v>4.2130000000000001</v>
      </c>
      <c r="I722" s="13">
        <f t="shared" si="11"/>
        <v>3.1663931736133906</v>
      </c>
    </row>
    <row r="723" spans="2:9">
      <c r="C723" s="33">
        <v>2.2370000000000001</v>
      </c>
      <c r="D723" s="23">
        <v>100.2</v>
      </c>
      <c r="E723" s="23">
        <v>96.75</v>
      </c>
      <c r="F723" s="23">
        <v>30.95</v>
      </c>
      <c r="G723" s="23">
        <v>566.1</v>
      </c>
      <c r="H723" s="23">
        <v>4.7569999999999997</v>
      </c>
      <c r="I723" s="13">
        <f t="shared" si="11"/>
        <v>3.1260096930533119</v>
      </c>
    </row>
    <row r="724" spans="2:9">
      <c r="C724" s="33">
        <v>2.2599999999999998</v>
      </c>
      <c r="D724" s="23">
        <v>99.77</v>
      </c>
      <c r="E724" s="23">
        <v>96.23</v>
      </c>
      <c r="F724" s="23">
        <v>30.85</v>
      </c>
      <c r="G724" s="23">
        <v>565.20000000000005</v>
      </c>
      <c r="H724" s="23">
        <v>4.476</v>
      </c>
      <c r="I724" s="13">
        <f t="shared" si="11"/>
        <v>3.1192868719611022</v>
      </c>
    </row>
    <row r="725" spans="2:9">
      <c r="C725" s="33">
        <v>2.2589999999999999</v>
      </c>
      <c r="D725" s="23">
        <v>137.9</v>
      </c>
      <c r="E725" s="23">
        <v>96.5</v>
      </c>
      <c r="F725" s="23">
        <v>30.12</v>
      </c>
      <c r="G725" s="23">
        <v>565.1</v>
      </c>
      <c r="H725" s="23">
        <v>3.9049999999999998</v>
      </c>
      <c r="I725" s="13">
        <f t="shared" si="11"/>
        <v>3.2038512616201857</v>
      </c>
    </row>
    <row r="726" spans="2:9">
      <c r="C726" s="33">
        <v>2.2559999999999998</v>
      </c>
      <c r="D726" s="23">
        <v>132.9</v>
      </c>
      <c r="E726" s="23">
        <v>96.58</v>
      </c>
      <c r="F726" s="23">
        <v>30.42</v>
      </c>
      <c r="G726" s="23">
        <v>563.5</v>
      </c>
      <c r="H726" s="23">
        <v>4.3840000000000003</v>
      </c>
      <c r="I726" s="13">
        <f t="shared" si="11"/>
        <v>3.1748849441157132</v>
      </c>
    </row>
    <row r="727" spans="2:9">
      <c r="C727" s="33">
        <v>2.242</v>
      </c>
      <c r="D727" s="23">
        <v>144.5</v>
      </c>
      <c r="E727" s="23">
        <v>96.03</v>
      </c>
      <c r="F727" s="23">
        <v>30.27</v>
      </c>
      <c r="G727" s="23">
        <v>565.29999999999995</v>
      </c>
      <c r="H727" s="23">
        <v>4.1619999999999999</v>
      </c>
      <c r="I727" s="13">
        <f t="shared" si="11"/>
        <v>3.1724479682854314</v>
      </c>
    </row>
    <row r="728" spans="2:9">
      <c r="C728" s="33">
        <v>2.2130000000000001</v>
      </c>
      <c r="D728" s="23">
        <v>148.19999999999999</v>
      </c>
      <c r="E728" s="23">
        <v>95.25</v>
      </c>
      <c r="F728" s="23">
        <v>30.43</v>
      </c>
      <c r="G728" s="23">
        <v>563.79999999999995</v>
      </c>
      <c r="H728" s="23">
        <v>3.3730000000000002</v>
      </c>
      <c r="I728" s="13">
        <f t="shared" si="11"/>
        <v>3.1301347354584292</v>
      </c>
    </row>
    <row r="729" spans="2:9">
      <c r="C729" s="33">
        <v>2.2949999999999999</v>
      </c>
      <c r="D729" s="23">
        <v>133.1</v>
      </c>
      <c r="E729" s="23">
        <v>95.08</v>
      </c>
      <c r="F729" s="23">
        <v>30.66</v>
      </c>
      <c r="G729" s="23">
        <v>564.5</v>
      </c>
      <c r="H729" s="23">
        <v>4.0819999999999999</v>
      </c>
      <c r="I729" s="13">
        <f t="shared" si="11"/>
        <v>3.101108936725375</v>
      </c>
    </row>
    <row r="730" spans="2:9">
      <c r="C730" s="33">
        <v>2.2719999999999998</v>
      </c>
      <c r="D730" s="23">
        <v>104.2</v>
      </c>
      <c r="E730" s="23">
        <v>96.3</v>
      </c>
      <c r="F730" s="23">
        <v>29.63</v>
      </c>
      <c r="G730" s="23">
        <v>563.4</v>
      </c>
      <c r="H730" s="23">
        <v>4.4210000000000003</v>
      </c>
      <c r="I730" s="13">
        <f t="shared" si="11"/>
        <v>3.2500843739453256</v>
      </c>
    </row>
    <row r="731" spans="2:9">
      <c r="C731" s="33">
        <v>2.2440000000000002</v>
      </c>
      <c r="D731" s="23">
        <v>83.19</v>
      </c>
      <c r="E731" s="23">
        <v>95.93</v>
      </c>
      <c r="F731" s="23">
        <v>30.06</v>
      </c>
      <c r="G731" s="23">
        <v>564.1</v>
      </c>
      <c r="H731" s="23">
        <v>5.2590000000000003</v>
      </c>
      <c r="I731" s="13">
        <f t="shared" si="11"/>
        <v>3.1912840984697275</v>
      </c>
    </row>
    <row r="732" spans="2:9">
      <c r="C732" s="33">
        <v>2.2109999999999999</v>
      </c>
      <c r="D732" s="23">
        <v>86.59</v>
      </c>
      <c r="E732" s="23">
        <v>96.01</v>
      </c>
      <c r="F732" s="23">
        <v>30.13</v>
      </c>
      <c r="G732" s="23">
        <v>559.79999999999995</v>
      </c>
      <c r="H732" s="23">
        <v>5.1989999999999998</v>
      </c>
      <c r="I732" s="13">
        <f t="shared" si="11"/>
        <v>3.1865250580816467</v>
      </c>
    </row>
    <row r="733" spans="2:9">
      <c r="C733" s="33">
        <v>2.1349999999999998</v>
      </c>
      <c r="D733" s="23">
        <v>97.89</v>
      </c>
      <c r="E733" s="23">
        <v>96.43</v>
      </c>
      <c r="F733" s="23">
        <v>30.3</v>
      </c>
      <c r="G733" s="23">
        <v>557.1</v>
      </c>
      <c r="H733" s="23">
        <v>5.415</v>
      </c>
      <c r="I733" s="13">
        <f t="shared" si="11"/>
        <v>3.1825082508250828</v>
      </c>
    </row>
    <row r="734" spans="2:9">
      <c r="C734" s="33">
        <v>2.12</v>
      </c>
      <c r="D734" s="23">
        <v>102.9</v>
      </c>
      <c r="E734" s="23">
        <v>96.6</v>
      </c>
      <c r="F734" s="23">
        <v>30.48</v>
      </c>
      <c r="G734" s="23">
        <v>560.9</v>
      </c>
      <c r="H734" s="23">
        <v>4.2380000000000004</v>
      </c>
      <c r="I734" s="13">
        <f t="shared" si="11"/>
        <v>3.1692913385826769</v>
      </c>
    </row>
    <row r="735" spans="2:9">
      <c r="C735" s="33">
        <v>2.0910000000000002</v>
      </c>
      <c r="D735" s="23">
        <v>94.84</v>
      </c>
      <c r="E735" s="23">
        <v>96.95</v>
      </c>
      <c r="F735" s="23">
        <v>30.32</v>
      </c>
      <c r="G735" s="23">
        <v>558.9</v>
      </c>
      <c r="H735" s="23">
        <v>4.9800000000000004</v>
      </c>
      <c r="I735" s="13">
        <f t="shared" si="11"/>
        <v>3.1975593667546174</v>
      </c>
    </row>
    <row r="736" spans="2:9">
      <c r="C736" s="33">
        <v>2.177</v>
      </c>
      <c r="D736" s="23">
        <v>99.5</v>
      </c>
      <c r="E736" s="23">
        <v>96.89</v>
      </c>
      <c r="F736" s="23">
        <v>30.57</v>
      </c>
      <c r="G736" s="23">
        <v>555.6</v>
      </c>
      <c r="H736" s="23">
        <v>4.9630000000000001</v>
      </c>
      <c r="I736" s="13">
        <f t="shared" si="11"/>
        <v>3.1694471704285245</v>
      </c>
    </row>
    <row r="737" spans="2:9">
      <c r="C737" s="33">
        <v>2.2370000000000001</v>
      </c>
      <c r="D737" s="23">
        <v>100.6</v>
      </c>
      <c r="E737" s="23">
        <v>96.81</v>
      </c>
      <c r="F737" s="23">
        <v>30.39</v>
      </c>
      <c r="G737" s="23">
        <v>557.20000000000005</v>
      </c>
      <c r="H737" s="23">
        <v>4.992</v>
      </c>
      <c r="I737" s="13">
        <f t="shared" si="11"/>
        <v>3.1855873642645607</v>
      </c>
    </row>
    <row r="738" spans="2:9">
      <c r="C738" s="33">
        <v>2.2210000000000001</v>
      </c>
      <c r="D738" s="23">
        <v>94.84</v>
      </c>
      <c r="E738" s="23">
        <v>96.46</v>
      </c>
      <c r="F738" s="23">
        <v>30.22</v>
      </c>
      <c r="G738" s="23">
        <v>557.1</v>
      </c>
      <c r="H738" s="23">
        <v>5.1719999999999997</v>
      </c>
      <c r="I738" s="13">
        <f t="shared" si="11"/>
        <v>3.1919258769027135</v>
      </c>
    </row>
    <row r="739" spans="2:9">
      <c r="C739" s="33">
        <v>2.21</v>
      </c>
      <c r="D739" s="23">
        <v>98.65</v>
      </c>
      <c r="E739" s="23">
        <v>96.77</v>
      </c>
      <c r="F739" s="23">
        <v>30.05</v>
      </c>
      <c r="G739" s="23">
        <v>557.70000000000005</v>
      </c>
      <c r="H739" s="23">
        <v>4.7949999999999999</v>
      </c>
      <c r="I739" s="13">
        <f t="shared" si="11"/>
        <v>3.2202995008319464</v>
      </c>
    </row>
    <row r="740" spans="2:9">
      <c r="C740" s="33">
        <v>2.2559999999999998</v>
      </c>
      <c r="D740" s="23">
        <v>104.8</v>
      </c>
      <c r="E740" s="23">
        <v>96.43</v>
      </c>
      <c r="F740" s="23">
        <v>30.15</v>
      </c>
      <c r="G740" s="23">
        <v>557.1</v>
      </c>
      <c r="H740" s="23">
        <v>5.1989999999999998</v>
      </c>
      <c r="I740" s="13">
        <f t="shared" si="11"/>
        <v>3.1983416252072971</v>
      </c>
    </row>
    <row r="741" spans="2:9">
      <c r="C741" s="33">
        <v>2.2599999999999998</v>
      </c>
      <c r="D741" s="23">
        <v>100.9</v>
      </c>
      <c r="E741" s="23">
        <v>96.95</v>
      </c>
      <c r="F741" s="23">
        <v>30.51</v>
      </c>
      <c r="G741" s="23">
        <v>558.4</v>
      </c>
      <c r="H741" s="23">
        <v>4.9800000000000004</v>
      </c>
      <c r="I741" s="13">
        <f t="shared" si="11"/>
        <v>3.1776466732218944</v>
      </c>
    </row>
    <row r="742" spans="2:9">
      <c r="B742" s="35">
        <v>38</v>
      </c>
      <c r="C742" s="36">
        <v>1.9419999999999999</v>
      </c>
      <c r="D742" s="38">
        <v>152.80000000000001</v>
      </c>
      <c r="E742" s="38">
        <v>93.2</v>
      </c>
      <c r="F742" s="38">
        <v>20.96</v>
      </c>
      <c r="G742" s="38">
        <v>558.79999999999995</v>
      </c>
      <c r="H742" s="38">
        <v>3.1560000000000001</v>
      </c>
      <c r="I742" s="13">
        <f t="shared" si="11"/>
        <v>4.4465648854961835</v>
      </c>
    </row>
    <row r="743" spans="2:9">
      <c r="C743" s="33">
        <v>1.9390000000000001</v>
      </c>
      <c r="D743" s="23">
        <v>188.3</v>
      </c>
      <c r="E743" s="23">
        <v>93.94</v>
      </c>
      <c r="F743" s="23">
        <v>20.82</v>
      </c>
      <c r="G743" s="23">
        <v>564.20000000000005</v>
      </c>
      <c r="H743" s="23">
        <v>3.1789999999999998</v>
      </c>
      <c r="I743" s="13">
        <f t="shared" si="11"/>
        <v>4.5120076849183475</v>
      </c>
    </row>
    <row r="744" spans="2:9">
      <c r="C744" s="33">
        <v>1.9650000000000001</v>
      </c>
      <c r="D744" s="23">
        <v>143.6</v>
      </c>
      <c r="E744" s="23">
        <v>93.88</v>
      </c>
      <c r="F744" s="23">
        <v>20.95</v>
      </c>
      <c r="G744" s="23">
        <v>560.5</v>
      </c>
      <c r="H744" s="23">
        <v>3.3380000000000001</v>
      </c>
      <c r="I744" s="13">
        <f t="shared" si="11"/>
        <v>4.481145584725537</v>
      </c>
    </row>
    <row r="745" spans="2:9">
      <c r="C745" s="33">
        <v>1.974</v>
      </c>
      <c r="D745" s="23">
        <v>150.80000000000001</v>
      </c>
      <c r="E745" s="23">
        <v>93.22</v>
      </c>
      <c r="F745" s="23">
        <v>20.8</v>
      </c>
      <c r="G745" s="23">
        <v>560.79999999999995</v>
      </c>
      <c r="H745" s="23">
        <v>3.3180000000000001</v>
      </c>
      <c r="I745" s="13">
        <f t="shared" si="11"/>
        <v>4.4817307692307686</v>
      </c>
    </row>
    <row r="746" spans="2:9">
      <c r="C746" s="33">
        <v>1.9510000000000001</v>
      </c>
      <c r="D746" s="23">
        <v>142.30000000000001</v>
      </c>
      <c r="E746" s="23">
        <v>94.04</v>
      </c>
      <c r="F746" s="23">
        <v>20.54</v>
      </c>
      <c r="G746" s="23">
        <v>559.29999999999995</v>
      </c>
      <c r="H746" s="23">
        <v>3.4409999999999998</v>
      </c>
      <c r="I746" s="13">
        <f t="shared" si="11"/>
        <v>4.5783836416747814</v>
      </c>
    </row>
    <row r="747" spans="2:9">
      <c r="C747" s="33">
        <v>1.97</v>
      </c>
      <c r="D747" s="23">
        <v>152.5</v>
      </c>
      <c r="E747" s="23">
        <v>93.82</v>
      </c>
      <c r="F747" s="23">
        <v>20.66</v>
      </c>
      <c r="G747" s="23">
        <v>560.1</v>
      </c>
      <c r="H747" s="23">
        <v>3.7530000000000001</v>
      </c>
      <c r="I747" s="13">
        <f t="shared" si="11"/>
        <v>4.5411423039690222</v>
      </c>
    </row>
    <row r="748" spans="2:9">
      <c r="C748" s="33">
        <v>1.98</v>
      </c>
      <c r="D748" s="23">
        <v>147.9</v>
      </c>
      <c r="E748" s="23">
        <v>93.85</v>
      </c>
      <c r="F748" s="23">
        <v>20.54</v>
      </c>
      <c r="G748" s="23">
        <v>565.4</v>
      </c>
      <c r="H748" s="23">
        <v>4.1210000000000004</v>
      </c>
      <c r="I748" s="13">
        <f t="shared" si="11"/>
        <v>4.5691333982473221</v>
      </c>
    </row>
    <row r="749" spans="2:9">
      <c r="C749" s="33">
        <v>1.986</v>
      </c>
      <c r="D749" s="23">
        <v>184.7</v>
      </c>
      <c r="E749" s="23">
        <v>93.45</v>
      </c>
      <c r="F749" s="23">
        <v>20.52</v>
      </c>
      <c r="G749" s="23">
        <v>559.4</v>
      </c>
      <c r="H749" s="23">
        <v>4.2539999999999996</v>
      </c>
      <c r="I749" s="13">
        <f t="shared" si="11"/>
        <v>4.5540935672514626</v>
      </c>
    </row>
    <row r="750" spans="2:9">
      <c r="C750" s="33">
        <v>1.9890000000000001</v>
      </c>
      <c r="D750" s="23">
        <v>181.9</v>
      </c>
      <c r="E750" s="23">
        <v>93.18</v>
      </c>
      <c r="F750" s="23">
        <v>20.57</v>
      </c>
      <c r="G750" s="23">
        <v>569.4</v>
      </c>
      <c r="H750" s="23">
        <v>3.9969999999999999</v>
      </c>
      <c r="I750" s="13">
        <f t="shared" si="11"/>
        <v>4.5298979095770546</v>
      </c>
    </row>
    <row r="751" spans="2:9">
      <c r="C751" s="33">
        <v>1.976</v>
      </c>
      <c r="D751" s="23">
        <v>140</v>
      </c>
      <c r="E751" s="23">
        <v>93.29</v>
      </c>
      <c r="F751" s="23">
        <v>20.12</v>
      </c>
      <c r="G751" s="23">
        <v>577.20000000000005</v>
      </c>
      <c r="H751" s="23">
        <v>3.72</v>
      </c>
      <c r="I751" s="13">
        <f t="shared" si="11"/>
        <v>4.6366799204771372</v>
      </c>
    </row>
    <row r="752" spans="2:9">
      <c r="C752" s="33">
        <v>1.9870000000000001</v>
      </c>
      <c r="D752" s="23">
        <v>164.3</v>
      </c>
      <c r="E752" s="23">
        <v>93.4</v>
      </c>
      <c r="F752" s="23">
        <v>20.65</v>
      </c>
      <c r="G752" s="23">
        <v>578.6</v>
      </c>
      <c r="H752" s="23">
        <v>3.7909999999999999</v>
      </c>
      <c r="I752" s="13">
        <f t="shared" si="11"/>
        <v>4.5230024213075071</v>
      </c>
    </row>
    <row r="753" spans="2:9">
      <c r="C753" s="33">
        <v>1.9279999999999999</v>
      </c>
      <c r="D753" s="23">
        <v>169.4</v>
      </c>
      <c r="E753" s="23">
        <v>93.51</v>
      </c>
      <c r="F753" s="23">
        <v>20.93</v>
      </c>
      <c r="G753" s="23">
        <v>567.70000000000005</v>
      </c>
      <c r="H753" s="23">
        <v>3.972</v>
      </c>
      <c r="I753" s="13">
        <f t="shared" si="11"/>
        <v>4.4677496416626852</v>
      </c>
    </row>
    <row r="754" spans="2:9">
      <c r="C754" s="33">
        <v>1.9379999999999999</v>
      </c>
      <c r="D754" s="23">
        <v>135.4</v>
      </c>
      <c r="E754" s="23">
        <v>93.98</v>
      </c>
      <c r="F754" s="23">
        <v>20.66</v>
      </c>
      <c r="G754" s="23">
        <v>568.6</v>
      </c>
      <c r="H754" s="23">
        <v>3.7530000000000001</v>
      </c>
      <c r="I754" s="13">
        <f t="shared" si="11"/>
        <v>4.548886737657309</v>
      </c>
    </row>
    <row r="755" spans="2:9">
      <c r="C755" s="33">
        <v>1.9039999999999999</v>
      </c>
      <c r="D755" s="23">
        <v>147.9</v>
      </c>
      <c r="E755" s="23">
        <v>93.62</v>
      </c>
      <c r="F755" s="23">
        <v>20.38</v>
      </c>
      <c r="G755" s="23">
        <v>567.20000000000005</v>
      </c>
      <c r="H755" s="23">
        <v>3.8620000000000001</v>
      </c>
      <c r="I755" s="13">
        <f t="shared" si="11"/>
        <v>4.5937193326790977</v>
      </c>
    </row>
    <row r="756" spans="2:9">
      <c r="C756" s="33">
        <v>1.96</v>
      </c>
      <c r="D756" s="23">
        <v>194.2</v>
      </c>
      <c r="E756" s="23">
        <v>93.13</v>
      </c>
      <c r="F756" s="23">
        <v>20.52</v>
      </c>
      <c r="G756" s="23">
        <v>568.29999999999995</v>
      </c>
      <c r="H756" s="23">
        <v>3.7909999999999999</v>
      </c>
      <c r="I756" s="13">
        <f t="shared" si="11"/>
        <v>4.5384990253411308</v>
      </c>
    </row>
    <row r="757" spans="2:9">
      <c r="C757" s="33">
        <v>1.9370000000000001</v>
      </c>
      <c r="D757" s="23">
        <v>181.3</v>
      </c>
      <c r="E757" s="23">
        <v>93.34</v>
      </c>
      <c r="F757" s="23">
        <v>20.25</v>
      </c>
      <c r="G757" s="23">
        <v>574.9</v>
      </c>
      <c r="H757" s="23">
        <v>4.1470000000000002</v>
      </c>
      <c r="I757" s="13">
        <f t="shared" si="11"/>
        <v>4.6093827160493825</v>
      </c>
    </row>
    <row r="758" spans="2:9">
      <c r="C758" s="33">
        <v>1.976</v>
      </c>
      <c r="D758" s="23">
        <v>188.3</v>
      </c>
      <c r="E758" s="23">
        <v>93.5</v>
      </c>
      <c r="F758" s="23">
        <v>20.54</v>
      </c>
      <c r="G758" s="23">
        <v>576.1</v>
      </c>
      <c r="H758" s="23">
        <v>3.8</v>
      </c>
      <c r="I758" s="13">
        <f t="shared" si="11"/>
        <v>4.5520934761441092</v>
      </c>
    </row>
    <row r="759" spans="2:9">
      <c r="C759" s="33">
        <v>1.9730000000000001</v>
      </c>
      <c r="D759" s="23">
        <v>192.5</v>
      </c>
      <c r="E759" s="23">
        <v>93.77</v>
      </c>
      <c r="F759" s="23">
        <v>20.48</v>
      </c>
      <c r="G759" s="23">
        <v>569.20000000000005</v>
      </c>
      <c r="H759" s="23">
        <v>4.181</v>
      </c>
      <c r="I759" s="13">
        <f t="shared" si="11"/>
        <v>4.57861328125</v>
      </c>
    </row>
    <row r="760" spans="2:9">
      <c r="C760" s="33">
        <v>1.956</v>
      </c>
      <c r="D760" s="23">
        <v>134.30000000000001</v>
      </c>
      <c r="E760" s="23">
        <v>93.35</v>
      </c>
      <c r="F760" s="23">
        <v>20.93</v>
      </c>
      <c r="G760" s="23">
        <v>569.9</v>
      </c>
      <c r="H760" s="23">
        <v>4.5</v>
      </c>
      <c r="I760" s="13">
        <f t="shared" si="11"/>
        <v>4.4601051122790247</v>
      </c>
    </row>
    <row r="761" spans="2:9">
      <c r="C761" s="33">
        <v>1.9419999999999999</v>
      </c>
      <c r="D761" s="23">
        <v>143.9</v>
      </c>
      <c r="E761" s="23">
        <v>93.66</v>
      </c>
      <c r="F761" s="23">
        <v>20.8</v>
      </c>
      <c r="G761" s="23">
        <v>564.9</v>
      </c>
      <c r="H761" s="23">
        <v>3.9769999999999999</v>
      </c>
      <c r="I761" s="13">
        <f t="shared" si="11"/>
        <v>4.5028846153846152</v>
      </c>
    </row>
    <row r="762" spans="2:9">
      <c r="B762" s="35">
        <v>39</v>
      </c>
      <c r="C762" s="36">
        <v>2.1349999999999998</v>
      </c>
      <c r="D762" s="38">
        <v>127.6</v>
      </c>
      <c r="E762" s="38">
        <v>90.94</v>
      </c>
      <c r="F762" s="38">
        <v>27.26</v>
      </c>
      <c r="G762" s="38">
        <v>522.70000000000005</v>
      </c>
      <c r="H762" s="38">
        <v>5.25</v>
      </c>
      <c r="I762" s="13">
        <f t="shared" si="11"/>
        <v>3.3360234776228905</v>
      </c>
    </row>
    <row r="763" spans="2:9">
      <c r="C763" s="33">
        <v>2.1120000000000001</v>
      </c>
      <c r="D763" s="23">
        <v>138.9</v>
      </c>
      <c r="E763" s="23">
        <v>91.11</v>
      </c>
      <c r="F763" s="23">
        <v>27.39</v>
      </c>
      <c r="G763" s="23">
        <v>521.9</v>
      </c>
      <c r="H763" s="23">
        <v>5.4329999999999998</v>
      </c>
      <c r="I763" s="13">
        <f t="shared" si="11"/>
        <v>3.3263964950711937</v>
      </c>
    </row>
    <row r="764" spans="2:9">
      <c r="C764" s="33">
        <v>2.085</v>
      </c>
      <c r="D764" s="23">
        <v>142</v>
      </c>
      <c r="E764" s="23">
        <v>90.56</v>
      </c>
      <c r="F764" s="23">
        <v>27.56</v>
      </c>
      <c r="G764" s="23">
        <v>524.6</v>
      </c>
      <c r="H764" s="23">
        <v>5.7080000000000002</v>
      </c>
      <c r="I764" s="13">
        <f t="shared" si="11"/>
        <v>3.2859216255442671</v>
      </c>
    </row>
    <row r="765" spans="2:9">
      <c r="C765" s="33">
        <v>2.0310000000000001</v>
      </c>
      <c r="D765" s="23">
        <v>153.9</v>
      </c>
      <c r="E765" s="23">
        <v>90.72</v>
      </c>
      <c r="F765" s="23">
        <v>28.66</v>
      </c>
      <c r="G765" s="23">
        <v>521.9</v>
      </c>
      <c r="H765" s="23">
        <v>6.0010000000000003</v>
      </c>
      <c r="I765" s="13">
        <f t="shared" si="11"/>
        <v>3.1653872993719467</v>
      </c>
    </row>
    <row r="766" spans="2:9">
      <c r="C766" s="33">
        <v>2.08</v>
      </c>
      <c r="D766" s="23">
        <v>151.5</v>
      </c>
      <c r="E766" s="23">
        <v>91.03</v>
      </c>
      <c r="F766" s="23">
        <v>28.85</v>
      </c>
      <c r="G766" s="23">
        <v>530.9</v>
      </c>
      <c r="H766" s="23">
        <v>6.1769999999999996</v>
      </c>
      <c r="I766" s="13">
        <f t="shared" si="11"/>
        <v>3.1552859618717504</v>
      </c>
    </row>
    <row r="767" spans="2:9">
      <c r="C767" s="33">
        <v>2.12</v>
      </c>
      <c r="D767" s="23">
        <v>144</v>
      </c>
      <c r="E767" s="23">
        <v>90.86</v>
      </c>
      <c r="F767" s="23">
        <v>28.59</v>
      </c>
      <c r="G767" s="23">
        <v>529</v>
      </c>
      <c r="H767" s="23">
        <v>5.6980000000000004</v>
      </c>
      <c r="I767" s="13">
        <f t="shared" si="11"/>
        <v>3.1780342777194823</v>
      </c>
    </row>
    <row r="768" spans="2:9">
      <c r="C768" s="33">
        <v>2.0910000000000002</v>
      </c>
      <c r="D768" s="23">
        <v>93.2</v>
      </c>
      <c r="E768" s="23">
        <v>90.51</v>
      </c>
      <c r="F768" s="23">
        <v>28.32</v>
      </c>
      <c r="G768" s="23">
        <v>522.70000000000005</v>
      </c>
      <c r="H768" s="23">
        <v>5.9489999999999998</v>
      </c>
      <c r="I768" s="13">
        <f t="shared" si="11"/>
        <v>3.1959745762711864</v>
      </c>
    </row>
    <row r="769" spans="2:9">
      <c r="C769" s="33">
        <v>2.0760000000000001</v>
      </c>
      <c r="D769" s="23">
        <v>108.9</v>
      </c>
      <c r="E769" s="23">
        <v>90.16</v>
      </c>
      <c r="F769" s="23">
        <v>29.02</v>
      </c>
      <c r="G769" s="23">
        <v>525.1</v>
      </c>
      <c r="H769" s="23">
        <v>5.9050000000000002</v>
      </c>
      <c r="I769" s="13">
        <f t="shared" si="11"/>
        <v>3.1068228807718814</v>
      </c>
    </row>
    <row r="770" spans="2:9">
      <c r="C770" s="33">
        <v>2.109</v>
      </c>
      <c r="D770" s="23">
        <v>151.5</v>
      </c>
      <c r="E770" s="23">
        <v>90.07</v>
      </c>
      <c r="F770" s="23">
        <v>28.74</v>
      </c>
      <c r="G770" s="23">
        <v>527.70000000000005</v>
      </c>
      <c r="H770" s="23">
        <v>5.532</v>
      </c>
      <c r="I770" s="13">
        <f t="shared" si="11"/>
        <v>3.1339596381350034</v>
      </c>
    </row>
    <row r="771" spans="2:9">
      <c r="C771" s="33">
        <v>2.0739999999999998</v>
      </c>
      <c r="D771" s="23">
        <v>140.9</v>
      </c>
      <c r="E771" s="23">
        <v>90.16</v>
      </c>
      <c r="F771" s="23">
        <v>28.49</v>
      </c>
      <c r="G771" s="23">
        <v>531.4</v>
      </c>
      <c r="H771" s="23">
        <v>5.7859999999999996</v>
      </c>
      <c r="I771" s="13">
        <f t="shared" ref="I771:I834" si="12">E771/F771</f>
        <v>3.1646191646191646</v>
      </c>
    </row>
    <row r="772" spans="2:9">
      <c r="C772" s="33">
        <v>2.0630000000000002</v>
      </c>
      <c r="D772" s="23">
        <v>142.4</v>
      </c>
      <c r="E772" s="23">
        <v>90.42</v>
      </c>
      <c r="F772" s="23">
        <v>28.59</v>
      </c>
      <c r="G772" s="23">
        <v>533.70000000000005</v>
      </c>
      <c r="H772" s="23">
        <v>5.976</v>
      </c>
      <c r="I772" s="13">
        <f t="shared" si="12"/>
        <v>3.1626442812172089</v>
      </c>
    </row>
    <row r="773" spans="2:9">
      <c r="C773" s="33">
        <v>2.11</v>
      </c>
      <c r="D773" s="23">
        <v>140.9</v>
      </c>
      <c r="E773" s="23">
        <v>90.59</v>
      </c>
      <c r="F773" s="23">
        <v>28.61</v>
      </c>
      <c r="G773" s="23">
        <v>537.29999999999995</v>
      </c>
      <c r="H773" s="23">
        <v>6.1429999999999998</v>
      </c>
      <c r="I773" s="13">
        <f t="shared" si="12"/>
        <v>3.1663753932191545</v>
      </c>
    </row>
    <row r="774" spans="2:9">
      <c r="C774" s="33">
        <v>2.101</v>
      </c>
      <c r="D774" s="23">
        <v>151.30000000000001</v>
      </c>
      <c r="E774" s="23">
        <v>90.15</v>
      </c>
      <c r="F774" s="23">
        <v>28.98</v>
      </c>
      <c r="G774" s="23">
        <v>540.5</v>
      </c>
      <c r="H774" s="23">
        <v>5.3739999999999997</v>
      </c>
      <c r="I774" s="13">
        <f t="shared" si="12"/>
        <v>3.1107660455486545</v>
      </c>
    </row>
    <row r="775" spans="2:9">
      <c r="C775" s="33">
        <v>2.11</v>
      </c>
      <c r="D775" s="23">
        <v>142</v>
      </c>
      <c r="E775" s="23">
        <v>90.86</v>
      </c>
      <c r="F775" s="23">
        <v>29.58</v>
      </c>
      <c r="G775" s="23">
        <v>537</v>
      </c>
      <c r="H775" s="23">
        <v>5.5810000000000004</v>
      </c>
      <c r="I775" s="13">
        <f t="shared" si="12"/>
        <v>3.0716700473292766</v>
      </c>
    </row>
    <row r="776" spans="2:9">
      <c r="C776" s="33">
        <v>2.097</v>
      </c>
      <c r="D776" s="23">
        <v>140.9</v>
      </c>
      <c r="E776" s="23">
        <v>90.68</v>
      </c>
      <c r="F776" s="23">
        <v>29.35</v>
      </c>
      <c r="G776" s="23">
        <v>531.1</v>
      </c>
      <c r="H776" s="23">
        <v>5.7149999999999999</v>
      </c>
      <c r="I776" s="13">
        <f t="shared" si="12"/>
        <v>3.0896081771720616</v>
      </c>
    </row>
    <row r="777" spans="2:9">
      <c r="C777" s="33">
        <v>2.109</v>
      </c>
      <c r="D777" s="23">
        <v>138.9</v>
      </c>
      <c r="E777" s="23">
        <v>90.6</v>
      </c>
      <c r="F777" s="23">
        <v>29.54</v>
      </c>
      <c r="G777" s="23">
        <v>526.1</v>
      </c>
      <c r="H777" s="23">
        <v>5.8559999999999999</v>
      </c>
      <c r="I777" s="13">
        <f t="shared" si="12"/>
        <v>3.067027758970887</v>
      </c>
    </row>
    <row r="778" spans="2:9">
      <c r="C778" s="33">
        <v>2.12</v>
      </c>
      <c r="D778" s="23">
        <v>154.30000000000001</v>
      </c>
      <c r="E778" s="23">
        <v>90.51</v>
      </c>
      <c r="F778" s="23">
        <v>29.61</v>
      </c>
      <c r="G778" s="23">
        <v>528</v>
      </c>
      <c r="H778" s="23">
        <v>5.42</v>
      </c>
      <c r="I778" s="13">
        <f t="shared" si="12"/>
        <v>3.0567375886524824</v>
      </c>
    </row>
    <row r="779" spans="2:9">
      <c r="C779" s="33">
        <v>2.0760000000000001</v>
      </c>
      <c r="D779" s="23">
        <v>147</v>
      </c>
      <c r="E779" s="23">
        <v>90.32</v>
      </c>
      <c r="F779" s="23">
        <v>29.35</v>
      </c>
      <c r="G779" s="23">
        <v>524.29999999999995</v>
      </c>
      <c r="H779" s="23">
        <v>5.7069999999999999</v>
      </c>
      <c r="I779" s="13">
        <f t="shared" si="12"/>
        <v>3.0773424190800678</v>
      </c>
    </row>
    <row r="780" spans="2:9">
      <c r="C780" s="33">
        <v>2.0910000000000002</v>
      </c>
      <c r="D780" s="23">
        <v>141.5</v>
      </c>
      <c r="E780" s="23">
        <v>90.41</v>
      </c>
      <c r="F780" s="23">
        <v>29.17</v>
      </c>
      <c r="G780" s="23">
        <v>525.20000000000005</v>
      </c>
      <c r="H780" s="23">
        <v>5.9660000000000002</v>
      </c>
      <c r="I780" s="13">
        <f t="shared" si="12"/>
        <v>3.0994172094617753</v>
      </c>
    </row>
    <row r="781" spans="2:9">
      <c r="C781" s="33">
        <v>2.11</v>
      </c>
      <c r="D781" s="23">
        <v>141.5</v>
      </c>
      <c r="E781" s="23">
        <v>90.67</v>
      </c>
      <c r="F781" s="23">
        <v>29.01</v>
      </c>
      <c r="G781" s="23">
        <v>524.5</v>
      </c>
      <c r="H781" s="23">
        <v>5.2530000000000001</v>
      </c>
      <c r="I781" s="13">
        <f t="shared" si="12"/>
        <v>3.1254739744915545</v>
      </c>
    </row>
    <row r="782" spans="2:9">
      <c r="B782" s="35">
        <v>40</v>
      </c>
      <c r="C782" s="36">
        <v>2.3370000000000002</v>
      </c>
      <c r="D782" s="38">
        <v>179.9</v>
      </c>
      <c r="E782" s="38">
        <v>101.1</v>
      </c>
      <c r="F782" s="38">
        <v>32.35</v>
      </c>
      <c r="G782" s="38">
        <v>572.5</v>
      </c>
      <c r="H782" s="38">
        <v>4.524</v>
      </c>
      <c r="I782" s="13">
        <f t="shared" si="12"/>
        <v>3.1251931993817617</v>
      </c>
    </row>
    <row r="783" spans="2:9">
      <c r="C783" s="33">
        <v>2.34</v>
      </c>
      <c r="D783" s="23">
        <v>146.9</v>
      </c>
      <c r="E783" s="23">
        <v>99.32</v>
      </c>
      <c r="F783" s="23">
        <v>32.03</v>
      </c>
      <c r="G783" s="23">
        <v>574.6</v>
      </c>
      <c r="H783" s="23">
        <v>4.8209999999999997</v>
      </c>
      <c r="I783" s="13">
        <f t="shared" si="12"/>
        <v>3.1008429597252571</v>
      </c>
    </row>
    <row r="784" spans="2:9">
      <c r="C784" s="33">
        <v>2.3140000000000001</v>
      </c>
      <c r="D784" s="23">
        <v>141</v>
      </c>
      <c r="E784" s="23">
        <v>99.92</v>
      </c>
      <c r="F784" s="23">
        <v>32.46</v>
      </c>
      <c r="G784" s="23">
        <v>588.9</v>
      </c>
      <c r="H784" s="23">
        <v>4.7300000000000004</v>
      </c>
      <c r="I784" s="13">
        <f t="shared" si="12"/>
        <v>3.0782501540357363</v>
      </c>
    </row>
    <row r="785" spans="3:9">
      <c r="C785" s="33">
        <v>2.2709999999999999</v>
      </c>
      <c r="D785" s="23">
        <v>131</v>
      </c>
      <c r="E785" s="23">
        <v>100.3</v>
      </c>
      <c r="F785" s="23">
        <v>32.68</v>
      </c>
      <c r="G785" s="23">
        <v>590.29999999999995</v>
      </c>
      <c r="H785" s="23">
        <v>4.1520000000000001</v>
      </c>
      <c r="I785" s="13">
        <f t="shared" si="12"/>
        <v>3.0691554467564259</v>
      </c>
    </row>
    <row r="786" spans="3:9">
      <c r="C786" s="33">
        <v>2.2189999999999999</v>
      </c>
      <c r="D786" s="23">
        <v>128</v>
      </c>
      <c r="E786" s="23">
        <v>99.44</v>
      </c>
      <c r="F786" s="23">
        <v>32.619999999999997</v>
      </c>
      <c r="G786" s="23">
        <v>589.5</v>
      </c>
      <c r="H786" s="23">
        <v>4.3780000000000001</v>
      </c>
      <c r="I786" s="13">
        <f t="shared" si="12"/>
        <v>3.048436541998774</v>
      </c>
    </row>
    <row r="787" spans="3:9">
      <c r="C787" s="33">
        <v>2.2010000000000001</v>
      </c>
      <c r="D787" s="23">
        <v>146</v>
      </c>
      <c r="E787" s="23">
        <v>99.27</v>
      </c>
      <c r="F787" s="23">
        <v>32.36</v>
      </c>
      <c r="G787" s="23">
        <v>596</v>
      </c>
      <c r="H787" s="23">
        <v>4.125</v>
      </c>
      <c r="I787" s="13">
        <f t="shared" si="12"/>
        <v>3.0676761433868975</v>
      </c>
    </row>
    <row r="788" spans="3:9">
      <c r="C788" s="33">
        <v>2.2200000000000002</v>
      </c>
      <c r="D788" s="23">
        <v>150</v>
      </c>
      <c r="E788" s="23">
        <v>99.13</v>
      </c>
      <c r="F788" s="23">
        <v>32.159999999999997</v>
      </c>
      <c r="G788" s="23">
        <v>596.4</v>
      </c>
      <c r="H788" s="23">
        <v>4.524</v>
      </c>
      <c r="I788" s="13">
        <f t="shared" si="12"/>
        <v>3.0824004975124382</v>
      </c>
    </row>
    <row r="789" spans="3:9">
      <c r="C789" s="33">
        <v>2.2919999999999998</v>
      </c>
      <c r="D789" s="23">
        <v>130.30000000000001</v>
      </c>
      <c r="E789" s="23">
        <v>99.03</v>
      </c>
      <c r="F789" s="23">
        <v>32.68</v>
      </c>
      <c r="G789" s="23">
        <v>604.79999999999995</v>
      </c>
      <c r="H789" s="23">
        <v>4.9580000000000002</v>
      </c>
      <c r="I789" s="13">
        <f t="shared" si="12"/>
        <v>3.0302937576499387</v>
      </c>
    </row>
    <row r="790" spans="3:9">
      <c r="C790" s="33">
        <v>2.3149999999999999</v>
      </c>
      <c r="D790" s="23">
        <v>141</v>
      </c>
      <c r="E790" s="23">
        <v>99.62</v>
      </c>
      <c r="F790" s="23">
        <v>32.78</v>
      </c>
      <c r="G790" s="23">
        <v>592.79999999999995</v>
      </c>
      <c r="H790" s="23">
        <v>5.0839999999999996</v>
      </c>
      <c r="I790" s="13">
        <f t="shared" si="12"/>
        <v>3.0390482001220258</v>
      </c>
    </row>
    <row r="791" spans="3:9">
      <c r="C791" s="33">
        <v>2.2930000000000001</v>
      </c>
      <c r="D791" s="23">
        <v>131.5</v>
      </c>
      <c r="E791" s="23">
        <v>99.87</v>
      </c>
      <c r="F791" s="23">
        <v>32.72</v>
      </c>
      <c r="G791" s="23">
        <v>587.79999999999995</v>
      </c>
      <c r="H791" s="23">
        <v>5.016</v>
      </c>
      <c r="I791" s="13">
        <f t="shared" si="12"/>
        <v>3.0522616136919316</v>
      </c>
    </row>
    <row r="792" spans="3:9">
      <c r="C792" s="33">
        <v>2.2949999999999999</v>
      </c>
      <c r="D792" s="23">
        <v>149.4</v>
      </c>
      <c r="E792" s="23">
        <v>99.46</v>
      </c>
      <c r="F792" s="23">
        <v>32.46</v>
      </c>
      <c r="G792" s="23">
        <v>581.79999999999995</v>
      </c>
      <c r="H792" s="23">
        <v>4.5670000000000002</v>
      </c>
      <c r="I792" s="13">
        <f t="shared" si="12"/>
        <v>3.0640788662969807</v>
      </c>
    </row>
    <row r="793" spans="3:9">
      <c r="C793" s="33">
        <v>2.2549999999999999</v>
      </c>
      <c r="D793" s="23">
        <v>183.3</v>
      </c>
      <c r="E793" s="23">
        <v>99.86</v>
      </c>
      <c r="F793" s="23">
        <v>32.32</v>
      </c>
      <c r="G793" s="23">
        <v>580.20000000000005</v>
      </c>
      <c r="H793" s="23">
        <v>4.16</v>
      </c>
      <c r="I793" s="13">
        <f t="shared" si="12"/>
        <v>3.089727722772277</v>
      </c>
    </row>
    <row r="794" spans="3:9">
      <c r="C794" s="33">
        <v>2.2559999999999998</v>
      </c>
      <c r="D794" s="23">
        <v>201.1</v>
      </c>
      <c r="E794" s="23">
        <v>100.1</v>
      </c>
      <c r="F794" s="23">
        <v>32.36</v>
      </c>
      <c r="G794" s="23">
        <v>579.1</v>
      </c>
      <c r="H794" s="23">
        <v>4.99</v>
      </c>
      <c r="I794" s="13">
        <f t="shared" si="12"/>
        <v>3.0933250927070457</v>
      </c>
    </row>
    <row r="795" spans="3:9">
      <c r="C795" s="33">
        <v>2.2799999999999998</v>
      </c>
      <c r="D795" s="23">
        <v>137</v>
      </c>
      <c r="E795" s="23">
        <v>99.78</v>
      </c>
      <c r="F795" s="23">
        <v>32</v>
      </c>
      <c r="G795" s="23">
        <v>574.9</v>
      </c>
      <c r="H795" s="23">
        <v>5.0839999999999996</v>
      </c>
      <c r="I795" s="13">
        <f t="shared" si="12"/>
        <v>3.118125</v>
      </c>
    </row>
    <row r="796" spans="3:9">
      <c r="C796" s="33">
        <v>2.2930000000000001</v>
      </c>
      <c r="D796" s="23">
        <v>134.1</v>
      </c>
      <c r="E796" s="23">
        <v>99.17</v>
      </c>
      <c r="F796" s="23">
        <v>32.93</v>
      </c>
      <c r="G796" s="23">
        <v>583.20000000000005</v>
      </c>
      <c r="H796" s="23">
        <v>5.3860000000000001</v>
      </c>
      <c r="I796" s="13">
        <f t="shared" si="12"/>
        <v>3.0115396295171575</v>
      </c>
    </row>
    <row r="797" spans="3:9">
      <c r="C797" s="33">
        <v>2.2839999999999998</v>
      </c>
      <c r="D797" s="23">
        <v>143.4</v>
      </c>
      <c r="E797" s="23">
        <v>99</v>
      </c>
      <c r="F797" s="23">
        <v>32.5</v>
      </c>
      <c r="G797" s="23">
        <v>579.79999999999995</v>
      </c>
      <c r="H797" s="23">
        <v>4.9000000000000004</v>
      </c>
      <c r="I797" s="13">
        <f t="shared" si="12"/>
        <v>3.046153846153846</v>
      </c>
    </row>
    <row r="798" spans="3:9">
      <c r="C798" s="33">
        <v>2.3149999999999999</v>
      </c>
      <c r="D798" s="23">
        <v>152.1</v>
      </c>
      <c r="E798" s="23">
        <v>99.02</v>
      </c>
      <c r="F798" s="23">
        <v>32.25</v>
      </c>
      <c r="G798" s="23">
        <v>579.9</v>
      </c>
      <c r="H798" s="23">
        <v>5.38</v>
      </c>
      <c r="I798" s="13">
        <f t="shared" si="12"/>
        <v>3.0703875968992245</v>
      </c>
    </row>
    <row r="799" spans="3:9">
      <c r="C799" s="33">
        <v>2.2919999999999998</v>
      </c>
      <c r="D799" s="23">
        <v>133.80000000000001</v>
      </c>
      <c r="E799" s="23">
        <v>99.38</v>
      </c>
      <c r="F799" s="23">
        <v>32.14</v>
      </c>
      <c r="G799" s="23">
        <v>587.70000000000005</v>
      </c>
      <c r="H799" s="23">
        <v>5.0359999999999996</v>
      </c>
      <c r="I799" s="13">
        <f t="shared" si="12"/>
        <v>3.0920970752955816</v>
      </c>
    </row>
    <row r="800" spans="3:9">
      <c r="C800" s="33">
        <v>2.3180000000000001</v>
      </c>
      <c r="D800" s="23">
        <v>139.5</v>
      </c>
      <c r="E800" s="23">
        <v>99</v>
      </c>
      <c r="F800" s="23">
        <v>32.82</v>
      </c>
      <c r="G800" s="23">
        <v>585.9</v>
      </c>
      <c r="H800" s="23">
        <v>5.1959999999999997</v>
      </c>
      <c r="I800" s="13">
        <f t="shared" si="12"/>
        <v>3.0164533820840949</v>
      </c>
    </row>
    <row r="801" spans="2:9">
      <c r="C801" s="33">
        <v>2.3380000000000001</v>
      </c>
      <c r="D801" s="23">
        <v>133.80000000000001</v>
      </c>
      <c r="E801" s="23">
        <v>99.52</v>
      </c>
      <c r="F801" s="23">
        <v>32.93</v>
      </c>
      <c r="G801" s="23">
        <v>595.9</v>
      </c>
      <c r="H801" s="23">
        <v>5.2850000000000001</v>
      </c>
      <c r="I801" s="13">
        <f t="shared" si="12"/>
        <v>3.0221682356513817</v>
      </c>
    </row>
    <row r="802" spans="2:9">
      <c r="B802" s="35">
        <v>41</v>
      </c>
      <c r="C802" s="36">
        <v>2.9380000000000002</v>
      </c>
      <c r="D802" s="38">
        <v>203.1</v>
      </c>
      <c r="E802" s="38">
        <v>97.67</v>
      </c>
      <c r="F802" s="38">
        <v>33.74</v>
      </c>
      <c r="G802" s="38">
        <v>555.4</v>
      </c>
      <c r="H802" s="38">
        <v>4.4390000000000001</v>
      </c>
      <c r="I802" s="13">
        <f t="shared" si="12"/>
        <v>2.8947836395969175</v>
      </c>
    </row>
    <row r="803" spans="2:9">
      <c r="C803" s="33">
        <v>2.9079999999999999</v>
      </c>
      <c r="D803" s="23">
        <v>189.1</v>
      </c>
      <c r="E803" s="23">
        <v>97.62</v>
      </c>
      <c r="F803" s="23">
        <v>33.92</v>
      </c>
      <c r="G803" s="23">
        <v>560.1</v>
      </c>
      <c r="H803" s="23">
        <v>4.6900000000000004</v>
      </c>
      <c r="I803" s="13">
        <f t="shared" si="12"/>
        <v>2.8779481132075473</v>
      </c>
    </row>
    <row r="804" spans="2:9">
      <c r="C804" s="33">
        <v>2.8330000000000002</v>
      </c>
      <c r="D804" s="23">
        <v>183.6</v>
      </c>
      <c r="E804" s="23">
        <v>97.97</v>
      </c>
      <c r="F804" s="23">
        <v>33.58</v>
      </c>
      <c r="G804" s="23">
        <v>552</v>
      </c>
      <c r="H804" s="23">
        <v>4.7930000000000001</v>
      </c>
      <c r="I804" s="13">
        <f t="shared" si="12"/>
        <v>2.9175104228707567</v>
      </c>
    </row>
    <row r="805" spans="2:9">
      <c r="C805" s="33">
        <v>2.9039999999999999</v>
      </c>
      <c r="D805" s="23">
        <v>164.7</v>
      </c>
      <c r="E805" s="23">
        <v>97.74</v>
      </c>
      <c r="F805" s="23">
        <v>33.42</v>
      </c>
      <c r="G805" s="23">
        <v>546.9</v>
      </c>
      <c r="H805" s="23">
        <v>4.8940000000000001</v>
      </c>
      <c r="I805" s="13">
        <f t="shared" si="12"/>
        <v>2.9245960502692996</v>
      </c>
    </row>
    <row r="806" spans="2:9">
      <c r="C806" s="33">
        <v>2.8450000000000002</v>
      </c>
      <c r="D806" s="23">
        <v>158.5</v>
      </c>
      <c r="E806" s="23">
        <v>97.49</v>
      </c>
      <c r="F806" s="23">
        <v>33.5</v>
      </c>
      <c r="G806" s="23">
        <v>537.29999999999995</v>
      </c>
      <c r="H806" s="23">
        <v>5.65</v>
      </c>
      <c r="I806" s="13">
        <f t="shared" si="12"/>
        <v>2.9101492537313431</v>
      </c>
    </row>
    <row r="807" spans="2:9">
      <c r="C807" s="33">
        <v>2.8980000000000001</v>
      </c>
      <c r="D807" s="23">
        <v>195</v>
      </c>
      <c r="E807" s="23">
        <v>97.39</v>
      </c>
      <c r="F807" s="23">
        <v>33.409999999999997</v>
      </c>
      <c r="G807" s="23">
        <v>534</v>
      </c>
      <c r="H807" s="23">
        <v>4.359</v>
      </c>
      <c r="I807" s="13">
        <f t="shared" si="12"/>
        <v>2.9149955103262499</v>
      </c>
    </row>
    <row r="808" spans="2:9">
      <c r="C808" s="33">
        <v>2.9129999999999998</v>
      </c>
      <c r="D808" s="23">
        <v>199.3</v>
      </c>
      <c r="E808" s="23">
        <v>97.19</v>
      </c>
      <c r="F808" s="23">
        <v>33.44</v>
      </c>
      <c r="G808" s="23">
        <v>534.6</v>
      </c>
      <c r="H808" s="23">
        <v>3.7650000000000001</v>
      </c>
      <c r="I808" s="13">
        <f t="shared" si="12"/>
        <v>2.9063995215311005</v>
      </c>
    </row>
    <row r="809" spans="2:9">
      <c r="C809" s="33">
        <v>2.9249999999999998</v>
      </c>
      <c r="D809" s="23">
        <v>136.1</v>
      </c>
      <c r="E809" s="23">
        <v>97.86</v>
      </c>
      <c r="F809" s="23">
        <v>33.75</v>
      </c>
      <c r="G809" s="23">
        <v>544</v>
      </c>
      <c r="H809" s="23">
        <v>3.9</v>
      </c>
      <c r="I809" s="13">
        <f t="shared" si="12"/>
        <v>2.8995555555555557</v>
      </c>
    </row>
    <row r="810" spans="2:9">
      <c r="C810" s="33">
        <v>2.9140000000000001</v>
      </c>
      <c r="D810" s="23">
        <v>136.1</v>
      </c>
      <c r="E810" s="23">
        <v>97.81</v>
      </c>
      <c r="F810" s="23">
        <v>34.01</v>
      </c>
      <c r="G810" s="23">
        <v>544.29999999999995</v>
      </c>
      <c r="H810" s="23">
        <v>4.0780000000000003</v>
      </c>
      <c r="I810" s="13">
        <f t="shared" si="12"/>
        <v>2.8759188473978243</v>
      </c>
    </row>
    <row r="811" spans="2:9">
      <c r="C811" s="33">
        <v>2.9430000000000001</v>
      </c>
      <c r="D811" s="23">
        <v>179.3</v>
      </c>
      <c r="E811" s="23">
        <v>97.79</v>
      </c>
      <c r="F811" s="23">
        <v>33.58</v>
      </c>
      <c r="G811" s="23">
        <v>549.79999999999995</v>
      </c>
      <c r="H811" s="23">
        <v>3.843</v>
      </c>
      <c r="I811" s="13">
        <f t="shared" si="12"/>
        <v>2.9121500893388927</v>
      </c>
    </row>
    <row r="812" spans="2:9">
      <c r="C812" s="33">
        <v>2.9820000000000002</v>
      </c>
      <c r="D812" s="23">
        <v>178.2</v>
      </c>
      <c r="E812" s="23">
        <v>97.75</v>
      </c>
      <c r="F812" s="23">
        <v>33.65</v>
      </c>
      <c r="G812" s="23">
        <v>544.9</v>
      </c>
      <c r="H812" s="23">
        <v>3.6749999999999998</v>
      </c>
      <c r="I812" s="13">
        <f t="shared" si="12"/>
        <v>2.9049034175334327</v>
      </c>
    </row>
    <row r="813" spans="2:9">
      <c r="C813" s="33">
        <v>2.9710000000000001</v>
      </c>
      <c r="D813" s="23">
        <v>165.2</v>
      </c>
      <c r="E813" s="23">
        <v>97.47</v>
      </c>
      <c r="F813" s="23">
        <v>34.1</v>
      </c>
      <c r="G813" s="23">
        <v>547.70000000000005</v>
      </c>
      <c r="H813" s="23">
        <v>4.2060000000000004</v>
      </c>
      <c r="I813" s="13">
        <f t="shared" si="12"/>
        <v>2.8583577712609971</v>
      </c>
    </row>
    <row r="814" spans="2:9">
      <c r="C814" s="33">
        <v>2.9079999999999999</v>
      </c>
      <c r="D814" s="23">
        <v>149.30000000000001</v>
      </c>
      <c r="E814" s="23">
        <v>97.77</v>
      </c>
      <c r="F814" s="23">
        <v>33.93</v>
      </c>
      <c r="G814" s="23">
        <v>549.29999999999995</v>
      </c>
      <c r="H814" s="23">
        <v>4.59</v>
      </c>
      <c r="I814" s="13">
        <f t="shared" si="12"/>
        <v>2.8815207780725021</v>
      </c>
    </row>
    <row r="815" spans="2:9">
      <c r="C815" s="33">
        <v>2.875</v>
      </c>
      <c r="D815" s="23">
        <v>173.5</v>
      </c>
      <c r="E815" s="23">
        <v>97.41</v>
      </c>
      <c r="F815" s="23">
        <v>33.75</v>
      </c>
      <c r="G815" s="23">
        <v>546.79999999999995</v>
      </c>
      <c r="H815" s="23">
        <v>4.01</v>
      </c>
      <c r="I815" s="13">
        <f t="shared" si="12"/>
        <v>2.886222222222222</v>
      </c>
    </row>
    <row r="816" spans="2:9">
      <c r="C816" s="33">
        <v>2.8090000000000002</v>
      </c>
      <c r="D816" s="23">
        <v>160.69999999999999</v>
      </c>
      <c r="E816" s="23">
        <v>97.26</v>
      </c>
      <c r="F816" s="23">
        <v>33.44</v>
      </c>
      <c r="G816" s="23">
        <v>543.6</v>
      </c>
      <c r="H816" s="23">
        <v>4.1929999999999996</v>
      </c>
      <c r="I816" s="13">
        <f t="shared" si="12"/>
        <v>2.9084928229665077</v>
      </c>
    </row>
    <row r="817" spans="2:9">
      <c r="C817" s="33">
        <v>2.734</v>
      </c>
      <c r="D817" s="23">
        <v>138.5</v>
      </c>
      <c r="E817" s="23">
        <v>97.1</v>
      </c>
      <c r="F817" s="23">
        <v>33.81</v>
      </c>
      <c r="G817" s="23">
        <v>537</v>
      </c>
      <c r="H817" s="23">
        <v>4.2480000000000002</v>
      </c>
      <c r="I817" s="13">
        <f t="shared" si="12"/>
        <v>2.8719313812481513</v>
      </c>
    </row>
    <row r="818" spans="2:9">
      <c r="C818" s="33">
        <v>2.6880000000000002</v>
      </c>
      <c r="D818" s="23">
        <v>188.8</v>
      </c>
      <c r="E818" s="23">
        <v>97.15</v>
      </c>
      <c r="F818" s="23">
        <v>33.54</v>
      </c>
      <c r="G818" s="23">
        <v>539.29999999999995</v>
      </c>
      <c r="H818" s="23">
        <v>4.42</v>
      </c>
      <c r="I818" s="13">
        <f t="shared" si="12"/>
        <v>2.8965414430530712</v>
      </c>
    </row>
    <row r="819" spans="2:9">
      <c r="C819" s="33">
        <v>2.7669999999999999</v>
      </c>
      <c r="D819" s="23">
        <v>162</v>
      </c>
      <c r="E819" s="23">
        <v>97.36</v>
      </c>
      <c r="F819" s="23">
        <v>33.47</v>
      </c>
      <c r="G819" s="23">
        <v>539.9</v>
      </c>
      <c r="H819" s="23">
        <v>4.7389999999999999</v>
      </c>
      <c r="I819" s="13">
        <f t="shared" si="12"/>
        <v>2.9088736181655213</v>
      </c>
    </row>
    <row r="820" spans="2:9">
      <c r="C820" s="33">
        <v>2.8090000000000002</v>
      </c>
      <c r="D820" s="23">
        <v>173.7</v>
      </c>
      <c r="E820" s="23">
        <v>97.6</v>
      </c>
      <c r="F820" s="23">
        <v>33.770000000000003</v>
      </c>
      <c r="G820" s="23">
        <v>544.6</v>
      </c>
      <c r="H820" s="23">
        <v>4.2119999999999997</v>
      </c>
      <c r="I820" s="13">
        <f t="shared" si="12"/>
        <v>2.8901391767841274</v>
      </c>
    </row>
    <row r="821" spans="2:9">
      <c r="C821" s="33">
        <v>2.9380000000000002</v>
      </c>
      <c r="D821" s="23">
        <v>147.9</v>
      </c>
      <c r="E821" s="23">
        <v>97.15</v>
      </c>
      <c r="F821" s="23">
        <v>34.11</v>
      </c>
      <c r="G821" s="23">
        <v>549.79999999999995</v>
      </c>
      <c r="H821" s="23">
        <v>4.2489999999999997</v>
      </c>
      <c r="I821" s="13">
        <f t="shared" si="12"/>
        <v>2.8481383758428613</v>
      </c>
    </row>
    <row r="822" spans="2:9">
      <c r="B822" s="35">
        <v>42</v>
      </c>
      <c r="C822" s="36">
        <v>2.21</v>
      </c>
      <c r="D822" s="38">
        <v>147.80000000000001</v>
      </c>
      <c r="E822" s="38">
        <v>83.29</v>
      </c>
      <c r="F822" s="38">
        <v>21.94</v>
      </c>
      <c r="G822" s="38">
        <v>585.70000000000005</v>
      </c>
      <c r="H822" s="38">
        <v>3.0539999999999998</v>
      </c>
      <c r="I822" s="13">
        <f t="shared" si="12"/>
        <v>3.7962625341841387</v>
      </c>
    </row>
    <row r="823" spans="2:9">
      <c r="C823" s="33">
        <v>2.2829999999999999</v>
      </c>
      <c r="D823" s="23">
        <v>143.4</v>
      </c>
      <c r="E823" s="23">
        <v>83.48</v>
      </c>
      <c r="F823" s="23">
        <v>21.96</v>
      </c>
      <c r="G823" s="23">
        <v>588.6</v>
      </c>
      <c r="H823" s="23">
        <v>3.0270000000000001</v>
      </c>
      <c r="I823" s="13">
        <f t="shared" si="12"/>
        <v>3.8014571948998177</v>
      </c>
    </row>
    <row r="824" spans="2:9">
      <c r="C824" s="33">
        <v>2.2799999999999998</v>
      </c>
      <c r="D824" s="23">
        <v>142.9</v>
      </c>
      <c r="E824" s="23">
        <v>83.72</v>
      </c>
      <c r="F824" s="23">
        <v>22.01</v>
      </c>
      <c r="G824" s="23">
        <v>589.29999999999995</v>
      </c>
      <c r="H824" s="23">
        <v>2.8319999999999999</v>
      </c>
      <c r="I824" s="13">
        <f t="shared" si="12"/>
        <v>3.8037255792821441</v>
      </c>
    </row>
    <row r="825" spans="2:9">
      <c r="C825" s="33">
        <v>2.3220000000000001</v>
      </c>
      <c r="D825" s="23">
        <v>111.3</v>
      </c>
      <c r="E825" s="23">
        <v>83.25</v>
      </c>
      <c r="F825" s="23">
        <v>21.63</v>
      </c>
      <c r="G825" s="23">
        <v>594</v>
      </c>
      <c r="H825" s="23">
        <v>2.8250000000000002</v>
      </c>
      <c r="I825" s="13">
        <f t="shared" si="12"/>
        <v>3.8488210818307906</v>
      </c>
    </row>
    <row r="826" spans="2:9">
      <c r="C826" s="33">
        <v>2.3210000000000002</v>
      </c>
      <c r="D826" s="23">
        <v>123.5</v>
      </c>
      <c r="E826" s="23">
        <v>83.82</v>
      </c>
      <c r="F826" s="23">
        <v>21.25</v>
      </c>
      <c r="G826" s="23">
        <v>591.5</v>
      </c>
      <c r="H826" s="23">
        <v>2.5299999999999998</v>
      </c>
      <c r="I826" s="13">
        <f t="shared" si="12"/>
        <v>3.9444705882352937</v>
      </c>
    </row>
    <row r="827" spans="2:9">
      <c r="C827" s="33">
        <v>2.3149999999999999</v>
      </c>
      <c r="D827" s="23">
        <v>140.5</v>
      </c>
      <c r="E827" s="23">
        <v>83.69</v>
      </c>
      <c r="F827" s="23">
        <v>21.08</v>
      </c>
      <c r="G827" s="23">
        <v>587.70000000000005</v>
      </c>
      <c r="H827" s="23">
        <v>2.387</v>
      </c>
      <c r="I827" s="13">
        <f t="shared" si="12"/>
        <v>3.97011385199241</v>
      </c>
    </row>
    <row r="828" spans="2:9">
      <c r="C828" s="33">
        <v>2.2559999999999998</v>
      </c>
      <c r="D828" s="23">
        <v>123.5</v>
      </c>
      <c r="E828" s="23">
        <v>83.5</v>
      </c>
      <c r="F828" s="23">
        <v>21.46</v>
      </c>
      <c r="G828" s="23">
        <v>588.29999999999995</v>
      </c>
      <c r="H828" s="23">
        <v>2.5569999999999999</v>
      </c>
      <c r="I828" s="13">
        <f t="shared" si="12"/>
        <v>3.8909599254426839</v>
      </c>
    </row>
    <row r="829" spans="2:9">
      <c r="C829" s="33">
        <v>2.2669999999999999</v>
      </c>
      <c r="D829" s="23">
        <v>167</v>
      </c>
      <c r="E829" s="23">
        <v>83.37</v>
      </c>
      <c r="F829" s="23">
        <v>21.25</v>
      </c>
      <c r="G829" s="23">
        <v>584</v>
      </c>
      <c r="H829" s="23">
        <v>2.605</v>
      </c>
      <c r="I829" s="13">
        <f t="shared" si="12"/>
        <v>3.923294117647059</v>
      </c>
    </row>
    <row r="830" spans="2:9">
      <c r="C830" s="33">
        <v>2.2480000000000002</v>
      </c>
      <c r="D830" s="23">
        <v>144.1</v>
      </c>
      <c r="E830" s="23">
        <v>84</v>
      </c>
      <c r="F830" s="23">
        <v>21.71</v>
      </c>
      <c r="G830" s="23">
        <v>580.79999999999995</v>
      </c>
      <c r="H830" s="23">
        <v>2.7240000000000002</v>
      </c>
      <c r="I830" s="13">
        <f t="shared" si="12"/>
        <v>3.8691847075080608</v>
      </c>
    </row>
    <row r="831" spans="2:9">
      <c r="C831" s="33">
        <v>2.3079999999999998</v>
      </c>
      <c r="D831" s="23">
        <v>143.4</v>
      </c>
      <c r="E831" s="23">
        <v>83.88</v>
      </c>
      <c r="F831" s="23">
        <v>21.9</v>
      </c>
      <c r="G831" s="23">
        <v>582.70000000000005</v>
      </c>
      <c r="H831" s="23">
        <v>2.8239999999999998</v>
      </c>
      <c r="I831" s="13">
        <f t="shared" si="12"/>
        <v>3.8301369863013699</v>
      </c>
    </row>
    <row r="832" spans="2:9">
      <c r="C832" s="33">
        <v>2.3109999999999999</v>
      </c>
      <c r="D832" s="23">
        <v>147.80000000000001</v>
      </c>
      <c r="E832" s="23">
        <v>83.44</v>
      </c>
      <c r="F832" s="23">
        <v>21.96</v>
      </c>
      <c r="G832" s="23">
        <v>581.4</v>
      </c>
      <c r="H832" s="23">
        <v>3.0609999999999999</v>
      </c>
      <c r="I832" s="13">
        <f t="shared" si="12"/>
        <v>3.7996357012750455</v>
      </c>
    </row>
    <row r="833" spans="2:9">
      <c r="C833" s="33">
        <v>2.2509999999999999</v>
      </c>
      <c r="D833" s="23">
        <v>156.69999999999999</v>
      </c>
      <c r="E833" s="23">
        <v>83.47</v>
      </c>
      <c r="F833" s="23">
        <v>21.14</v>
      </c>
      <c r="G833" s="23">
        <v>580</v>
      </c>
      <c r="H833" s="23">
        <v>2.984</v>
      </c>
      <c r="I833" s="13">
        <f t="shared" si="12"/>
        <v>3.9484389782403024</v>
      </c>
    </row>
    <row r="834" spans="2:9">
      <c r="C834" s="33">
        <v>2.2759999999999998</v>
      </c>
      <c r="D834" s="23">
        <v>143</v>
      </c>
      <c r="E834" s="23">
        <v>83.37</v>
      </c>
      <c r="F834" s="23">
        <v>21.19</v>
      </c>
      <c r="G834" s="23">
        <v>588.4</v>
      </c>
      <c r="H834" s="23">
        <v>3.0569999999999999</v>
      </c>
      <c r="I834" s="13">
        <f t="shared" si="12"/>
        <v>3.9344030202925908</v>
      </c>
    </row>
    <row r="835" spans="2:9">
      <c r="C835" s="33">
        <v>2.1970000000000001</v>
      </c>
      <c r="D835" s="23">
        <v>149.9</v>
      </c>
      <c r="E835" s="23">
        <v>83.12</v>
      </c>
      <c r="F835" s="23">
        <v>21.37</v>
      </c>
      <c r="G835" s="23">
        <v>595.4</v>
      </c>
      <c r="H835" s="23">
        <v>2.9630000000000001</v>
      </c>
      <c r="I835" s="13">
        <f t="shared" ref="I835:I898" si="13">E835/F835</f>
        <v>3.8895648104819842</v>
      </c>
    </row>
    <row r="836" spans="2:9">
      <c r="C836" s="33">
        <v>2.1269999999999998</v>
      </c>
      <c r="D836" s="23">
        <v>169.4</v>
      </c>
      <c r="E836" s="23">
        <v>83.18</v>
      </c>
      <c r="F836" s="23">
        <v>21.57</v>
      </c>
      <c r="G836" s="23">
        <v>590.79999999999995</v>
      </c>
      <c r="H836" s="23">
        <v>2.883</v>
      </c>
      <c r="I836" s="13">
        <f t="shared" si="13"/>
        <v>3.8562818729717203</v>
      </c>
    </row>
    <row r="837" spans="2:9">
      <c r="C837" s="33">
        <v>2.1360000000000001</v>
      </c>
      <c r="D837" s="23">
        <v>184.1</v>
      </c>
      <c r="E837" s="23">
        <v>83.37</v>
      </c>
      <c r="F837" s="23">
        <v>21.41</v>
      </c>
      <c r="G837" s="23">
        <v>587.4</v>
      </c>
      <c r="H837" s="23">
        <v>2.903</v>
      </c>
      <c r="I837" s="13">
        <f t="shared" si="13"/>
        <v>3.8939747781410556</v>
      </c>
    </row>
    <row r="838" spans="2:9">
      <c r="C838" s="33">
        <v>2.129</v>
      </c>
      <c r="D838" s="23">
        <v>185.2</v>
      </c>
      <c r="E838" s="23">
        <v>83.5</v>
      </c>
      <c r="F838" s="23">
        <v>21.38</v>
      </c>
      <c r="G838" s="23">
        <v>587.1</v>
      </c>
      <c r="H838" s="23">
        <v>3.0209999999999999</v>
      </c>
      <c r="I838" s="13">
        <f t="shared" si="13"/>
        <v>3.9055191768007487</v>
      </c>
    </row>
    <row r="839" spans="2:9">
      <c r="C839" s="33">
        <v>2.1349999999999998</v>
      </c>
      <c r="D839" s="23">
        <v>156</v>
      </c>
      <c r="E839" s="23">
        <v>83.19</v>
      </c>
      <c r="F839" s="23">
        <v>21.2</v>
      </c>
      <c r="G839" s="23">
        <v>581.29999999999995</v>
      </c>
      <c r="H839" s="23">
        <v>3.1459999999999999</v>
      </c>
      <c r="I839" s="13">
        <f t="shared" si="13"/>
        <v>3.9240566037735851</v>
      </c>
    </row>
    <row r="840" spans="2:9">
      <c r="C840" s="33">
        <v>2.06</v>
      </c>
      <c r="D840" s="23">
        <v>164.2</v>
      </c>
      <c r="E840" s="23">
        <v>83.2</v>
      </c>
      <c r="F840" s="23">
        <v>21.33</v>
      </c>
      <c r="G840" s="23">
        <v>585.70000000000005</v>
      </c>
      <c r="H840" s="23">
        <v>3.36</v>
      </c>
      <c r="I840" s="13">
        <f t="shared" si="13"/>
        <v>3.9006094702297238</v>
      </c>
    </row>
    <row r="841" spans="2:9">
      <c r="C841" s="33">
        <v>2.0680000000000001</v>
      </c>
      <c r="D841" s="23">
        <v>148.1</v>
      </c>
      <c r="E841" s="23">
        <v>83.39</v>
      </c>
      <c r="F841" s="23">
        <v>21.5</v>
      </c>
      <c r="G841" s="23">
        <v>586.29999999999995</v>
      </c>
      <c r="H841" s="23">
        <v>3.3069999999999999</v>
      </c>
      <c r="I841" s="13">
        <f t="shared" si="13"/>
        <v>3.8786046511627905</v>
      </c>
    </row>
    <row r="842" spans="2:9">
      <c r="B842" s="35">
        <v>43</v>
      </c>
      <c r="C842" s="36">
        <v>2.3460000000000001</v>
      </c>
      <c r="D842" s="38">
        <v>149.80000000000001</v>
      </c>
      <c r="E842" s="38">
        <v>89.83</v>
      </c>
      <c r="F842" s="38">
        <v>38.630000000000003</v>
      </c>
      <c r="G842" s="38">
        <v>589.70000000000005</v>
      </c>
      <c r="H842" s="38">
        <v>4.3330000000000002</v>
      </c>
      <c r="I842" s="13">
        <f t="shared" si="13"/>
        <v>2.3253947709034426</v>
      </c>
    </row>
    <row r="843" spans="2:9">
      <c r="C843" s="33">
        <v>2.327</v>
      </c>
      <c r="D843" s="23">
        <v>131.69999999999999</v>
      </c>
      <c r="E843" s="23">
        <v>89.87</v>
      </c>
      <c r="F843" s="23">
        <v>39.409999999999997</v>
      </c>
      <c r="G843" s="23">
        <v>592.5</v>
      </c>
      <c r="H843" s="23">
        <v>4.3810000000000002</v>
      </c>
      <c r="I843" s="13">
        <f t="shared" si="13"/>
        <v>2.2803856889114442</v>
      </c>
    </row>
    <row r="844" spans="2:9">
      <c r="C844" s="33">
        <v>2.214</v>
      </c>
      <c r="D844" s="23">
        <v>111.4</v>
      </c>
      <c r="E844" s="23">
        <v>89.18</v>
      </c>
      <c r="F844" s="23">
        <v>39.06</v>
      </c>
      <c r="G844" s="23">
        <v>586.5</v>
      </c>
      <c r="H844" s="23">
        <v>4.3029999999999999</v>
      </c>
      <c r="I844" s="13">
        <f t="shared" si="13"/>
        <v>2.2831541218637992</v>
      </c>
    </row>
    <row r="845" spans="2:9">
      <c r="C845" s="33">
        <v>2.2709999999999999</v>
      </c>
      <c r="D845" s="23">
        <v>129.80000000000001</v>
      </c>
      <c r="E845" s="23">
        <v>89.16</v>
      </c>
      <c r="F845" s="23">
        <v>38.5</v>
      </c>
      <c r="G845" s="23">
        <v>585.1</v>
      </c>
      <c r="H845" s="23">
        <v>4.2779999999999996</v>
      </c>
      <c r="I845" s="13">
        <f t="shared" si="13"/>
        <v>2.3158441558441556</v>
      </c>
    </row>
    <row r="846" spans="2:9">
      <c r="C846" s="33">
        <v>2.2530000000000001</v>
      </c>
      <c r="D846" s="23">
        <v>154.4</v>
      </c>
      <c r="E846" s="23">
        <v>89.18</v>
      </c>
      <c r="F846" s="23">
        <v>38.53</v>
      </c>
      <c r="G846" s="23">
        <v>594.5</v>
      </c>
      <c r="H846" s="23">
        <v>4.2229999999999999</v>
      </c>
      <c r="I846" s="13">
        <f t="shared" si="13"/>
        <v>2.3145600830521671</v>
      </c>
    </row>
    <row r="847" spans="2:9">
      <c r="C847" s="33">
        <v>2.3679999999999999</v>
      </c>
      <c r="D847" s="23">
        <v>138.80000000000001</v>
      </c>
      <c r="E847" s="23">
        <v>89.38</v>
      </c>
      <c r="F847" s="23">
        <v>38.840000000000003</v>
      </c>
      <c r="G847" s="23">
        <v>591.70000000000005</v>
      </c>
      <c r="H847" s="23">
        <v>4.1870000000000003</v>
      </c>
      <c r="I847" s="13">
        <f t="shared" si="13"/>
        <v>2.3012358393408854</v>
      </c>
    </row>
    <row r="848" spans="2:9">
      <c r="C848" s="33">
        <v>2.3029999999999999</v>
      </c>
      <c r="D848" s="23">
        <v>129.30000000000001</v>
      </c>
      <c r="E848" s="23">
        <v>89.61</v>
      </c>
      <c r="F848" s="23">
        <v>38.659999999999997</v>
      </c>
      <c r="G848" s="23">
        <v>595.6</v>
      </c>
      <c r="H848" s="23">
        <v>4.2370000000000001</v>
      </c>
      <c r="I848" s="13">
        <f t="shared" si="13"/>
        <v>2.3178996378685981</v>
      </c>
    </row>
    <row r="849" spans="2:9">
      <c r="C849" s="33">
        <v>2.1960000000000002</v>
      </c>
      <c r="D849" s="23">
        <v>124.2</v>
      </c>
      <c r="E849" s="23">
        <v>89.12</v>
      </c>
      <c r="F849" s="23">
        <v>38.78</v>
      </c>
      <c r="G849" s="23">
        <v>599</v>
      </c>
      <c r="H849" s="23">
        <v>4.29</v>
      </c>
      <c r="I849" s="13">
        <f t="shared" si="13"/>
        <v>2.298091799896854</v>
      </c>
    </row>
    <row r="850" spans="2:9">
      <c r="C850" s="33">
        <v>2.13</v>
      </c>
      <c r="D850" s="23">
        <v>123.4</v>
      </c>
      <c r="E850" s="23">
        <v>89.13</v>
      </c>
      <c r="F850" s="23">
        <v>38.33</v>
      </c>
      <c r="G850" s="23">
        <v>591.79999999999995</v>
      </c>
      <c r="H850" s="23">
        <v>4.2869999999999999</v>
      </c>
      <c r="I850" s="13">
        <f t="shared" si="13"/>
        <v>2.3253326376206624</v>
      </c>
    </row>
    <row r="851" spans="2:9">
      <c r="C851" s="33">
        <v>2.0859999999999999</v>
      </c>
      <c r="D851" s="23">
        <v>121.5</v>
      </c>
      <c r="E851" s="23">
        <v>89.38</v>
      </c>
      <c r="F851" s="23">
        <v>38.729999999999997</v>
      </c>
      <c r="G851" s="23">
        <v>594.20000000000005</v>
      </c>
      <c r="H851" s="23">
        <v>4.2510000000000003</v>
      </c>
      <c r="I851" s="13">
        <f t="shared" si="13"/>
        <v>2.3077717531629229</v>
      </c>
    </row>
    <row r="852" spans="2:9">
      <c r="C852" s="33">
        <v>2.2280000000000002</v>
      </c>
      <c r="D852" s="23">
        <v>155.30000000000001</v>
      </c>
      <c r="E852" s="23">
        <v>89.95</v>
      </c>
      <c r="F852" s="23">
        <v>38.43</v>
      </c>
      <c r="G852" s="23">
        <v>595.79999999999995</v>
      </c>
      <c r="H852" s="23">
        <v>4.2789999999999999</v>
      </c>
      <c r="I852" s="13">
        <f t="shared" si="13"/>
        <v>2.3406193078324229</v>
      </c>
    </row>
    <row r="853" spans="2:9">
      <c r="C853" s="33">
        <v>2.234</v>
      </c>
      <c r="D853" s="23">
        <v>184.3</v>
      </c>
      <c r="E853" s="23">
        <v>89.19</v>
      </c>
      <c r="F853" s="23">
        <v>38.14</v>
      </c>
      <c r="G853" s="23">
        <v>594.29999999999995</v>
      </c>
      <c r="H853" s="23">
        <v>4.319</v>
      </c>
      <c r="I853" s="13">
        <f t="shared" si="13"/>
        <v>2.3384897745149447</v>
      </c>
    </row>
    <row r="854" spans="2:9">
      <c r="C854" s="33">
        <v>2.214</v>
      </c>
      <c r="D854" s="23">
        <v>158.5</v>
      </c>
      <c r="E854" s="23">
        <v>89.37</v>
      </c>
      <c r="F854" s="23">
        <v>38.82</v>
      </c>
      <c r="G854" s="23">
        <v>593.9</v>
      </c>
      <c r="H854" s="23">
        <v>4.423</v>
      </c>
      <c r="I854" s="13">
        <f t="shared" si="13"/>
        <v>2.3021638330757344</v>
      </c>
    </row>
    <row r="855" spans="2:9">
      <c r="C855" s="33">
        <v>2.343</v>
      </c>
      <c r="D855" s="23">
        <v>138</v>
      </c>
      <c r="E855" s="23">
        <v>89.44</v>
      </c>
      <c r="F855" s="23">
        <v>38.67</v>
      </c>
      <c r="G855" s="23">
        <v>594.29999999999995</v>
      </c>
      <c r="H855" s="23">
        <v>4.4080000000000004</v>
      </c>
      <c r="I855" s="13">
        <f t="shared" si="13"/>
        <v>2.3129040599948278</v>
      </c>
    </row>
    <row r="856" spans="2:9">
      <c r="C856" s="33">
        <v>2.3359999999999999</v>
      </c>
      <c r="D856" s="23">
        <v>136.69999999999999</v>
      </c>
      <c r="E856" s="23">
        <v>89.87</v>
      </c>
      <c r="F856" s="23">
        <v>38.36</v>
      </c>
      <c r="G856" s="23">
        <v>589.70000000000005</v>
      </c>
      <c r="H856" s="23">
        <v>4.298</v>
      </c>
      <c r="I856" s="13">
        <f t="shared" si="13"/>
        <v>2.3428050052137643</v>
      </c>
    </row>
    <row r="857" spans="2:9">
      <c r="C857" s="33">
        <v>2.2999999999999998</v>
      </c>
      <c r="D857" s="23">
        <v>125.6</v>
      </c>
      <c r="E857" s="23">
        <v>89.65</v>
      </c>
      <c r="F857" s="23">
        <v>38.76</v>
      </c>
      <c r="G857" s="23">
        <v>589.79999999999995</v>
      </c>
      <c r="H857" s="23">
        <v>4.3140000000000001</v>
      </c>
      <c r="I857" s="13">
        <f t="shared" si="13"/>
        <v>2.3129514963880293</v>
      </c>
    </row>
    <row r="858" spans="2:9">
      <c r="C858" s="33">
        <v>2.169</v>
      </c>
      <c r="D858" s="23">
        <v>130.6</v>
      </c>
      <c r="E858" s="23">
        <v>89.61</v>
      </c>
      <c r="F858" s="23">
        <v>38.61</v>
      </c>
      <c r="G858" s="23">
        <v>591.70000000000005</v>
      </c>
      <c r="H858" s="23">
        <v>4.33</v>
      </c>
      <c r="I858" s="13">
        <f t="shared" si="13"/>
        <v>2.3209013209013207</v>
      </c>
    </row>
    <row r="859" spans="2:9">
      <c r="C859" s="33">
        <v>2.214</v>
      </c>
      <c r="D859" s="23">
        <v>161.6</v>
      </c>
      <c r="E859" s="23">
        <v>88.89</v>
      </c>
      <c r="F859" s="23">
        <v>38.880000000000003</v>
      </c>
      <c r="G859" s="23">
        <v>593.9</v>
      </c>
      <c r="H859" s="23">
        <v>4.3289999999999997</v>
      </c>
      <c r="I859" s="13">
        <f t="shared" si="13"/>
        <v>2.2862654320987654</v>
      </c>
    </row>
    <row r="860" spans="2:9">
      <c r="C860" s="33">
        <v>2.2679999999999998</v>
      </c>
      <c r="D860" s="23">
        <v>129.80000000000001</v>
      </c>
      <c r="E860" s="23">
        <v>89.34</v>
      </c>
      <c r="F860" s="23">
        <v>38.6</v>
      </c>
      <c r="G860" s="23">
        <v>594.70000000000005</v>
      </c>
      <c r="H860" s="23">
        <v>4.1989999999999998</v>
      </c>
      <c r="I860" s="13">
        <f t="shared" si="13"/>
        <v>2.3145077720207254</v>
      </c>
    </row>
    <row r="861" spans="2:9">
      <c r="C861" s="33">
        <v>2.3460000000000001</v>
      </c>
      <c r="D861" s="23">
        <v>150.5</v>
      </c>
      <c r="E861" s="23">
        <v>89.58</v>
      </c>
      <c r="F861" s="23">
        <v>38.47</v>
      </c>
      <c r="G861" s="23">
        <v>595.79999999999995</v>
      </c>
      <c r="H861" s="23">
        <v>4.2130000000000001</v>
      </c>
      <c r="I861" s="13">
        <f t="shared" si="13"/>
        <v>2.3285677151026776</v>
      </c>
    </row>
    <row r="862" spans="2:9">
      <c r="B862" s="35">
        <v>44</v>
      </c>
      <c r="C862" s="36">
        <v>2.3090000000000002</v>
      </c>
      <c r="D862" s="38">
        <v>157.5</v>
      </c>
      <c r="E862" s="38">
        <v>97.56</v>
      </c>
      <c r="F862" s="38">
        <v>34.4</v>
      </c>
      <c r="G862" s="38">
        <v>580.1</v>
      </c>
      <c r="H862" s="38">
        <v>6.0579999999999998</v>
      </c>
      <c r="I862" s="13">
        <f t="shared" si="13"/>
        <v>2.8360465116279072</v>
      </c>
    </row>
    <row r="863" spans="2:9">
      <c r="C863" s="33">
        <v>2.3180000000000001</v>
      </c>
      <c r="D863" s="23">
        <v>151.16</v>
      </c>
      <c r="E863" s="23">
        <v>96.82</v>
      </c>
      <c r="F863" s="23">
        <v>34.049999999999997</v>
      </c>
      <c r="G863" s="23">
        <v>582.1</v>
      </c>
      <c r="H863" s="23">
        <v>5.9020000000000001</v>
      </c>
      <c r="I863" s="13">
        <f t="shared" si="13"/>
        <v>2.843465491923642</v>
      </c>
    </row>
    <row r="864" spans="2:9">
      <c r="C864" s="33">
        <v>2.3210000000000002</v>
      </c>
      <c r="D864" s="23">
        <v>155.6</v>
      </c>
      <c r="E864" s="23">
        <v>96.63</v>
      </c>
      <c r="F864" s="23">
        <v>34.229999999999997</v>
      </c>
      <c r="G864" s="23">
        <v>581.4</v>
      </c>
      <c r="H864" s="23">
        <v>5.9909999999999997</v>
      </c>
      <c r="I864" s="13">
        <f t="shared" si="13"/>
        <v>2.8229623137598598</v>
      </c>
    </row>
    <row r="865" spans="3:9">
      <c r="C865" s="33">
        <v>2.33</v>
      </c>
      <c r="D865" s="23">
        <v>157.80000000000001</v>
      </c>
      <c r="E865" s="23">
        <v>96.25</v>
      </c>
      <c r="F865" s="23">
        <v>34.03</v>
      </c>
      <c r="G865" s="23">
        <v>585.6</v>
      </c>
      <c r="H865" s="23">
        <v>6.1020000000000003</v>
      </c>
      <c r="I865" s="13">
        <f t="shared" si="13"/>
        <v>2.8283867176021156</v>
      </c>
    </row>
    <row r="866" spans="3:9">
      <c r="C866" s="33">
        <v>2.3159999999999998</v>
      </c>
      <c r="D866" s="23">
        <v>169.5</v>
      </c>
      <c r="E866" s="23">
        <v>96.62</v>
      </c>
      <c r="F866" s="23">
        <v>34.78</v>
      </c>
      <c r="G866" s="23">
        <v>586.5</v>
      </c>
      <c r="H866" s="23">
        <v>6.3029999999999999</v>
      </c>
      <c r="I866" s="13">
        <f t="shared" si="13"/>
        <v>2.7780333525014376</v>
      </c>
    </row>
    <row r="867" spans="3:9">
      <c r="C867" s="33">
        <v>2.323</v>
      </c>
      <c r="D867" s="23">
        <v>156.19999999999999</v>
      </c>
      <c r="E867" s="23">
        <v>96.44</v>
      </c>
      <c r="F867" s="23">
        <v>34.770000000000003</v>
      </c>
      <c r="G867" s="23">
        <v>586.4</v>
      </c>
      <c r="H867" s="23">
        <v>6.5179999999999998</v>
      </c>
      <c r="I867" s="13">
        <f t="shared" si="13"/>
        <v>2.7736554501006614</v>
      </c>
    </row>
    <row r="868" spans="3:9">
      <c r="C868" s="33">
        <v>2.3210000000000002</v>
      </c>
      <c r="D868" s="23">
        <v>188.9</v>
      </c>
      <c r="E868" s="23">
        <v>96.62</v>
      </c>
      <c r="F868" s="23">
        <v>34.22</v>
      </c>
      <c r="G868" s="23">
        <v>588.9</v>
      </c>
      <c r="H868" s="23">
        <v>6.7519999999999998</v>
      </c>
      <c r="I868" s="13">
        <f t="shared" si="13"/>
        <v>2.8234950321449448</v>
      </c>
    </row>
    <row r="869" spans="3:9">
      <c r="C869" s="33">
        <v>2.3180000000000001</v>
      </c>
      <c r="D869" s="23">
        <v>165.8</v>
      </c>
      <c r="E869" s="23">
        <v>96.25</v>
      </c>
      <c r="F869" s="23">
        <v>34.26</v>
      </c>
      <c r="G869" s="23">
        <v>597.9</v>
      </c>
      <c r="H869" s="23">
        <v>5.984</v>
      </c>
      <c r="I869" s="13">
        <f t="shared" si="13"/>
        <v>2.8093987157034443</v>
      </c>
    </row>
    <row r="870" spans="3:9">
      <c r="C870" s="33">
        <v>2.3090000000000002</v>
      </c>
      <c r="D870" s="23">
        <v>172.2</v>
      </c>
      <c r="E870" s="23">
        <v>96.81</v>
      </c>
      <c r="F870" s="23">
        <v>34.630000000000003</v>
      </c>
      <c r="G870" s="23">
        <v>609.9</v>
      </c>
      <c r="H870" s="23">
        <v>5.9189999999999996</v>
      </c>
      <c r="I870" s="13">
        <f t="shared" si="13"/>
        <v>2.7955529887380881</v>
      </c>
    </row>
    <row r="871" spans="3:9">
      <c r="C871" s="33">
        <v>2.2829999999999999</v>
      </c>
      <c r="D871" s="23">
        <v>179.5</v>
      </c>
      <c r="E871" s="23">
        <v>96.79</v>
      </c>
      <c r="F871" s="23">
        <v>34.24</v>
      </c>
      <c r="G871" s="23">
        <v>605.5</v>
      </c>
      <c r="H871" s="23">
        <v>6.3129999999999997</v>
      </c>
      <c r="I871" s="13">
        <f t="shared" si="13"/>
        <v>2.8268107476635516</v>
      </c>
    </row>
    <row r="872" spans="3:9">
      <c r="C872" s="33">
        <v>2.2639999999999998</v>
      </c>
      <c r="D872" s="23">
        <v>165.9</v>
      </c>
      <c r="E872" s="23">
        <v>96.18</v>
      </c>
      <c r="F872" s="23">
        <v>34.42</v>
      </c>
      <c r="G872" s="23">
        <v>589.70000000000005</v>
      </c>
      <c r="H872" s="23">
        <v>6.1020000000000003</v>
      </c>
      <c r="I872" s="13">
        <f t="shared" si="13"/>
        <v>2.7943056362579894</v>
      </c>
    </row>
    <row r="873" spans="3:9">
      <c r="C873" s="33">
        <v>2.258</v>
      </c>
      <c r="D873" s="23">
        <v>157.5</v>
      </c>
      <c r="E873" s="23">
        <v>96.26</v>
      </c>
      <c r="F873" s="23">
        <v>34.79</v>
      </c>
      <c r="G873" s="23">
        <v>587.70000000000005</v>
      </c>
      <c r="H873" s="23">
        <v>6.101</v>
      </c>
      <c r="I873" s="13">
        <f t="shared" si="13"/>
        <v>2.7668870365047429</v>
      </c>
    </row>
    <row r="874" spans="3:9">
      <c r="C874" s="33">
        <v>2.3199999999999998</v>
      </c>
      <c r="D874" s="23">
        <v>151.44999999999999</v>
      </c>
      <c r="E874" s="23">
        <v>96.07</v>
      </c>
      <c r="F874" s="23">
        <v>34.6</v>
      </c>
      <c r="G874" s="23">
        <v>579</v>
      </c>
      <c r="H874" s="23">
        <v>5.9909999999999997</v>
      </c>
      <c r="I874" s="13">
        <f t="shared" si="13"/>
        <v>2.776589595375722</v>
      </c>
    </row>
    <row r="875" spans="3:9">
      <c r="C875" s="33">
        <v>2.2639999999999998</v>
      </c>
      <c r="D875" s="23">
        <v>165.3</v>
      </c>
      <c r="E875" s="23">
        <v>96.48</v>
      </c>
      <c r="F875" s="23">
        <v>34.299999999999997</v>
      </c>
      <c r="G875" s="23">
        <v>579.20000000000005</v>
      </c>
      <c r="H875" s="23">
        <v>5.9020000000000001</v>
      </c>
      <c r="I875" s="13">
        <f t="shared" si="13"/>
        <v>2.8128279883381926</v>
      </c>
    </row>
    <row r="876" spans="3:9">
      <c r="C876" s="33">
        <v>2.2829999999999999</v>
      </c>
      <c r="D876" s="23">
        <v>172.8</v>
      </c>
      <c r="E876" s="23">
        <v>96.29</v>
      </c>
      <c r="F876" s="23">
        <v>34.97</v>
      </c>
      <c r="G876" s="23">
        <v>581.79999999999995</v>
      </c>
      <c r="H876" s="23">
        <v>6.0579999999999998</v>
      </c>
      <c r="I876" s="13">
        <f t="shared" si="13"/>
        <v>2.7535030025736349</v>
      </c>
    </row>
    <row r="877" spans="3:9">
      <c r="C877" s="33">
        <v>2.3090000000000002</v>
      </c>
      <c r="D877" s="23">
        <v>179.7</v>
      </c>
      <c r="E877" s="23">
        <v>96.85</v>
      </c>
      <c r="F877" s="23">
        <v>34.79</v>
      </c>
      <c r="G877" s="23">
        <v>577.6</v>
      </c>
      <c r="H877" s="23">
        <v>6.3650000000000002</v>
      </c>
      <c r="I877" s="13">
        <f t="shared" si="13"/>
        <v>2.7838459327392928</v>
      </c>
    </row>
    <row r="878" spans="3:9">
      <c r="C878" s="33">
        <v>2.3260000000000001</v>
      </c>
      <c r="D878" s="23">
        <v>178</v>
      </c>
      <c r="E878" s="23">
        <v>96.84</v>
      </c>
      <c r="F878" s="23">
        <v>34.979999999999997</v>
      </c>
      <c r="G878" s="23">
        <v>574.9</v>
      </c>
      <c r="H878" s="23">
        <v>6.18</v>
      </c>
      <c r="I878" s="13">
        <f t="shared" si="13"/>
        <v>2.7684391080617501</v>
      </c>
    </row>
    <row r="879" spans="3:9">
      <c r="C879" s="33">
        <v>2.3180000000000001</v>
      </c>
      <c r="D879" s="23">
        <v>169.3</v>
      </c>
      <c r="E879" s="23">
        <v>96.85</v>
      </c>
      <c r="F879" s="23">
        <v>34.58</v>
      </c>
      <c r="G879" s="23">
        <v>576.9</v>
      </c>
      <c r="H879" s="23">
        <v>6.0579999999999998</v>
      </c>
      <c r="I879" s="13">
        <f t="shared" si="13"/>
        <v>2.8007518796992481</v>
      </c>
    </row>
    <row r="880" spans="3:9">
      <c r="C880" s="33">
        <v>2.3210000000000002</v>
      </c>
      <c r="D880" s="23">
        <v>165.9</v>
      </c>
      <c r="E880" s="23">
        <v>97.04</v>
      </c>
      <c r="F880" s="23">
        <v>34.39</v>
      </c>
      <c r="G880" s="23">
        <v>581</v>
      </c>
      <c r="H880" s="23">
        <v>5.9020000000000001</v>
      </c>
      <c r="I880" s="13">
        <f t="shared" si="13"/>
        <v>2.8217505088688575</v>
      </c>
    </row>
    <row r="881" spans="2:9">
      <c r="C881" s="33">
        <v>2.3180000000000001</v>
      </c>
      <c r="D881" s="23">
        <v>151.16</v>
      </c>
      <c r="E881" s="23">
        <v>97.23</v>
      </c>
      <c r="F881" s="23">
        <v>34.21</v>
      </c>
      <c r="G881" s="23">
        <v>581.79999999999995</v>
      </c>
      <c r="H881" s="23">
        <v>6.1</v>
      </c>
      <c r="I881" s="13">
        <f t="shared" si="13"/>
        <v>2.8421514177141187</v>
      </c>
    </row>
    <row r="882" spans="2:9">
      <c r="B882" s="35">
        <v>45</v>
      </c>
      <c r="C882" s="36">
        <v>2.6779999999999999</v>
      </c>
      <c r="D882" s="38">
        <v>175.5</v>
      </c>
      <c r="E882" s="38">
        <v>124.8</v>
      </c>
      <c r="F882" s="38">
        <v>28.26</v>
      </c>
      <c r="G882" s="38">
        <v>505.4</v>
      </c>
      <c r="H882" s="38">
        <v>6.282</v>
      </c>
      <c r="I882" s="13">
        <f t="shared" si="13"/>
        <v>4.4161358811040339</v>
      </c>
    </row>
    <row r="883" spans="2:9">
      <c r="C883" s="33">
        <v>2.6709999999999998</v>
      </c>
      <c r="D883" s="23">
        <v>150</v>
      </c>
      <c r="E883" s="23">
        <v>124.6</v>
      </c>
      <c r="F883" s="23">
        <v>28.35</v>
      </c>
      <c r="G883" s="23">
        <v>508.7</v>
      </c>
      <c r="H883" s="23">
        <v>5.8559999999999999</v>
      </c>
      <c r="I883" s="13">
        <f t="shared" si="13"/>
        <v>4.3950617283950617</v>
      </c>
    </row>
    <row r="884" spans="2:9">
      <c r="C884" s="33">
        <v>2.64</v>
      </c>
      <c r="D884" s="23">
        <v>162.19999999999999</v>
      </c>
      <c r="E884" s="23">
        <v>124.7</v>
      </c>
      <c r="F884" s="23">
        <v>28.51</v>
      </c>
      <c r="G884" s="23">
        <v>517.29999999999995</v>
      </c>
      <c r="H884" s="23">
        <v>5.5910000000000002</v>
      </c>
      <c r="I884" s="13">
        <f t="shared" si="13"/>
        <v>4.3739038933707466</v>
      </c>
    </row>
    <row r="885" spans="2:9">
      <c r="C885" s="33">
        <v>2.6539999999999999</v>
      </c>
      <c r="D885" s="23">
        <v>192.7</v>
      </c>
      <c r="E885" s="23">
        <v>124.2</v>
      </c>
      <c r="F885" s="23">
        <v>28.18</v>
      </c>
      <c r="G885" s="23">
        <v>520.70000000000005</v>
      </c>
      <c r="H885" s="23">
        <v>5.9950000000000001</v>
      </c>
      <c r="I885" s="13">
        <f t="shared" si="13"/>
        <v>4.4073811213626684</v>
      </c>
    </row>
    <row r="886" spans="2:9">
      <c r="C886" s="33">
        <v>2.6360000000000001</v>
      </c>
      <c r="D886" s="23">
        <v>145.4</v>
      </c>
      <c r="E886" s="23">
        <v>124.1</v>
      </c>
      <c r="F886" s="23">
        <v>28.08</v>
      </c>
      <c r="G886" s="23">
        <v>511.9</v>
      </c>
      <c r="H886" s="23">
        <v>6.0449999999999999</v>
      </c>
      <c r="I886" s="13">
        <f t="shared" si="13"/>
        <v>4.4195156695156692</v>
      </c>
    </row>
    <row r="887" spans="2:9">
      <c r="C887" s="33">
        <v>2.64</v>
      </c>
      <c r="D887" s="23">
        <v>152.6</v>
      </c>
      <c r="E887" s="23">
        <v>124.3</v>
      </c>
      <c r="F887" s="23">
        <v>28.15</v>
      </c>
      <c r="G887" s="23">
        <v>505.3</v>
      </c>
      <c r="H887" s="23">
        <v>6.4980000000000002</v>
      </c>
      <c r="I887" s="13">
        <f t="shared" si="13"/>
        <v>4.4156305506216693</v>
      </c>
    </row>
    <row r="888" spans="2:9">
      <c r="C888" s="33">
        <v>2.6709999999999998</v>
      </c>
      <c r="D888" s="23">
        <v>139.80000000000001</v>
      </c>
      <c r="E888" s="23">
        <v>124.5</v>
      </c>
      <c r="F888" s="23">
        <v>28.09</v>
      </c>
      <c r="G888" s="23">
        <v>504.6</v>
      </c>
      <c r="H888" s="23">
        <v>5.8739999999999997</v>
      </c>
      <c r="I888" s="13">
        <f t="shared" si="13"/>
        <v>4.4321822712709151</v>
      </c>
    </row>
    <row r="889" spans="2:9">
      <c r="C889" s="33">
        <v>2.6819999999999999</v>
      </c>
      <c r="D889" s="23">
        <v>167.8</v>
      </c>
      <c r="E889" s="23">
        <v>124.9</v>
      </c>
      <c r="F889" s="23">
        <v>28.18</v>
      </c>
      <c r="G889" s="23">
        <v>527.9</v>
      </c>
      <c r="H889" s="23">
        <v>5.7149999999999999</v>
      </c>
      <c r="I889" s="13">
        <f t="shared" si="13"/>
        <v>4.4322214336408807</v>
      </c>
    </row>
    <row r="890" spans="2:9">
      <c r="C890" s="33">
        <v>2.6850000000000001</v>
      </c>
      <c r="D890" s="23">
        <v>162.19999999999999</v>
      </c>
      <c r="E890" s="23">
        <v>124</v>
      </c>
      <c r="F890" s="23">
        <v>28.01</v>
      </c>
      <c r="G890" s="23">
        <v>527.79999999999995</v>
      </c>
      <c r="H890" s="23">
        <v>5.9509999999999996</v>
      </c>
      <c r="I890" s="13">
        <f t="shared" si="13"/>
        <v>4.4269903605855045</v>
      </c>
    </row>
    <row r="891" spans="2:9">
      <c r="C891" s="33">
        <v>2.69</v>
      </c>
      <c r="D891" s="23">
        <v>197.1</v>
      </c>
      <c r="E891" s="23">
        <v>124.1</v>
      </c>
      <c r="F891" s="23">
        <v>28.01</v>
      </c>
      <c r="G891" s="23">
        <v>523.9</v>
      </c>
      <c r="H891" s="23">
        <v>5.9950000000000001</v>
      </c>
      <c r="I891" s="13">
        <f t="shared" si="13"/>
        <v>4.4305605141021056</v>
      </c>
    </row>
    <row r="892" spans="2:9">
      <c r="C892" s="33">
        <v>2.6960000000000002</v>
      </c>
      <c r="D892" s="23">
        <v>126</v>
      </c>
      <c r="E892" s="23">
        <v>124.8</v>
      </c>
      <c r="F892" s="23">
        <v>28.43</v>
      </c>
      <c r="G892" s="23">
        <v>510.2</v>
      </c>
      <c r="H892" s="23">
        <v>6.0449999999999999</v>
      </c>
      <c r="I892" s="13">
        <f t="shared" si="13"/>
        <v>4.3897291593387262</v>
      </c>
    </row>
    <row r="893" spans="2:9">
      <c r="C893" s="33">
        <v>2.665</v>
      </c>
      <c r="D893" s="23">
        <v>132.4</v>
      </c>
      <c r="E893" s="23">
        <v>124.7</v>
      </c>
      <c r="F893" s="23">
        <v>28.26</v>
      </c>
      <c r="G893" s="23">
        <v>508.5</v>
      </c>
      <c r="H893" s="23">
        <v>6.2779999999999996</v>
      </c>
      <c r="I893" s="13">
        <f t="shared" si="13"/>
        <v>4.4125973106864826</v>
      </c>
    </row>
    <row r="894" spans="2:9">
      <c r="C894" s="33">
        <v>2.6669999999999998</v>
      </c>
      <c r="D894" s="23">
        <v>158.80000000000001</v>
      </c>
      <c r="E894" s="23">
        <v>124.5</v>
      </c>
      <c r="F894" s="23">
        <v>28.68</v>
      </c>
      <c r="G894" s="23">
        <v>505.1</v>
      </c>
      <c r="H894" s="23">
        <v>7</v>
      </c>
      <c r="I894" s="13">
        <f t="shared" si="13"/>
        <v>4.3410041841004183</v>
      </c>
    </row>
    <row r="895" spans="2:9">
      <c r="C895" s="33">
        <v>2.657</v>
      </c>
      <c r="D895" s="23">
        <v>162.69999999999999</v>
      </c>
      <c r="E895" s="23">
        <v>124.3</v>
      </c>
      <c r="F895" s="23">
        <v>28.11</v>
      </c>
      <c r="G895" s="23">
        <v>508.7</v>
      </c>
      <c r="H895" s="23">
        <v>6.8070000000000004</v>
      </c>
      <c r="I895" s="13">
        <f t="shared" si="13"/>
        <v>4.421913909640697</v>
      </c>
    </row>
    <row r="896" spans="2:9">
      <c r="C896" s="33">
        <v>2.6280000000000001</v>
      </c>
      <c r="D896" s="23">
        <v>174.1</v>
      </c>
      <c r="E896" s="23">
        <v>123.9</v>
      </c>
      <c r="F896" s="23">
        <v>28.35</v>
      </c>
      <c r="G896" s="23">
        <v>505.4</v>
      </c>
      <c r="H896" s="23">
        <v>6.4980000000000002</v>
      </c>
      <c r="I896" s="13">
        <f t="shared" si="13"/>
        <v>4.3703703703703702</v>
      </c>
    </row>
    <row r="897" spans="2:9">
      <c r="C897" s="33">
        <v>2.641</v>
      </c>
      <c r="D897" s="23">
        <v>144.30000000000001</v>
      </c>
      <c r="E897" s="23">
        <v>124.7</v>
      </c>
      <c r="F897" s="23">
        <v>28.43</v>
      </c>
      <c r="G897" s="23">
        <v>507.1</v>
      </c>
      <c r="H897" s="23">
        <v>5.0860000000000003</v>
      </c>
      <c r="I897" s="13">
        <f t="shared" si="13"/>
        <v>4.3862117481533591</v>
      </c>
    </row>
    <row r="898" spans="2:9">
      <c r="C898" s="33">
        <v>2.6120000000000001</v>
      </c>
      <c r="D898" s="23">
        <v>142.69999999999999</v>
      </c>
      <c r="E898" s="23">
        <v>124.1</v>
      </c>
      <c r="F898" s="23">
        <v>28.27</v>
      </c>
      <c r="G898" s="23">
        <v>509.3</v>
      </c>
      <c r="H898" s="23">
        <v>5.8739999999999997</v>
      </c>
      <c r="I898" s="13">
        <f t="shared" si="13"/>
        <v>4.389812522108242</v>
      </c>
    </row>
    <row r="899" spans="2:9">
      <c r="C899" s="33">
        <v>2.5670000000000002</v>
      </c>
      <c r="D899" s="23">
        <v>173.2</v>
      </c>
      <c r="E899" s="23">
        <v>124.5</v>
      </c>
      <c r="F899" s="23">
        <v>28.17</v>
      </c>
      <c r="G899" s="23">
        <v>513.4</v>
      </c>
      <c r="H899" s="23">
        <v>5.7670000000000003</v>
      </c>
      <c r="I899" s="13">
        <f t="shared" ref="I899:I962" si="14">E899/F899</f>
        <v>4.4195953141640043</v>
      </c>
    </row>
    <row r="900" spans="2:9">
      <c r="C900" s="33">
        <v>2.64</v>
      </c>
      <c r="D900" s="23">
        <v>163.1</v>
      </c>
      <c r="E900" s="23">
        <v>124.7</v>
      </c>
      <c r="F900" s="23">
        <v>28.51</v>
      </c>
      <c r="G900" s="23">
        <v>507</v>
      </c>
      <c r="H900" s="23">
        <v>5.9260000000000002</v>
      </c>
      <c r="I900" s="13">
        <f t="shared" si="14"/>
        <v>4.3739038933707466</v>
      </c>
    </row>
    <row r="901" spans="2:9">
      <c r="C901" s="33">
        <v>2.657</v>
      </c>
      <c r="D901" s="23">
        <v>132.5</v>
      </c>
      <c r="E901" s="23">
        <v>124.5</v>
      </c>
      <c r="F901" s="23">
        <v>28.18</v>
      </c>
      <c r="G901" s="23">
        <v>513.5</v>
      </c>
      <c r="H901" s="23">
        <v>5.8650000000000002</v>
      </c>
      <c r="I901" s="13">
        <f t="shared" si="14"/>
        <v>4.4180269694819021</v>
      </c>
    </row>
    <row r="902" spans="2:9">
      <c r="B902" s="35">
        <v>46</v>
      </c>
      <c r="C902" s="36">
        <v>1.9750000000000001</v>
      </c>
      <c r="D902" s="38">
        <v>130.6</v>
      </c>
      <c r="E902" s="38">
        <v>93.61</v>
      </c>
      <c r="F902" s="38">
        <v>42.34</v>
      </c>
      <c r="G902" s="38">
        <v>492.3</v>
      </c>
      <c r="H902" s="38">
        <v>5.09</v>
      </c>
      <c r="I902" s="13">
        <f t="shared" si="14"/>
        <v>2.210911667453944</v>
      </c>
    </row>
    <row r="903" spans="2:9">
      <c r="C903" s="33">
        <v>2.0009999999999999</v>
      </c>
      <c r="D903" s="23">
        <v>145.6</v>
      </c>
      <c r="E903" s="23">
        <v>93.69</v>
      </c>
      <c r="F903" s="23">
        <v>42.68</v>
      </c>
      <c r="G903" s="23">
        <v>492.2</v>
      </c>
      <c r="H903" s="23">
        <v>5.23</v>
      </c>
      <c r="I903" s="13">
        <f t="shared" si="14"/>
        <v>2.1951733833177132</v>
      </c>
    </row>
    <row r="904" spans="2:9">
      <c r="C904" s="33">
        <v>2.0419999999999998</v>
      </c>
      <c r="D904" s="23">
        <v>154</v>
      </c>
      <c r="E904" s="23">
        <v>95.73</v>
      </c>
      <c r="F904" s="23">
        <v>42.33</v>
      </c>
      <c r="G904" s="23">
        <v>490.7</v>
      </c>
      <c r="H904" s="23">
        <v>4.8499999999999996</v>
      </c>
      <c r="I904" s="13">
        <f t="shared" si="14"/>
        <v>2.261516654854713</v>
      </c>
    </row>
    <row r="905" spans="2:9">
      <c r="C905" s="33">
        <v>2.0590000000000002</v>
      </c>
      <c r="D905" s="23">
        <v>164.6</v>
      </c>
      <c r="E905" s="23">
        <v>96.04</v>
      </c>
      <c r="F905" s="23">
        <v>42.67</v>
      </c>
      <c r="G905" s="23">
        <v>491.8</v>
      </c>
      <c r="H905" s="23">
        <v>5.35</v>
      </c>
      <c r="I905" s="13">
        <f t="shared" si="14"/>
        <v>2.2507616592453714</v>
      </c>
    </row>
    <row r="906" spans="2:9">
      <c r="C906" s="33">
        <v>2.0710000000000002</v>
      </c>
      <c r="D906" s="23">
        <v>172.4</v>
      </c>
      <c r="E906" s="23">
        <v>96.32</v>
      </c>
      <c r="F906" s="23">
        <v>42.66</v>
      </c>
      <c r="G906" s="23">
        <v>490.9</v>
      </c>
      <c r="H906" s="23">
        <v>5.08</v>
      </c>
      <c r="I906" s="13">
        <f t="shared" si="14"/>
        <v>2.2578527894983593</v>
      </c>
    </row>
    <row r="907" spans="2:9">
      <c r="C907" s="33">
        <v>2.0739999999999998</v>
      </c>
      <c r="D907" s="23">
        <v>166.9</v>
      </c>
      <c r="E907" s="23">
        <v>95.34</v>
      </c>
      <c r="F907" s="23">
        <v>43</v>
      </c>
      <c r="G907" s="23">
        <v>488.7</v>
      </c>
      <c r="H907" s="23">
        <v>5.04</v>
      </c>
      <c r="I907" s="13">
        <f t="shared" si="14"/>
        <v>2.2172093023255814</v>
      </c>
    </row>
    <row r="908" spans="2:9">
      <c r="C908" s="33">
        <v>2.0489999999999999</v>
      </c>
      <c r="D908" s="23">
        <v>186.7</v>
      </c>
      <c r="E908" s="23">
        <v>95.68</v>
      </c>
      <c r="F908" s="23">
        <v>42.35</v>
      </c>
      <c r="G908" s="23">
        <v>490</v>
      </c>
      <c r="H908" s="23">
        <v>4.8600000000000003</v>
      </c>
      <c r="I908" s="13">
        <f t="shared" si="14"/>
        <v>2.2592680047225504</v>
      </c>
    </row>
    <row r="909" spans="2:9">
      <c r="C909" s="33">
        <v>2.0270000000000001</v>
      </c>
      <c r="D909" s="23">
        <v>195.9</v>
      </c>
      <c r="E909" s="23">
        <v>95.35</v>
      </c>
      <c r="F909" s="23">
        <v>42.16</v>
      </c>
      <c r="G909" s="23">
        <v>491.3</v>
      </c>
      <c r="H909" s="23">
        <v>4.87</v>
      </c>
      <c r="I909" s="13">
        <f t="shared" si="14"/>
        <v>2.2616223908918407</v>
      </c>
    </row>
    <row r="910" spans="2:9">
      <c r="C910" s="33">
        <v>2.0539999999999998</v>
      </c>
      <c r="D910" s="23">
        <v>195.7</v>
      </c>
      <c r="E910" s="23">
        <v>95.68</v>
      </c>
      <c r="F910" s="23">
        <v>41.4</v>
      </c>
      <c r="G910" s="23">
        <v>485.3</v>
      </c>
      <c r="H910" s="23">
        <v>4.8</v>
      </c>
      <c r="I910" s="13">
        <f t="shared" si="14"/>
        <v>2.3111111111111113</v>
      </c>
    </row>
    <row r="911" spans="2:9">
      <c r="C911" s="33">
        <v>2.0630000000000002</v>
      </c>
      <c r="D911" s="23">
        <v>170.6</v>
      </c>
      <c r="E911" s="23">
        <v>96.34</v>
      </c>
      <c r="F911" s="23">
        <v>41.39</v>
      </c>
      <c r="G911" s="23">
        <v>485.1</v>
      </c>
      <c r="H911" s="23">
        <v>4.47</v>
      </c>
      <c r="I911" s="13">
        <f t="shared" si="14"/>
        <v>2.3276153660304422</v>
      </c>
    </row>
    <row r="912" spans="2:9">
      <c r="C912" s="33">
        <v>2.0310000000000001</v>
      </c>
      <c r="D912" s="23">
        <v>196.5</v>
      </c>
      <c r="E912" s="23">
        <v>96.01</v>
      </c>
      <c r="F912" s="23">
        <v>41</v>
      </c>
      <c r="G912" s="23">
        <v>484.2</v>
      </c>
      <c r="H912" s="23">
        <v>4.7300000000000004</v>
      </c>
      <c r="I912" s="13">
        <f t="shared" si="14"/>
        <v>2.3417073170731708</v>
      </c>
    </row>
    <row r="913" spans="2:9">
      <c r="C913" s="33">
        <v>2.004</v>
      </c>
      <c r="D913" s="23">
        <v>190.9</v>
      </c>
      <c r="E913" s="23">
        <v>95</v>
      </c>
      <c r="F913" s="23">
        <v>41.03</v>
      </c>
      <c r="G913" s="23">
        <v>486.9</v>
      </c>
      <c r="H913" s="23">
        <v>4.9000000000000004</v>
      </c>
      <c r="I913" s="13">
        <f t="shared" si="14"/>
        <v>2.3153789909822082</v>
      </c>
    </row>
    <row r="914" spans="2:9">
      <c r="C914" s="33">
        <v>2.0030000000000001</v>
      </c>
      <c r="D914" s="23">
        <v>197.6</v>
      </c>
      <c r="E914" s="23">
        <v>95.67</v>
      </c>
      <c r="F914" s="23">
        <v>41.99</v>
      </c>
      <c r="G914" s="23">
        <v>488.9</v>
      </c>
      <c r="H914" s="23">
        <v>4.93</v>
      </c>
      <c r="I914" s="13">
        <f t="shared" si="14"/>
        <v>2.2783996189568945</v>
      </c>
    </row>
    <row r="915" spans="2:9">
      <c r="C915" s="33">
        <v>2.0409999999999999</v>
      </c>
      <c r="D915" s="23">
        <v>172.4</v>
      </c>
      <c r="E915" s="23">
        <v>96.34</v>
      </c>
      <c r="F915" s="23">
        <v>41.36</v>
      </c>
      <c r="G915" s="23">
        <v>494.7</v>
      </c>
      <c r="H915" s="23">
        <v>4.05</v>
      </c>
      <c r="I915" s="13">
        <f t="shared" si="14"/>
        <v>2.3293036750483562</v>
      </c>
    </row>
    <row r="916" spans="2:9">
      <c r="C916" s="33">
        <v>2.0539999999999998</v>
      </c>
      <c r="D916" s="23">
        <v>209.5</v>
      </c>
      <c r="E916" s="23">
        <v>96.68</v>
      </c>
      <c r="F916" s="23">
        <v>41.55</v>
      </c>
      <c r="G916" s="23">
        <v>498.8</v>
      </c>
      <c r="H916" s="23">
        <v>4.24</v>
      </c>
      <c r="I916" s="13">
        <f t="shared" si="14"/>
        <v>2.3268351383874855</v>
      </c>
    </row>
    <row r="917" spans="2:9">
      <c r="C917" s="33">
        <v>2.0699999999999998</v>
      </c>
      <c r="D917" s="23">
        <v>185.5</v>
      </c>
      <c r="E917" s="23">
        <v>96.34</v>
      </c>
      <c r="F917" s="23">
        <v>41.56</v>
      </c>
      <c r="G917" s="23">
        <v>500.7</v>
      </c>
      <c r="H917" s="23">
        <v>5.18</v>
      </c>
      <c r="I917" s="13">
        <f t="shared" si="14"/>
        <v>2.318094321462945</v>
      </c>
    </row>
    <row r="918" spans="2:9">
      <c r="C918" s="33">
        <v>2.0739999999999998</v>
      </c>
      <c r="D918" s="23">
        <v>145.5</v>
      </c>
      <c r="E918" s="23">
        <v>96.67</v>
      </c>
      <c r="F918" s="23">
        <v>41.36</v>
      </c>
      <c r="G918" s="23">
        <v>500.6</v>
      </c>
      <c r="H918" s="23">
        <v>4.78</v>
      </c>
      <c r="I918" s="13">
        <f t="shared" si="14"/>
        <v>2.3372823984526114</v>
      </c>
    </row>
    <row r="919" spans="2:9">
      <c r="C919" s="33">
        <v>2.0630000000000002</v>
      </c>
      <c r="D919" s="23">
        <v>142.9</v>
      </c>
      <c r="E919" s="23">
        <v>96</v>
      </c>
      <c r="F919" s="23">
        <v>41.17</v>
      </c>
      <c r="G919" s="23">
        <v>501.3</v>
      </c>
      <c r="H919" s="23">
        <v>5.0599999999999996</v>
      </c>
      <c r="I919" s="13">
        <f t="shared" si="14"/>
        <v>2.3317949963565701</v>
      </c>
    </row>
    <row r="920" spans="2:9">
      <c r="C920" s="33">
        <v>2.0590000000000002</v>
      </c>
      <c r="D920" s="23">
        <v>162.1</v>
      </c>
      <c r="E920" s="23">
        <v>96.08</v>
      </c>
      <c r="F920" s="23">
        <v>41.18</v>
      </c>
      <c r="G920" s="23">
        <v>496.9</v>
      </c>
      <c r="H920" s="23">
        <v>5.04</v>
      </c>
      <c r="I920" s="13">
        <f t="shared" si="14"/>
        <v>2.3331714424477901</v>
      </c>
    </row>
    <row r="921" spans="2:9">
      <c r="C921" s="33">
        <v>2.012</v>
      </c>
      <c r="D921" s="23">
        <v>144.6</v>
      </c>
      <c r="E921" s="23">
        <v>98</v>
      </c>
      <c r="F921" s="23">
        <v>40.98</v>
      </c>
      <c r="G921" s="23">
        <v>496.5</v>
      </c>
      <c r="H921" s="23">
        <v>4.58</v>
      </c>
      <c r="I921" s="13">
        <f t="shared" si="14"/>
        <v>2.3914104441190829</v>
      </c>
    </row>
    <row r="922" spans="2:9">
      <c r="B922" s="35">
        <v>47</v>
      </c>
      <c r="C922" s="36">
        <v>2.7570000000000001</v>
      </c>
      <c r="D922" s="38">
        <v>177.6</v>
      </c>
      <c r="E922" s="38">
        <v>107.5</v>
      </c>
      <c r="F922" s="38">
        <v>39.33</v>
      </c>
      <c r="G922" s="38">
        <v>580.9</v>
      </c>
      <c r="H922" s="38">
        <v>4.3490000000000002</v>
      </c>
      <c r="I922" s="13">
        <f t="shared" si="14"/>
        <v>2.7332824815662344</v>
      </c>
    </row>
    <row r="923" spans="2:9">
      <c r="C923" s="33">
        <v>2.758</v>
      </c>
      <c r="D923" s="23">
        <v>154.9</v>
      </c>
      <c r="E923" s="23">
        <v>107.4</v>
      </c>
      <c r="F923" s="23">
        <v>39.15</v>
      </c>
      <c r="G923" s="23">
        <v>583.5</v>
      </c>
      <c r="H923" s="23">
        <v>5.4370000000000003</v>
      </c>
      <c r="I923" s="13">
        <f t="shared" si="14"/>
        <v>2.7432950191570882</v>
      </c>
    </row>
    <row r="924" spans="2:9">
      <c r="C924" s="33">
        <v>2.7789999999999999</v>
      </c>
      <c r="D924" s="23">
        <v>147.9</v>
      </c>
      <c r="E924" s="23">
        <v>107.9</v>
      </c>
      <c r="F924" s="23">
        <v>39.35</v>
      </c>
      <c r="G924" s="23">
        <v>583.70000000000005</v>
      </c>
      <c r="H924" s="23">
        <v>5.0510000000000002</v>
      </c>
      <c r="I924" s="13">
        <f t="shared" si="14"/>
        <v>2.7420584498094027</v>
      </c>
    </row>
    <row r="925" spans="2:9">
      <c r="C925" s="33">
        <v>2.778</v>
      </c>
      <c r="D925" s="23">
        <v>154.6</v>
      </c>
      <c r="E925" s="23">
        <v>108.4</v>
      </c>
      <c r="F925" s="23">
        <v>39.479999999999997</v>
      </c>
      <c r="G925" s="23">
        <v>594.20000000000005</v>
      </c>
      <c r="H925" s="23">
        <v>4.8929999999999998</v>
      </c>
      <c r="I925" s="13">
        <f t="shared" si="14"/>
        <v>2.7456940222897672</v>
      </c>
    </row>
    <row r="926" spans="2:9">
      <c r="C926" s="33">
        <v>2.6819999999999999</v>
      </c>
      <c r="D926" s="23">
        <v>159</v>
      </c>
      <c r="E926" s="23">
        <v>108.2</v>
      </c>
      <c r="F926" s="23">
        <v>39.18</v>
      </c>
      <c r="G926" s="23">
        <v>604.70000000000005</v>
      </c>
      <c r="H926" s="23">
        <v>4.6479999999999997</v>
      </c>
      <c r="I926" s="13">
        <f t="shared" si="14"/>
        <v>2.7616130678917816</v>
      </c>
    </row>
    <row r="927" spans="2:9">
      <c r="C927" s="33">
        <v>2.5470000000000002</v>
      </c>
      <c r="D927" s="23">
        <v>167.3</v>
      </c>
      <c r="E927" s="23">
        <v>108.7</v>
      </c>
      <c r="F927" s="23">
        <v>39.049999999999997</v>
      </c>
      <c r="G927" s="23">
        <v>600.4</v>
      </c>
      <c r="H927" s="23">
        <v>4.1980000000000004</v>
      </c>
      <c r="I927" s="13">
        <f t="shared" si="14"/>
        <v>2.7836107554417415</v>
      </c>
    </row>
    <row r="928" spans="2:9">
      <c r="C928" s="33">
        <v>2.411</v>
      </c>
      <c r="D928" s="23">
        <v>159</v>
      </c>
      <c r="E928" s="23">
        <v>108.2</v>
      </c>
      <c r="F928" s="23">
        <v>39.33</v>
      </c>
      <c r="G928" s="23">
        <v>597.9</v>
      </c>
      <c r="H928" s="23">
        <v>4.7569999999999997</v>
      </c>
      <c r="I928" s="13">
        <f t="shared" si="14"/>
        <v>2.7510806000508521</v>
      </c>
    </row>
    <row r="929" spans="2:9">
      <c r="C929" s="33">
        <v>2.38</v>
      </c>
      <c r="D929" s="23">
        <v>196.6</v>
      </c>
      <c r="E929" s="23">
        <v>108</v>
      </c>
      <c r="F929" s="23">
        <v>39.369999999999997</v>
      </c>
      <c r="G929" s="23">
        <v>596.70000000000005</v>
      </c>
      <c r="H929" s="23">
        <v>4.1749999999999998</v>
      </c>
      <c r="I929" s="13">
        <f t="shared" si="14"/>
        <v>2.7432054864109729</v>
      </c>
    </row>
    <row r="930" spans="2:9">
      <c r="C930" s="33">
        <v>2.5550000000000002</v>
      </c>
      <c r="D930" s="23">
        <v>157.9</v>
      </c>
      <c r="E930" s="23">
        <v>108.2</v>
      </c>
      <c r="F930" s="23">
        <v>39.49</v>
      </c>
      <c r="G930" s="23">
        <v>591.6</v>
      </c>
      <c r="H930" s="23">
        <v>4.6399999999999997</v>
      </c>
      <c r="I930" s="13">
        <f t="shared" si="14"/>
        <v>2.7399341605469738</v>
      </c>
    </row>
    <row r="931" spans="2:9">
      <c r="C931" s="33">
        <v>2.7389999999999999</v>
      </c>
      <c r="D931" s="23">
        <v>143.5</v>
      </c>
      <c r="E931" s="23">
        <v>108.7</v>
      </c>
      <c r="F931" s="23">
        <v>39.18</v>
      </c>
      <c r="G931" s="23">
        <v>594.29999999999995</v>
      </c>
      <c r="H931" s="23">
        <v>5.1239999999999997</v>
      </c>
      <c r="I931" s="13">
        <f t="shared" si="14"/>
        <v>2.7743746809596734</v>
      </c>
    </row>
    <row r="932" spans="2:9">
      <c r="C932" s="33">
        <v>2.7519999999999998</v>
      </c>
      <c r="D932" s="23">
        <v>166.6</v>
      </c>
      <c r="E932" s="23">
        <v>108.3</v>
      </c>
      <c r="F932" s="23">
        <v>39.32</v>
      </c>
      <c r="G932" s="23">
        <v>594</v>
      </c>
      <c r="H932" s="23">
        <v>5.3849999999999998</v>
      </c>
      <c r="I932" s="13">
        <f t="shared" si="14"/>
        <v>2.754323499491353</v>
      </c>
    </row>
    <row r="933" spans="2:9">
      <c r="C933" s="33">
        <v>2.8109999999999999</v>
      </c>
      <c r="D933" s="23">
        <v>131.4</v>
      </c>
      <c r="E933" s="23">
        <v>108.4</v>
      </c>
      <c r="F933" s="23">
        <v>39.659999999999997</v>
      </c>
      <c r="G933" s="23">
        <v>594.5</v>
      </c>
      <c r="H933" s="23">
        <v>5.8920000000000003</v>
      </c>
      <c r="I933" s="13">
        <f t="shared" si="14"/>
        <v>2.7332324760463949</v>
      </c>
    </row>
    <row r="934" spans="2:9">
      <c r="C934" s="33">
        <v>2.6890000000000001</v>
      </c>
      <c r="D934" s="23">
        <v>134.30000000000001</v>
      </c>
      <c r="E934" s="23">
        <v>108.2</v>
      </c>
      <c r="F934" s="23">
        <v>39.42</v>
      </c>
      <c r="G934" s="23">
        <v>598.1</v>
      </c>
      <c r="H934" s="23">
        <v>5.306</v>
      </c>
      <c r="I934" s="13">
        <f t="shared" si="14"/>
        <v>2.7447995941146623</v>
      </c>
    </row>
    <row r="935" spans="2:9">
      <c r="C935" s="33">
        <v>2.726</v>
      </c>
      <c r="D935" s="23">
        <v>163.80000000000001</v>
      </c>
      <c r="E935" s="23">
        <v>108.5</v>
      </c>
      <c r="F935" s="23">
        <v>39.85</v>
      </c>
      <c r="G935" s="23">
        <v>598.9</v>
      </c>
      <c r="H935" s="23">
        <v>5.3239999999999998</v>
      </c>
      <c r="I935" s="13">
        <f t="shared" si="14"/>
        <v>2.7227101631116688</v>
      </c>
    </row>
    <row r="936" spans="2:9">
      <c r="C936" s="33">
        <v>2.5550000000000002</v>
      </c>
      <c r="D936" s="23">
        <v>146</v>
      </c>
      <c r="E936" s="23">
        <v>108.6</v>
      </c>
      <c r="F936" s="23">
        <v>39.880000000000003</v>
      </c>
      <c r="G936" s="23">
        <v>595.79999999999995</v>
      </c>
      <c r="H936" s="23">
        <v>6.17</v>
      </c>
      <c r="I936" s="13">
        <f t="shared" si="14"/>
        <v>2.7231695085255763</v>
      </c>
    </row>
    <row r="937" spans="2:9">
      <c r="C937" s="33">
        <v>2.38</v>
      </c>
      <c r="D937" s="23">
        <v>163.30000000000001</v>
      </c>
      <c r="E937" s="23">
        <v>108.8</v>
      </c>
      <c r="F937" s="23">
        <v>39.76</v>
      </c>
      <c r="G937" s="23">
        <v>592.9</v>
      </c>
      <c r="H937" s="23">
        <v>6.508</v>
      </c>
      <c r="I937" s="13">
        <f t="shared" si="14"/>
        <v>2.7364185110663986</v>
      </c>
    </row>
    <row r="938" spans="2:9">
      <c r="C938" s="33">
        <v>2.4060000000000001</v>
      </c>
      <c r="D938" s="23">
        <v>134.69999999999999</v>
      </c>
      <c r="E938" s="23">
        <v>108.1</v>
      </c>
      <c r="F938" s="23">
        <v>39.53</v>
      </c>
      <c r="G938" s="23">
        <v>594.5</v>
      </c>
      <c r="H938" s="23">
        <v>5.9450000000000003</v>
      </c>
      <c r="I938" s="13">
        <f t="shared" si="14"/>
        <v>2.7346319251201616</v>
      </c>
    </row>
    <row r="939" spans="2:9">
      <c r="C939" s="33">
        <v>2.5499999999999998</v>
      </c>
      <c r="D939" s="23">
        <v>135.30000000000001</v>
      </c>
      <c r="E939" s="23">
        <v>108.3</v>
      </c>
      <c r="F939" s="23">
        <v>39.19</v>
      </c>
      <c r="G939" s="23">
        <v>594.70000000000005</v>
      </c>
      <c r="H939" s="23">
        <v>5.9390000000000001</v>
      </c>
      <c r="I939" s="13">
        <f t="shared" si="14"/>
        <v>2.763460066343455</v>
      </c>
    </row>
    <row r="940" spans="2:9">
      <c r="C940" s="33">
        <v>2.9060000000000001</v>
      </c>
      <c r="D940" s="23">
        <v>169</v>
      </c>
      <c r="E940" s="23">
        <v>108.4</v>
      </c>
      <c r="F940" s="23">
        <v>39.380000000000003</v>
      </c>
      <c r="G940" s="23">
        <v>598.20000000000005</v>
      </c>
      <c r="H940" s="23">
        <v>5.4370000000000003</v>
      </c>
      <c r="I940" s="13">
        <f t="shared" si="14"/>
        <v>2.7526663280853225</v>
      </c>
    </row>
    <row r="941" spans="2:9">
      <c r="C941" s="33">
        <v>2.9220000000000002</v>
      </c>
      <c r="D941" s="23">
        <v>163.80000000000001</v>
      </c>
      <c r="E941" s="23">
        <v>108.5</v>
      </c>
      <c r="F941" s="23">
        <v>39.229999999999997</v>
      </c>
      <c r="G941" s="23">
        <v>604.4</v>
      </c>
      <c r="H941" s="23">
        <v>5.0510000000000002</v>
      </c>
      <c r="I941" s="13">
        <f t="shared" si="14"/>
        <v>2.765740504715779</v>
      </c>
    </row>
    <row r="942" spans="2:9">
      <c r="B942" s="35">
        <v>48</v>
      </c>
      <c r="C942" s="36">
        <v>1.8560000000000001</v>
      </c>
      <c r="D942" s="38">
        <v>109.9</v>
      </c>
      <c r="E942" s="38">
        <v>106.6</v>
      </c>
      <c r="F942" s="38">
        <v>34.369999999999997</v>
      </c>
      <c r="G942" s="38">
        <v>565.1</v>
      </c>
      <c r="H942" s="38">
        <v>6.1239999999999997</v>
      </c>
      <c r="I942" s="13">
        <f t="shared" si="14"/>
        <v>3.101542042478906</v>
      </c>
    </row>
    <row r="943" spans="2:9">
      <c r="C943" s="33">
        <v>1.847</v>
      </c>
      <c r="D943" s="23">
        <v>97.8</v>
      </c>
      <c r="E943" s="23">
        <v>105.7</v>
      </c>
      <c r="F943" s="23">
        <v>34.17</v>
      </c>
      <c r="G943" s="23">
        <v>571.29999999999995</v>
      </c>
      <c r="H943" s="23">
        <v>6.1609999999999996</v>
      </c>
      <c r="I943" s="13">
        <f t="shared" si="14"/>
        <v>3.093356745683348</v>
      </c>
    </row>
    <row r="944" spans="2:9">
      <c r="C944" s="33">
        <v>1.835</v>
      </c>
      <c r="D944" s="23">
        <v>94.6</v>
      </c>
      <c r="E944" s="23">
        <v>106.2</v>
      </c>
      <c r="F944" s="23">
        <v>33.869999999999997</v>
      </c>
      <c r="G944" s="23">
        <v>578.4</v>
      </c>
      <c r="H944" s="23">
        <v>6.2080000000000002</v>
      </c>
      <c r="I944" s="13">
        <f t="shared" si="14"/>
        <v>3.135518157661648</v>
      </c>
    </row>
    <row r="945" spans="3:9">
      <c r="C945" s="33">
        <v>1.8180000000000001</v>
      </c>
      <c r="D945" s="23">
        <v>129.30000000000001</v>
      </c>
      <c r="E945" s="23">
        <v>106.7</v>
      </c>
      <c r="F945" s="23">
        <v>33.909999999999997</v>
      </c>
      <c r="G945" s="23">
        <v>584.79999999999995</v>
      </c>
      <c r="H945" s="23">
        <v>5.976</v>
      </c>
      <c r="I945" s="13">
        <f t="shared" si="14"/>
        <v>3.1465644352698323</v>
      </c>
    </row>
    <row r="946" spans="3:9">
      <c r="C946" s="33">
        <v>1.7989999999999999</v>
      </c>
      <c r="D946" s="23">
        <v>103.6</v>
      </c>
      <c r="E946" s="23">
        <v>105.9</v>
      </c>
      <c r="F946" s="23">
        <v>34.64</v>
      </c>
      <c r="G946" s="23">
        <v>581.4</v>
      </c>
      <c r="H946" s="23">
        <v>5.516</v>
      </c>
      <c r="I946" s="13">
        <f t="shared" si="14"/>
        <v>3.0571593533487298</v>
      </c>
    </row>
    <row r="947" spans="3:9">
      <c r="C947" s="33">
        <v>1.768</v>
      </c>
      <c r="D947" s="23">
        <v>106.6</v>
      </c>
      <c r="E947" s="23">
        <v>105.8</v>
      </c>
      <c r="F947" s="23">
        <v>34.83</v>
      </c>
      <c r="G947" s="23">
        <v>573.79999999999995</v>
      </c>
      <c r="H947" s="23">
        <v>5.3380000000000001</v>
      </c>
      <c r="I947" s="13">
        <f t="shared" si="14"/>
        <v>3.0376112546655185</v>
      </c>
    </row>
    <row r="948" spans="3:9">
      <c r="C948" s="33">
        <v>1.8140000000000001</v>
      </c>
      <c r="D948" s="23">
        <v>104.3</v>
      </c>
      <c r="E948" s="23">
        <v>105.6</v>
      </c>
      <c r="F948" s="23">
        <v>34.61</v>
      </c>
      <c r="G948" s="23">
        <v>576.1</v>
      </c>
      <c r="H948" s="23">
        <v>5.665</v>
      </c>
      <c r="I948" s="13">
        <f t="shared" si="14"/>
        <v>3.0511412886449003</v>
      </c>
    </row>
    <row r="949" spans="3:9">
      <c r="C949" s="33">
        <v>1.835</v>
      </c>
      <c r="D949" s="23">
        <v>128.30000000000001</v>
      </c>
      <c r="E949" s="23">
        <v>106.2</v>
      </c>
      <c r="F949" s="23">
        <v>34.68</v>
      </c>
      <c r="G949" s="23">
        <v>578.20000000000005</v>
      </c>
      <c r="H949" s="23">
        <v>5.9269999999999996</v>
      </c>
      <c r="I949" s="13">
        <f t="shared" si="14"/>
        <v>3.0622837370242215</v>
      </c>
    </row>
    <row r="950" spans="3:9">
      <c r="C950" s="33">
        <v>1.8380000000000001</v>
      </c>
      <c r="D950" s="23">
        <v>107.2</v>
      </c>
      <c r="E950" s="23">
        <v>106.7</v>
      </c>
      <c r="F950" s="23">
        <v>34.42</v>
      </c>
      <c r="G950" s="23">
        <v>579.1</v>
      </c>
      <c r="H950" s="23">
        <v>5.9809999999999999</v>
      </c>
      <c r="I950" s="13">
        <f t="shared" si="14"/>
        <v>3.0999418942475305</v>
      </c>
    </row>
    <row r="951" spans="3:9">
      <c r="C951" s="33">
        <v>1.829</v>
      </c>
      <c r="D951" s="23">
        <v>105.4</v>
      </c>
      <c r="E951" s="23">
        <v>106.5</v>
      </c>
      <c r="F951" s="23">
        <v>34.14</v>
      </c>
      <c r="G951" s="23">
        <v>579.6</v>
      </c>
      <c r="H951" s="23">
        <v>6.1669999999999998</v>
      </c>
      <c r="I951" s="13">
        <f t="shared" si="14"/>
        <v>3.1195079086115993</v>
      </c>
    </row>
    <row r="952" spans="3:9">
      <c r="C952" s="33">
        <v>1.806</v>
      </c>
      <c r="D952" s="23">
        <v>100.3</v>
      </c>
      <c r="E952" s="23">
        <v>106.1</v>
      </c>
      <c r="F952" s="23">
        <v>34.31</v>
      </c>
      <c r="G952" s="23">
        <v>531.5</v>
      </c>
      <c r="H952" s="23">
        <v>6.2670000000000003</v>
      </c>
      <c r="I952" s="13">
        <f t="shared" si="14"/>
        <v>3.0923928883707372</v>
      </c>
    </row>
    <row r="953" spans="3:9">
      <c r="C953" s="33">
        <v>1.835</v>
      </c>
      <c r="D953" s="23">
        <v>94.6</v>
      </c>
      <c r="E953" s="23">
        <v>106.4</v>
      </c>
      <c r="F953" s="23">
        <v>34.22</v>
      </c>
      <c r="G953" s="23">
        <v>532.1</v>
      </c>
      <c r="H953" s="23">
        <v>6.335</v>
      </c>
      <c r="I953" s="13">
        <f t="shared" si="14"/>
        <v>3.1092928112215081</v>
      </c>
    </row>
    <row r="954" spans="3:9">
      <c r="C954" s="33">
        <v>1.83</v>
      </c>
      <c r="D954" s="23">
        <v>85.6</v>
      </c>
      <c r="E954" s="23">
        <v>106.3</v>
      </c>
      <c r="F954" s="23">
        <v>34.58</v>
      </c>
      <c r="G954" s="23">
        <v>535.1</v>
      </c>
      <c r="H954" s="23">
        <v>6.42</v>
      </c>
      <c r="I954" s="13">
        <f t="shared" si="14"/>
        <v>3.0740312319259688</v>
      </c>
    </row>
    <row r="955" spans="3:9">
      <c r="C955" s="33">
        <v>1.8120000000000001</v>
      </c>
      <c r="D955" s="23">
        <v>97.9</v>
      </c>
      <c r="E955" s="23">
        <v>106.2</v>
      </c>
      <c r="F955" s="23">
        <v>34.659999999999997</v>
      </c>
      <c r="G955" s="23">
        <v>537.4</v>
      </c>
      <c r="H955" s="23">
        <v>6.4930000000000003</v>
      </c>
      <c r="I955" s="13">
        <f t="shared" si="14"/>
        <v>3.064050778995961</v>
      </c>
    </row>
    <row r="956" spans="3:9">
      <c r="C956" s="33">
        <v>1.83</v>
      </c>
      <c r="D956" s="23">
        <v>109.6</v>
      </c>
      <c r="E956" s="23">
        <v>105.9</v>
      </c>
      <c r="F956" s="23">
        <v>34.380000000000003</v>
      </c>
      <c r="G956" s="23">
        <v>539.70000000000005</v>
      </c>
      <c r="H956" s="23">
        <v>6.1079999999999997</v>
      </c>
      <c r="I956" s="13">
        <f t="shared" si="14"/>
        <v>3.080279232111693</v>
      </c>
    </row>
    <row r="957" spans="3:9">
      <c r="C957" s="33">
        <v>1.85</v>
      </c>
      <c r="D957" s="23">
        <v>108.2</v>
      </c>
      <c r="E957" s="23">
        <v>105.5</v>
      </c>
      <c r="F957" s="23">
        <v>34.64</v>
      </c>
      <c r="G957" s="23">
        <v>599</v>
      </c>
      <c r="H957" s="23">
        <v>5.9219999999999997</v>
      </c>
      <c r="I957" s="13">
        <f t="shared" si="14"/>
        <v>3.0456120092378751</v>
      </c>
    </row>
    <row r="958" spans="3:9">
      <c r="C958" s="33">
        <v>1.8009999999999999</v>
      </c>
      <c r="D958" s="23">
        <v>102.8</v>
      </c>
      <c r="E958" s="23">
        <v>105.9</v>
      </c>
      <c r="F958" s="23">
        <v>34.82</v>
      </c>
      <c r="G958" s="23">
        <v>596.1</v>
      </c>
      <c r="H958" s="23">
        <v>6.383</v>
      </c>
      <c r="I958" s="13">
        <f t="shared" si="14"/>
        <v>3.0413555427914991</v>
      </c>
    </row>
    <row r="959" spans="3:9">
      <c r="C959" s="33">
        <v>1.8520000000000001</v>
      </c>
      <c r="D959" s="23">
        <v>97.3</v>
      </c>
      <c r="E959" s="23">
        <v>106.1</v>
      </c>
      <c r="F959" s="23">
        <v>34.83</v>
      </c>
      <c r="G959" s="23">
        <v>594.29999999999995</v>
      </c>
      <c r="H959" s="23">
        <v>6.4930000000000003</v>
      </c>
      <c r="I959" s="13">
        <f t="shared" si="14"/>
        <v>3.0462245190927359</v>
      </c>
    </row>
    <row r="960" spans="3:9">
      <c r="C960" s="33">
        <v>1.861</v>
      </c>
      <c r="D960" s="23">
        <v>103.6</v>
      </c>
      <c r="E960" s="23">
        <v>106.2</v>
      </c>
      <c r="F960" s="23">
        <v>34.729999999999997</v>
      </c>
      <c r="G960" s="23">
        <v>594.6</v>
      </c>
      <c r="H960" s="23">
        <v>6.7640000000000002</v>
      </c>
      <c r="I960" s="13">
        <f t="shared" si="14"/>
        <v>3.057875035991938</v>
      </c>
    </row>
    <row r="961" spans="2:9">
      <c r="C961" s="33">
        <v>1.847</v>
      </c>
      <c r="D961" s="23">
        <v>97.8</v>
      </c>
      <c r="E961" s="23">
        <v>106.7</v>
      </c>
      <c r="F961" s="23">
        <v>34.479999999999997</v>
      </c>
      <c r="G961" s="23">
        <v>590.79999999999995</v>
      </c>
      <c r="H961" s="23">
        <v>6.1829999999999998</v>
      </c>
      <c r="I961" s="13">
        <f t="shared" si="14"/>
        <v>3.0945475638051048</v>
      </c>
    </row>
    <row r="962" spans="2:9">
      <c r="B962" s="35">
        <v>49</v>
      </c>
      <c r="C962" s="36">
        <v>2.2839999999999998</v>
      </c>
      <c r="D962" s="38">
        <v>131.6</v>
      </c>
      <c r="E962" s="38">
        <v>102.3</v>
      </c>
      <c r="F962" s="38">
        <v>40.799999999999997</v>
      </c>
      <c r="G962" s="38">
        <v>535.5</v>
      </c>
      <c r="H962" s="38">
        <v>4.8150000000000004</v>
      </c>
      <c r="I962" s="13">
        <f t="shared" si="14"/>
        <v>2.5073529411764706</v>
      </c>
    </row>
    <row r="963" spans="2:9">
      <c r="C963" s="33">
        <v>2.3109999999999999</v>
      </c>
      <c r="D963" s="23">
        <v>114.4</v>
      </c>
      <c r="E963" s="23">
        <v>102.2</v>
      </c>
      <c r="F963" s="23">
        <v>39.85</v>
      </c>
      <c r="G963" s="23">
        <v>540</v>
      </c>
      <c r="H963" s="23">
        <v>4.7530000000000001</v>
      </c>
      <c r="I963" s="13">
        <f t="shared" ref="I963:I1026" si="15">E963/F963</f>
        <v>2.5646173149309912</v>
      </c>
    </row>
    <row r="964" spans="2:9">
      <c r="C964" s="33">
        <v>2.347</v>
      </c>
      <c r="D964" s="23">
        <v>165.4</v>
      </c>
      <c r="E964" s="23">
        <v>102.1</v>
      </c>
      <c r="F964" s="23">
        <v>40.5</v>
      </c>
      <c r="G964" s="23">
        <v>536.9</v>
      </c>
      <c r="H964" s="23">
        <v>5.008</v>
      </c>
      <c r="I964" s="13">
        <f t="shared" si="15"/>
        <v>2.5209876543209875</v>
      </c>
    </row>
    <row r="965" spans="2:9">
      <c r="C965" s="33">
        <v>2.2930000000000001</v>
      </c>
      <c r="D965" s="23">
        <v>160.4</v>
      </c>
      <c r="E965" s="23">
        <v>103.1</v>
      </c>
      <c r="F965" s="23">
        <v>39.72</v>
      </c>
      <c r="G965" s="23">
        <v>535.5</v>
      </c>
      <c r="H965" s="23">
        <v>5.1980000000000004</v>
      </c>
      <c r="I965" s="13">
        <f t="shared" si="15"/>
        <v>2.595669687814703</v>
      </c>
    </row>
    <row r="966" spans="2:9">
      <c r="C966" s="33">
        <v>2.1560000000000001</v>
      </c>
      <c r="D966" s="23">
        <v>134.1</v>
      </c>
      <c r="E966" s="23">
        <v>102.9</v>
      </c>
      <c r="F966" s="23">
        <v>40.14</v>
      </c>
      <c r="G966" s="23">
        <v>528.79999999999995</v>
      </c>
      <c r="H966" s="23">
        <v>5.1159999999999997</v>
      </c>
      <c r="I966" s="13">
        <f t="shared" si="15"/>
        <v>2.5635276532137521</v>
      </c>
    </row>
    <row r="967" spans="2:9">
      <c r="C967" s="33">
        <v>2.133</v>
      </c>
      <c r="D967" s="23">
        <v>141.19999999999999</v>
      </c>
      <c r="E967" s="23">
        <v>103.2</v>
      </c>
      <c r="F967" s="23">
        <v>39.54</v>
      </c>
      <c r="G967" s="23">
        <v>523.1</v>
      </c>
      <c r="H967" s="23">
        <v>5.476</v>
      </c>
      <c r="I967" s="13">
        <f t="shared" si="15"/>
        <v>2.6100151745068287</v>
      </c>
    </row>
    <row r="968" spans="2:9">
      <c r="C968" s="33">
        <v>2.2229999999999999</v>
      </c>
      <c r="D968" s="23">
        <v>122.6</v>
      </c>
      <c r="E968" s="23">
        <v>102.3</v>
      </c>
      <c r="F968" s="23">
        <v>40.08</v>
      </c>
      <c r="G968" s="23">
        <v>522.20000000000005</v>
      </c>
      <c r="H968" s="23">
        <v>5.1529999999999996</v>
      </c>
      <c r="I968" s="13">
        <f t="shared" si="15"/>
        <v>2.5523952095808382</v>
      </c>
    </row>
    <row r="969" spans="2:9">
      <c r="C969" s="33">
        <v>2.2799999999999998</v>
      </c>
      <c r="D969" s="23">
        <v>140.9</v>
      </c>
      <c r="E969" s="23">
        <v>102.6</v>
      </c>
      <c r="F969" s="23">
        <v>39.770000000000003</v>
      </c>
      <c r="G969" s="23">
        <v>520.9</v>
      </c>
      <c r="H969" s="23">
        <v>5.0430000000000001</v>
      </c>
      <c r="I969" s="13">
        <f t="shared" si="15"/>
        <v>2.5798340457631377</v>
      </c>
    </row>
    <row r="970" spans="2:9">
      <c r="C970" s="33">
        <v>2.3039999999999998</v>
      </c>
      <c r="D970" s="23">
        <v>131.6</v>
      </c>
      <c r="E970" s="23">
        <v>102.9</v>
      </c>
      <c r="F970" s="23">
        <v>40.56</v>
      </c>
      <c r="G970" s="23">
        <v>537.6</v>
      </c>
      <c r="H970" s="23">
        <v>4.9189999999999996</v>
      </c>
      <c r="I970" s="13">
        <f t="shared" si="15"/>
        <v>2.5369822485207099</v>
      </c>
    </row>
    <row r="971" spans="2:9">
      <c r="C971" s="33">
        <v>2.3380000000000001</v>
      </c>
      <c r="D971" s="23">
        <v>154</v>
      </c>
      <c r="E971" s="23">
        <v>102.8</v>
      </c>
      <c r="F971" s="23">
        <v>40.43</v>
      </c>
      <c r="G971" s="23">
        <v>541.29999999999995</v>
      </c>
      <c r="H971" s="23">
        <v>4.8550000000000004</v>
      </c>
      <c r="I971" s="13">
        <f t="shared" si="15"/>
        <v>2.5426663368785554</v>
      </c>
    </row>
    <row r="972" spans="2:9">
      <c r="C972" s="33">
        <v>2.3079999999999998</v>
      </c>
      <c r="D972" s="23">
        <v>157.80000000000001</v>
      </c>
      <c r="E972" s="23">
        <v>102.9</v>
      </c>
      <c r="F972" s="23">
        <v>40.25</v>
      </c>
      <c r="G972" s="23">
        <v>540.79999999999995</v>
      </c>
      <c r="H972" s="23">
        <v>5.0869999999999997</v>
      </c>
      <c r="I972" s="13">
        <f t="shared" si="15"/>
        <v>2.5565217391304351</v>
      </c>
    </row>
    <row r="973" spans="2:9">
      <c r="C973" s="33">
        <v>2.35</v>
      </c>
      <c r="D973" s="23">
        <v>135.9</v>
      </c>
      <c r="E973" s="23">
        <v>102.9</v>
      </c>
      <c r="F973" s="23">
        <v>40.130000000000003</v>
      </c>
      <c r="G973" s="23">
        <v>539.79999999999995</v>
      </c>
      <c r="H973" s="23">
        <v>5.0179999999999998</v>
      </c>
      <c r="I973" s="13">
        <f t="shared" si="15"/>
        <v>2.5641664590082232</v>
      </c>
    </row>
    <row r="974" spans="2:9">
      <c r="C974" s="33">
        <v>2.323</v>
      </c>
      <c r="D974" s="23">
        <v>141.19999999999999</v>
      </c>
      <c r="E974" s="23">
        <v>102.7</v>
      </c>
      <c r="F974" s="23">
        <v>40.18</v>
      </c>
      <c r="G974" s="23">
        <v>538.20000000000005</v>
      </c>
      <c r="H974" s="23">
        <v>5.2249999999999996</v>
      </c>
      <c r="I974" s="13">
        <f t="shared" si="15"/>
        <v>2.5559980089596817</v>
      </c>
    </row>
    <row r="975" spans="2:9">
      <c r="C975" s="33">
        <v>2.3330000000000002</v>
      </c>
      <c r="D975" s="23">
        <v>122.6</v>
      </c>
      <c r="E975" s="23">
        <v>102.6</v>
      </c>
      <c r="F975" s="23">
        <v>40.61</v>
      </c>
      <c r="G975" s="23">
        <v>536.4</v>
      </c>
      <c r="H975" s="23">
        <v>5.008</v>
      </c>
      <c r="I975" s="13">
        <f t="shared" si="15"/>
        <v>2.5264713124846097</v>
      </c>
    </row>
    <row r="976" spans="2:9">
      <c r="C976" s="33">
        <v>2.3039999999999998</v>
      </c>
      <c r="D976" s="23">
        <v>114.4</v>
      </c>
      <c r="E976" s="23">
        <v>102.4</v>
      </c>
      <c r="F976" s="23">
        <v>40.49</v>
      </c>
      <c r="G976" s="23">
        <v>532.6</v>
      </c>
      <c r="H976" s="23">
        <v>5.1980000000000004</v>
      </c>
      <c r="I976" s="13">
        <f t="shared" si="15"/>
        <v>2.5290195109903681</v>
      </c>
    </row>
    <row r="977" spans="2:9">
      <c r="C977" s="33">
        <v>2.286</v>
      </c>
      <c r="D977" s="23">
        <v>124.1</v>
      </c>
      <c r="E977" s="23">
        <v>101.9</v>
      </c>
      <c r="F977" s="23">
        <v>40.78</v>
      </c>
      <c r="G977" s="23">
        <v>531.9</v>
      </c>
      <c r="H977" s="23">
        <v>5.1159999999999997</v>
      </c>
      <c r="I977" s="13">
        <f t="shared" si="15"/>
        <v>2.498773908778813</v>
      </c>
    </row>
    <row r="978" spans="2:9">
      <c r="C978" s="33">
        <v>2.3149999999999999</v>
      </c>
      <c r="D978" s="23">
        <v>154</v>
      </c>
      <c r="E978" s="23">
        <v>102</v>
      </c>
      <c r="F978" s="23">
        <v>40.96</v>
      </c>
      <c r="G978" s="23">
        <v>529.70000000000005</v>
      </c>
      <c r="H978" s="23">
        <v>5.0819999999999999</v>
      </c>
      <c r="I978" s="13">
        <f t="shared" si="15"/>
        <v>2.490234375</v>
      </c>
    </row>
    <row r="979" spans="2:9">
      <c r="C979" s="33">
        <v>2.3359999999999999</v>
      </c>
      <c r="D979" s="23">
        <v>105.9</v>
      </c>
      <c r="E979" s="23">
        <v>102.1</v>
      </c>
      <c r="F979" s="23">
        <v>40.78</v>
      </c>
      <c r="G979" s="23">
        <v>536.1</v>
      </c>
      <c r="H979" s="23">
        <v>5.383</v>
      </c>
      <c r="I979" s="13">
        <f t="shared" si="15"/>
        <v>2.5036782736635605</v>
      </c>
    </row>
    <row r="980" spans="2:9">
      <c r="C980" s="33">
        <v>2.3159999999999998</v>
      </c>
      <c r="D980" s="23">
        <v>113.2</v>
      </c>
      <c r="E980" s="23">
        <v>102.2</v>
      </c>
      <c r="F980" s="23">
        <v>40.6</v>
      </c>
      <c r="G980" s="23">
        <v>533</v>
      </c>
      <c r="H980" s="23">
        <v>5.5419999999999998</v>
      </c>
      <c r="I980" s="13">
        <f t="shared" si="15"/>
        <v>2.5172413793103448</v>
      </c>
    </row>
    <row r="981" spans="2:9">
      <c r="C981" s="33">
        <v>2.3039999999999998</v>
      </c>
      <c r="D981" s="23">
        <v>102.9</v>
      </c>
      <c r="E981" s="23">
        <v>102.1</v>
      </c>
      <c r="F981" s="23">
        <v>40.42</v>
      </c>
      <c r="G981" s="23">
        <v>538.1</v>
      </c>
      <c r="H981" s="23">
        <v>5.2249999999999996</v>
      </c>
      <c r="I981" s="13">
        <f t="shared" si="15"/>
        <v>2.5259772389905986</v>
      </c>
    </row>
    <row r="982" spans="2:9">
      <c r="B982" s="35">
        <v>50</v>
      </c>
      <c r="C982" s="36">
        <v>2.6579999999999999</v>
      </c>
      <c r="D982" s="38">
        <v>149</v>
      </c>
      <c r="E982" s="38">
        <v>106.7</v>
      </c>
      <c r="F982" s="38">
        <v>28.96</v>
      </c>
      <c r="G982" s="38">
        <v>507.9</v>
      </c>
      <c r="H982" s="38">
        <v>6.2859999999999996</v>
      </c>
      <c r="I982" s="13">
        <f t="shared" si="15"/>
        <v>3.6843922651933703</v>
      </c>
    </row>
    <row r="983" spans="2:9">
      <c r="C983" s="33">
        <v>2.5569999999999999</v>
      </c>
      <c r="D983" s="23">
        <v>148.69999999999999</v>
      </c>
      <c r="E983" s="23">
        <v>106.1</v>
      </c>
      <c r="F983" s="23">
        <v>29.19</v>
      </c>
      <c r="G983" s="23">
        <v>515</v>
      </c>
      <c r="H983" s="23">
        <v>5.9649999999999999</v>
      </c>
      <c r="I983" s="13">
        <f t="shared" si="15"/>
        <v>3.6348064405618361</v>
      </c>
    </row>
    <row r="984" spans="2:9">
      <c r="C984" s="33">
        <v>2.57</v>
      </c>
      <c r="D984" s="23">
        <v>163</v>
      </c>
      <c r="E984" s="23">
        <v>106</v>
      </c>
      <c r="F984" s="23">
        <v>28.44</v>
      </c>
      <c r="G984" s="23">
        <v>518.20000000000005</v>
      </c>
      <c r="H984" s="23">
        <v>6.0759999999999996</v>
      </c>
      <c r="I984" s="13">
        <f t="shared" si="15"/>
        <v>3.7271448663853723</v>
      </c>
    </row>
    <row r="985" spans="2:9">
      <c r="C985" s="33">
        <v>2.5529999999999999</v>
      </c>
      <c r="D985" s="23">
        <v>154.80000000000001</v>
      </c>
      <c r="E985" s="23">
        <v>105.9</v>
      </c>
      <c r="F985" s="23">
        <v>28.27</v>
      </c>
      <c r="G985" s="23">
        <v>517.29999999999995</v>
      </c>
      <c r="H985" s="23">
        <v>6.0069999999999997</v>
      </c>
      <c r="I985" s="13">
        <f t="shared" si="15"/>
        <v>3.7460205164485321</v>
      </c>
    </row>
    <row r="986" spans="2:9">
      <c r="C986" s="33">
        <v>2.5259999999999998</v>
      </c>
      <c r="D986" s="23">
        <v>122</v>
      </c>
      <c r="E986" s="23">
        <v>106.2</v>
      </c>
      <c r="F986" s="23">
        <v>28.48</v>
      </c>
      <c r="G986" s="23">
        <v>515.9</v>
      </c>
      <c r="H986" s="23">
        <v>5.9820000000000002</v>
      </c>
      <c r="I986" s="13">
        <f t="shared" si="15"/>
        <v>3.7289325842696628</v>
      </c>
    </row>
    <row r="987" spans="2:9">
      <c r="C987" s="33">
        <v>2.5390000000000001</v>
      </c>
      <c r="D987" s="23">
        <v>113.9</v>
      </c>
      <c r="E987" s="23">
        <v>106.3</v>
      </c>
      <c r="F987" s="23">
        <v>28.86</v>
      </c>
      <c r="G987" s="23">
        <v>513.29999999999995</v>
      </c>
      <c r="H987" s="23">
        <v>5.9619999999999997</v>
      </c>
      <c r="I987" s="13">
        <f t="shared" si="15"/>
        <v>3.6832986832986832</v>
      </c>
    </row>
    <row r="988" spans="2:9">
      <c r="C988" s="33">
        <v>2.5619999999999998</v>
      </c>
      <c r="D988" s="23">
        <v>121.7</v>
      </c>
      <c r="E988" s="23">
        <v>106.1</v>
      </c>
      <c r="F988" s="23">
        <v>28.77</v>
      </c>
      <c r="G988" s="23">
        <v>512.79999999999995</v>
      </c>
      <c r="H988" s="23">
        <v>6.0540000000000003</v>
      </c>
      <c r="I988" s="13">
        <f t="shared" si="15"/>
        <v>3.6878693083072642</v>
      </c>
    </row>
    <row r="989" spans="2:9">
      <c r="C989" s="33">
        <v>2.58</v>
      </c>
      <c r="D989" s="23">
        <v>121.6</v>
      </c>
      <c r="E989" s="23">
        <v>106.2</v>
      </c>
      <c r="F989" s="23">
        <v>28.01</v>
      </c>
      <c r="G989" s="23">
        <v>513</v>
      </c>
      <c r="H989" s="23">
        <v>6.0049999999999999</v>
      </c>
      <c r="I989" s="13">
        <f t="shared" si="15"/>
        <v>3.7915030346304892</v>
      </c>
    </row>
    <row r="990" spans="2:9">
      <c r="C990" s="33">
        <v>2.6269999999999998</v>
      </c>
      <c r="D990" s="23">
        <v>111.9</v>
      </c>
      <c r="E990" s="23">
        <v>106.1</v>
      </c>
      <c r="F990" s="23">
        <v>28.2</v>
      </c>
      <c r="G990" s="23">
        <v>507.7</v>
      </c>
      <c r="H990" s="23">
        <v>5.7960000000000003</v>
      </c>
      <c r="I990" s="13">
        <f t="shared" si="15"/>
        <v>3.7624113475177303</v>
      </c>
    </row>
    <row r="991" spans="2:9">
      <c r="C991" s="33">
        <v>2.669</v>
      </c>
      <c r="D991" s="23">
        <v>103</v>
      </c>
      <c r="E991" s="23">
        <v>106</v>
      </c>
      <c r="F991" s="23">
        <v>28.58</v>
      </c>
      <c r="G991" s="23">
        <v>508.6</v>
      </c>
      <c r="H991" s="23">
        <v>6.02</v>
      </c>
      <c r="I991" s="13">
        <f t="shared" si="15"/>
        <v>3.7088873337998605</v>
      </c>
    </row>
    <row r="992" spans="2:9">
      <c r="C992" s="33">
        <v>2.6850000000000001</v>
      </c>
      <c r="D992" s="23">
        <v>111.1</v>
      </c>
      <c r="E992" s="23">
        <v>106.4</v>
      </c>
      <c r="F992" s="23">
        <v>28.65</v>
      </c>
      <c r="G992" s="23">
        <v>513.20000000000005</v>
      </c>
      <c r="H992" s="23">
        <v>6.1120000000000001</v>
      </c>
      <c r="I992" s="13">
        <f t="shared" si="15"/>
        <v>3.7137870855148347</v>
      </c>
    </row>
    <row r="993" spans="2:9">
      <c r="C993" s="33">
        <v>2.6869999999999998</v>
      </c>
      <c r="D993" s="23">
        <v>135</v>
      </c>
      <c r="E993" s="23">
        <v>106.5</v>
      </c>
      <c r="F993" s="23">
        <v>28.46</v>
      </c>
      <c r="G993" s="23">
        <v>513.29999999999995</v>
      </c>
      <c r="H993" s="23">
        <v>6.2539999999999996</v>
      </c>
      <c r="I993" s="13">
        <f t="shared" si="15"/>
        <v>3.7420941672522838</v>
      </c>
    </row>
    <row r="994" spans="2:9">
      <c r="C994" s="33">
        <v>2.6739999999999999</v>
      </c>
      <c r="D994" s="23">
        <v>138.4</v>
      </c>
      <c r="E994" s="23">
        <v>106.2</v>
      </c>
      <c r="F994" s="23">
        <v>28.31</v>
      </c>
      <c r="G994" s="23">
        <v>509.1</v>
      </c>
      <c r="H994" s="23">
        <v>6.1920000000000002</v>
      </c>
      <c r="I994" s="13">
        <f t="shared" si="15"/>
        <v>3.7513246202755215</v>
      </c>
    </row>
    <row r="995" spans="2:9">
      <c r="C995" s="33">
        <v>2.5760000000000001</v>
      </c>
      <c r="D995" s="23">
        <v>135</v>
      </c>
      <c r="E995" s="23">
        <v>105.9</v>
      </c>
      <c r="F995" s="23">
        <v>28.12</v>
      </c>
      <c r="G995" s="23">
        <v>507.2</v>
      </c>
      <c r="H995" s="23">
        <v>6.25</v>
      </c>
      <c r="I995" s="13">
        <f t="shared" si="15"/>
        <v>3.7660028449502136</v>
      </c>
    </row>
    <row r="996" spans="2:9">
      <c r="C996" s="33">
        <v>2.5230000000000001</v>
      </c>
      <c r="D996" s="23">
        <v>100.7</v>
      </c>
      <c r="E996" s="23">
        <v>105.6</v>
      </c>
      <c r="F996" s="23">
        <v>28.16</v>
      </c>
      <c r="G996" s="23">
        <v>506.2</v>
      </c>
      <c r="H996" s="23">
        <v>6.48</v>
      </c>
      <c r="I996" s="13">
        <f t="shared" si="15"/>
        <v>3.75</v>
      </c>
    </row>
    <row r="997" spans="2:9">
      <c r="C997" s="33">
        <v>2.6589999999999998</v>
      </c>
      <c r="D997" s="23">
        <v>108.7</v>
      </c>
      <c r="E997" s="23">
        <v>106.3</v>
      </c>
      <c r="F997" s="23">
        <v>28.35</v>
      </c>
      <c r="G997" s="23">
        <v>503.8</v>
      </c>
      <c r="H997" s="23">
        <v>6.58</v>
      </c>
      <c r="I997" s="13">
        <f t="shared" si="15"/>
        <v>3.7495590828924161</v>
      </c>
    </row>
    <row r="998" spans="2:9">
      <c r="C998" s="33">
        <v>2.601</v>
      </c>
      <c r="D998" s="23">
        <v>111.9</v>
      </c>
      <c r="E998" s="23">
        <v>105.7</v>
      </c>
      <c r="F998" s="23">
        <v>28.77</v>
      </c>
      <c r="G998" s="23">
        <v>506.5</v>
      </c>
      <c r="H998" s="23">
        <v>6.3689999999999998</v>
      </c>
      <c r="I998" s="13">
        <f t="shared" si="15"/>
        <v>3.6739659367396595</v>
      </c>
    </row>
    <row r="999" spans="2:9">
      <c r="C999" s="33">
        <v>2.6739999999999999</v>
      </c>
      <c r="D999" s="23">
        <v>119.5</v>
      </c>
      <c r="E999" s="23">
        <v>106.3</v>
      </c>
      <c r="F999" s="23">
        <v>28.65</v>
      </c>
      <c r="G999" s="23">
        <v>511</v>
      </c>
      <c r="H999" s="23">
        <v>6.2859999999999996</v>
      </c>
      <c r="I999" s="13">
        <f t="shared" si="15"/>
        <v>3.7102966841186737</v>
      </c>
    </row>
    <row r="1000" spans="2:9">
      <c r="C1000" s="33">
        <v>2.6850000000000001</v>
      </c>
      <c r="D1000" s="23">
        <v>115</v>
      </c>
      <c r="E1000" s="23">
        <v>106.6</v>
      </c>
      <c r="F1000" s="23">
        <v>28.42</v>
      </c>
      <c r="G1000" s="23">
        <v>507</v>
      </c>
      <c r="H1000" s="23">
        <v>6.1879999999999997</v>
      </c>
      <c r="I1000" s="13">
        <f t="shared" si="15"/>
        <v>3.7508796622097109</v>
      </c>
    </row>
    <row r="1001" spans="2:9">
      <c r="C1001" s="33">
        <v>2.57</v>
      </c>
      <c r="D1001" s="23">
        <v>116.7</v>
      </c>
      <c r="E1001" s="23">
        <v>106.9</v>
      </c>
      <c r="F1001" s="23">
        <v>28.54</v>
      </c>
      <c r="G1001" s="23">
        <v>506.4</v>
      </c>
      <c r="H1001" s="23">
        <v>5.8330000000000002</v>
      </c>
      <c r="I1001" s="13">
        <f t="shared" si="15"/>
        <v>3.7456201822004207</v>
      </c>
    </row>
    <row r="1002" spans="2:9">
      <c r="B1002" s="35">
        <v>51</v>
      </c>
      <c r="C1002" s="36">
        <v>2.4279999999999999</v>
      </c>
      <c r="D1002" s="38">
        <v>205.2</v>
      </c>
      <c r="E1002" s="38">
        <v>94.67</v>
      </c>
      <c r="F1002" s="38">
        <v>30.27</v>
      </c>
      <c r="G1002" s="38">
        <v>574.1</v>
      </c>
      <c r="H1002" s="38">
        <v>5.0010000000000003</v>
      </c>
      <c r="I1002" s="13">
        <f t="shared" si="15"/>
        <v>3.1275189957053189</v>
      </c>
    </row>
    <row r="1003" spans="2:9">
      <c r="C1003" s="33">
        <v>2.4220000000000002</v>
      </c>
      <c r="D1003" s="23">
        <v>207.4</v>
      </c>
      <c r="E1003" s="23">
        <v>93.78</v>
      </c>
      <c r="F1003" s="23">
        <v>29.91</v>
      </c>
      <c r="G1003" s="23">
        <v>568.70000000000005</v>
      </c>
      <c r="H1003" s="23">
        <v>5.2930000000000001</v>
      </c>
      <c r="I1003" s="13">
        <f t="shared" si="15"/>
        <v>3.1354062186559681</v>
      </c>
    </row>
    <row r="1004" spans="2:9">
      <c r="C1004" s="33">
        <v>2.3580000000000001</v>
      </c>
      <c r="D1004" s="23">
        <v>192.2</v>
      </c>
      <c r="E1004" s="23">
        <v>93.73</v>
      </c>
      <c r="F1004" s="23">
        <v>29.75</v>
      </c>
      <c r="G1004" s="23">
        <v>576</v>
      </c>
      <c r="H1004" s="23">
        <v>5.9240000000000004</v>
      </c>
      <c r="I1004" s="13">
        <f t="shared" si="15"/>
        <v>3.1505882352941179</v>
      </c>
    </row>
    <row r="1005" spans="2:9">
      <c r="C1005" s="33">
        <v>2.456</v>
      </c>
      <c r="D1005" s="23">
        <v>312.39999999999998</v>
      </c>
      <c r="E1005" s="23">
        <v>94.75</v>
      </c>
      <c r="F1005" s="23">
        <v>29.47</v>
      </c>
      <c r="G1005" s="23">
        <v>573.1</v>
      </c>
      <c r="H1005" s="23">
        <v>5.016</v>
      </c>
      <c r="I1005" s="13">
        <f t="shared" si="15"/>
        <v>3.2151340346114696</v>
      </c>
    </row>
    <row r="1006" spans="2:9">
      <c r="C1006" s="33">
        <v>2.41</v>
      </c>
      <c r="D1006" s="23">
        <v>206.2</v>
      </c>
      <c r="E1006" s="23">
        <v>94.85</v>
      </c>
      <c r="F1006" s="23">
        <v>29.79</v>
      </c>
      <c r="G1006" s="23">
        <v>576</v>
      </c>
      <c r="H1006" s="23">
        <v>4.6079999999999997</v>
      </c>
      <c r="I1006" s="13">
        <f t="shared" si="15"/>
        <v>3.183954347096341</v>
      </c>
    </row>
    <row r="1007" spans="2:9">
      <c r="C1007" s="33">
        <v>2.298</v>
      </c>
      <c r="D1007" s="23">
        <v>336.4</v>
      </c>
      <c r="E1007" s="23">
        <v>94.16</v>
      </c>
      <c r="F1007" s="23">
        <v>29.95</v>
      </c>
      <c r="G1007" s="23">
        <v>577.4</v>
      </c>
      <c r="H1007" s="23">
        <v>5.0209999999999999</v>
      </c>
      <c r="I1007" s="13">
        <f t="shared" si="15"/>
        <v>3.1439065108514188</v>
      </c>
    </row>
    <row r="1008" spans="2:9">
      <c r="C1008" s="33">
        <v>2.3690000000000002</v>
      </c>
      <c r="D1008" s="23">
        <v>305.8</v>
      </c>
      <c r="E1008" s="23">
        <v>94.17</v>
      </c>
      <c r="F1008" s="23">
        <v>29.74</v>
      </c>
      <c r="G1008" s="23">
        <v>570.1</v>
      </c>
      <c r="H1008" s="23">
        <v>4.7229999999999999</v>
      </c>
      <c r="I1008" s="13">
        <f t="shared" si="15"/>
        <v>3.1664425016812374</v>
      </c>
    </row>
    <row r="1009" spans="2:9">
      <c r="C1009" s="33">
        <v>2.367</v>
      </c>
      <c r="D1009" s="23">
        <v>250.7</v>
      </c>
      <c r="E1009" s="23">
        <v>94.8</v>
      </c>
      <c r="F1009" s="23">
        <v>29.31</v>
      </c>
      <c r="G1009" s="23">
        <v>572.1</v>
      </c>
      <c r="H1009" s="23">
        <v>4.7320000000000002</v>
      </c>
      <c r="I1009" s="13">
        <f t="shared" si="15"/>
        <v>3.2343909928352099</v>
      </c>
    </row>
    <row r="1010" spans="2:9">
      <c r="C1010" s="33">
        <v>2.4279999999999999</v>
      </c>
      <c r="D1010" s="23">
        <v>296.5</v>
      </c>
      <c r="E1010" s="23">
        <v>94.17</v>
      </c>
      <c r="F1010" s="23">
        <v>29</v>
      </c>
      <c r="G1010" s="23">
        <v>571.29999999999995</v>
      </c>
      <c r="H1010" s="23">
        <v>4.399</v>
      </c>
      <c r="I1010" s="13">
        <f t="shared" si="15"/>
        <v>3.2472413793103447</v>
      </c>
    </row>
    <row r="1011" spans="2:9">
      <c r="C1011" s="33">
        <v>2.41</v>
      </c>
      <c r="D1011" s="23">
        <v>353.3</v>
      </c>
      <c r="E1011" s="23">
        <v>94.28</v>
      </c>
      <c r="F1011" s="23">
        <v>29.39</v>
      </c>
      <c r="G1011" s="23">
        <v>575.70000000000005</v>
      </c>
      <c r="H1011" s="23">
        <v>4.9420000000000002</v>
      </c>
      <c r="I1011" s="13">
        <f t="shared" si="15"/>
        <v>3.2078938414426674</v>
      </c>
    </row>
    <row r="1012" spans="2:9">
      <c r="C1012" s="33">
        <v>2.4580000000000002</v>
      </c>
      <c r="D1012" s="23">
        <v>220.3</v>
      </c>
      <c r="E1012" s="23">
        <v>94.15</v>
      </c>
      <c r="F1012" s="23">
        <v>29.55</v>
      </c>
      <c r="G1012" s="23">
        <v>570.6</v>
      </c>
      <c r="H1012" s="23">
        <v>4.8600000000000003</v>
      </c>
      <c r="I1012" s="13">
        <f t="shared" si="15"/>
        <v>3.1861252115059222</v>
      </c>
    </row>
    <row r="1013" spans="2:9">
      <c r="C1013" s="33">
        <v>2.456</v>
      </c>
      <c r="D1013" s="23">
        <v>197.6</v>
      </c>
      <c r="E1013" s="23">
        <v>94.37</v>
      </c>
      <c r="F1013" s="23">
        <v>29.71</v>
      </c>
      <c r="G1013" s="23">
        <v>579.6</v>
      </c>
      <c r="H1013" s="23">
        <v>4.84</v>
      </c>
      <c r="I1013" s="13">
        <f t="shared" si="15"/>
        <v>3.1763715920565465</v>
      </c>
    </row>
    <row r="1014" spans="2:9">
      <c r="C1014" s="33">
        <v>2.3879999999999999</v>
      </c>
      <c r="D1014" s="23">
        <v>322.3</v>
      </c>
      <c r="E1014" s="23">
        <v>94.49</v>
      </c>
      <c r="F1014" s="23">
        <v>29.33</v>
      </c>
      <c r="G1014" s="23">
        <v>576.1</v>
      </c>
      <c r="H1014" s="23">
        <v>4.6429999999999998</v>
      </c>
      <c r="I1014" s="13">
        <f t="shared" si="15"/>
        <v>3.2216160927378112</v>
      </c>
    </row>
    <row r="1015" spans="2:9">
      <c r="C1015" s="33">
        <v>2.3580000000000001</v>
      </c>
      <c r="D1015" s="23">
        <v>216.7</v>
      </c>
      <c r="E1015" s="23">
        <v>94.58</v>
      </c>
      <c r="F1015" s="23">
        <v>29.46</v>
      </c>
      <c r="G1015" s="23">
        <v>570.1</v>
      </c>
      <c r="H1015" s="23">
        <v>4.8090000000000002</v>
      </c>
      <c r="I1015" s="13">
        <f t="shared" si="15"/>
        <v>3.2104548540393751</v>
      </c>
    </row>
    <row r="1016" spans="2:9">
      <c r="C1016" s="33">
        <v>2.3959999999999999</v>
      </c>
      <c r="D1016" s="23">
        <v>202.6</v>
      </c>
      <c r="E1016" s="23">
        <v>94.8</v>
      </c>
      <c r="F1016" s="23">
        <v>29.66</v>
      </c>
      <c r="G1016" s="23">
        <v>572.1</v>
      </c>
      <c r="H1016" s="23">
        <v>4.7539999999999996</v>
      </c>
      <c r="I1016" s="13">
        <f t="shared" si="15"/>
        <v>3.196223870532704</v>
      </c>
    </row>
    <row r="1017" spans="2:9">
      <c r="C1017" s="33">
        <v>2.35</v>
      </c>
      <c r="D1017" s="23">
        <v>282.60000000000002</v>
      </c>
      <c r="E1017" s="23">
        <v>94.52</v>
      </c>
      <c r="F1017" s="23">
        <v>29.99</v>
      </c>
      <c r="G1017" s="23">
        <v>571.5</v>
      </c>
      <c r="H1017" s="23">
        <v>4.6879999999999997</v>
      </c>
      <c r="I1017" s="13">
        <f t="shared" si="15"/>
        <v>3.1517172390796935</v>
      </c>
    </row>
    <row r="1018" spans="2:9">
      <c r="C1018" s="33">
        <v>2.371</v>
      </c>
      <c r="D1018" s="23">
        <v>235.2</v>
      </c>
      <c r="E1018" s="23">
        <v>94.49</v>
      </c>
      <c r="F1018" s="23">
        <v>29.94</v>
      </c>
      <c r="G1018" s="23">
        <v>573.1</v>
      </c>
      <c r="H1018" s="23">
        <v>4.8360000000000003</v>
      </c>
      <c r="I1018" s="13">
        <f t="shared" si="15"/>
        <v>3.1559786239144954</v>
      </c>
    </row>
    <row r="1019" spans="2:9">
      <c r="C1019" s="33">
        <v>2.2370000000000001</v>
      </c>
      <c r="D1019" s="23">
        <v>324.2</v>
      </c>
      <c r="E1019" s="23">
        <v>94.9</v>
      </c>
      <c r="F1019" s="23">
        <v>29.49</v>
      </c>
      <c r="G1019" s="23">
        <v>573.70000000000005</v>
      </c>
      <c r="H1019" s="23">
        <v>4.8090000000000002</v>
      </c>
      <c r="I1019" s="13">
        <f t="shared" si="15"/>
        <v>3.2180400135639204</v>
      </c>
    </row>
    <row r="1020" spans="2:9">
      <c r="C1020" s="33">
        <v>2.262</v>
      </c>
      <c r="D1020" s="23">
        <v>188.2</v>
      </c>
      <c r="E1020" s="23">
        <v>95.01</v>
      </c>
      <c r="F1020" s="23">
        <v>29.33</v>
      </c>
      <c r="G1020" s="23">
        <v>570.79999999999995</v>
      </c>
      <c r="H1020" s="23">
        <v>5.0739999999999998</v>
      </c>
      <c r="I1020" s="13">
        <f t="shared" si="15"/>
        <v>3.2393453801568364</v>
      </c>
    </row>
    <row r="1021" spans="2:9">
      <c r="C1021" s="33">
        <v>2.4220000000000002</v>
      </c>
      <c r="D1021" s="23">
        <v>306.39999999999998</v>
      </c>
      <c r="E1021" s="23">
        <v>93.89</v>
      </c>
      <c r="F1021" s="23">
        <v>29.26</v>
      </c>
      <c r="G1021" s="23">
        <v>579.6</v>
      </c>
      <c r="H1021" s="23">
        <v>4.6879999999999997</v>
      </c>
      <c r="I1021" s="13">
        <f t="shared" si="15"/>
        <v>3.2088174982911823</v>
      </c>
    </row>
    <row r="1022" spans="2:9">
      <c r="B1022" s="35">
        <v>52</v>
      </c>
      <c r="C1022" s="36">
        <v>2.1909999999999998</v>
      </c>
      <c r="D1022" s="38">
        <v>115.7</v>
      </c>
      <c r="E1022" s="38">
        <v>87.72</v>
      </c>
      <c r="F1022" s="38">
        <v>32.909999999999997</v>
      </c>
      <c r="G1022" s="38">
        <v>520</v>
      </c>
      <c r="H1022" s="38">
        <v>5.5750000000000002</v>
      </c>
      <c r="I1022" s="13">
        <f t="shared" si="15"/>
        <v>2.6654512306289884</v>
      </c>
    </row>
    <row r="1023" spans="2:9">
      <c r="C1023" s="33">
        <v>2.1760000000000002</v>
      </c>
      <c r="D1023" s="23">
        <v>128.30000000000001</v>
      </c>
      <c r="E1023" s="23">
        <v>87.88</v>
      </c>
      <c r="F1023" s="23">
        <v>32.56</v>
      </c>
      <c r="G1023" s="23">
        <v>522.6</v>
      </c>
      <c r="H1023" s="23">
        <v>5.7569999999999997</v>
      </c>
      <c r="I1023" s="13">
        <f t="shared" si="15"/>
        <v>2.6990171990171987</v>
      </c>
    </row>
    <row r="1024" spans="2:9">
      <c r="C1024" s="33">
        <v>2.157</v>
      </c>
      <c r="D1024" s="23">
        <v>119.2</v>
      </c>
      <c r="E1024" s="23">
        <v>87.77</v>
      </c>
      <c r="F1024" s="23">
        <v>32.869999999999997</v>
      </c>
      <c r="G1024" s="23">
        <v>520.9</v>
      </c>
      <c r="H1024" s="23">
        <v>5.9560000000000004</v>
      </c>
      <c r="I1024" s="13">
        <f t="shared" si="15"/>
        <v>2.6702160024338304</v>
      </c>
    </row>
    <row r="1025" spans="3:9">
      <c r="C1025" s="33">
        <v>2.1640000000000001</v>
      </c>
      <c r="D1025" s="23">
        <v>137</v>
      </c>
      <c r="E1025" s="23">
        <v>87.18</v>
      </c>
      <c r="F1025" s="23">
        <v>32.909999999999997</v>
      </c>
      <c r="G1025" s="23">
        <v>519.5</v>
      </c>
      <c r="H1025" s="23">
        <v>5.98</v>
      </c>
      <c r="I1025" s="13">
        <f t="shared" si="15"/>
        <v>2.6490428441203289</v>
      </c>
    </row>
    <row r="1026" spans="3:9">
      <c r="C1026" s="33">
        <v>2.1539999999999999</v>
      </c>
      <c r="D1026" s="23">
        <v>132.1</v>
      </c>
      <c r="E1026" s="23">
        <v>87.66</v>
      </c>
      <c r="F1026" s="23">
        <v>32.69</v>
      </c>
      <c r="G1026" s="23">
        <v>524.6</v>
      </c>
      <c r="H1026" s="23">
        <v>5.984</v>
      </c>
      <c r="I1026" s="13">
        <f t="shared" si="15"/>
        <v>2.6815539920464975</v>
      </c>
    </row>
    <row r="1027" spans="3:9">
      <c r="C1027" s="33">
        <v>2.1619999999999999</v>
      </c>
      <c r="D1027" s="23">
        <v>113.9</v>
      </c>
      <c r="E1027" s="23">
        <v>87.72</v>
      </c>
      <c r="F1027" s="23">
        <v>32.58</v>
      </c>
      <c r="G1027" s="23">
        <v>520.70000000000005</v>
      </c>
      <c r="H1027" s="23">
        <v>5.8449999999999998</v>
      </c>
      <c r="I1027" s="13">
        <f t="shared" ref="I1027:I1090" si="16">E1027/F1027</f>
        <v>2.6924493554327809</v>
      </c>
    </row>
    <row r="1028" spans="3:9">
      <c r="C1028" s="33">
        <v>2.1720000000000002</v>
      </c>
      <c r="D1028" s="23">
        <v>119.2</v>
      </c>
      <c r="E1028" s="23">
        <v>87.83</v>
      </c>
      <c r="F1028" s="23">
        <v>32.74</v>
      </c>
      <c r="G1028" s="23">
        <v>523.70000000000005</v>
      </c>
      <c r="H1028" s="23">
        <v>5.9020000000000001</v>
      </c>
      <c r="I1028" s="13">
        <f t="shared" si="16"/>
        <v>2.6826511912034205</v>
      </c>
    </row>
    <row r="1029" spans="3:9">
      <c r="C1029" s="33">
        <v>2.1539999999999999</v>
      </c>
      <c r="D1029" s="23">
        <v>146.9</v>
      </c>
      <c r="E1029" s="23">
        <v>87.31</v>
      </c>
      <c r="F1029" s="23">
        <v>32.520000000000003</v>
      </c>
      <c r="G1029" s="23">
        <v>527.29999999999995</v>
      </c>
      <c r="H1029" s="23">
        <v>5.6619999999999999</v>
      </c>
      <c r="I1029" s="13">
        <f t="shared" si="16"/>
        <v>2.6848093480934807</v>
      </c>
    </row>
    <row r="1030" spans="3:9">
      <c r="C1030" s="33">
        <v>2.1989999999999998</v>
      </c>
      <c r="D1030" s="23">
        <v>143.19999999999999</v>
      </c>
      <c r="E1030" s="23">
        <v>87.41</v>
      </c>
      <c r="F1030" s="23">
        <v>32.090000000000003</v>
      </c>
      <c r="G1030" s="23">
        <v>521.4</v>
      </c>
      <c r="H1030" s="23">
        <v>5.5460000000000003</v>
      </c>
      <c r="I1030" s="13">
        <f t="shared" si="16"/>
        <v>2.7239015269554376</v>
      </c>
    </row>
    <row r="1031" spans="3:9">
      <c r="C1031" s="33">
        <v>2.1960000000000002</v>
      </c>
      <c r="D1031" s="23">
        <v>111.4</v>
      </c>
      <c r="E1031" s="23">
        <v>87.14</v>
      </c>
      <c r="F1031" s="23">
        <v>32.25</v>
      </c>
      <c r="G1031" s="23">
        <v>519.79999999999995</v>
      </c>
      <c r="H1031" s="23">
        <v>5.76</v>
      </c>
      <c r="I1031" s="13">
        <f t="shared" si="16"/>
        <v>2.7020155038759692</v>
      </c>
    </row>
    <row r="1032" spans="3:9">
      <c r="C1032" s="33">
        <v>2.2160000000000002</v>
      </c>
      <c r="D1032" s="23">
        <v>132.6</v>
      </c>
      <c r="E1032" s="23">
        <v>87.96</v>
      </c>
      <c r="F1032" s="23">
        <v>32.36</v>
      </c>
      <c r="G1032" s="23">
        <v>522</v>
      </c>
      <c r="H1032" s="23">
        <v>5.4820000000000002</v>
      </c>
      <c r="I1032" s="13">
        <f t="shared" si="16"/>
        <v>2.718170580964153</v>
      </c>
    </row>
    <row r="1033" spans="3:9">
      <c r="C1033" s="33">
        <v>2.2029999999999998</v>
      </c>
      <c r="D1033" s="23">
        <v>183.2</v>
      </c>
      <c r="E1033" s="23">
        <v>87.86</v>
      </c>
      <c r="F1033" s="23">
        <v>32.47</v>
      </c>
      <c r="G1033" s="23">
        <v>522.9</v>
      </c>
      <c r="H1033" s="23">
        <v>5.4889999999999999</v>
      </c>
      <c r="I1033" s="13">
        <f t="shared" si="16"/>
        <v>2.7058823529411766</v>
      </c>
    </row>
    <row r="1034" spans="3:9">
      <c r="C1034" s="33">
        <v>2.1930000000000001</v>
      </c>
      <c r="D1034" s="23">
        <v>210.9</v>
      </c>
      <c r="E1034" s="23">
        <v>87.76</v>
      </c>
      <c r="F1034" s="23">
        <v>32.299999999999997</v>
      </c>
      <c r="G1034" s="23">
        <v>525.5</v>
      </c>
      <c r="H1034" s="23">
        <v>5.2679999999999998</v>
      </c>
      <c r="I1034" s="13">
        <f t="shared" si="16"/>
        <v>2.7170278637770902</v>
      </c>
    </row>
    <row r="1035" spans="3:9">
      <c r="C1035" s="33">
        <v>2.1779999999999999</v>
      </c>
      <c r="D1035" s="23">
        <v>148.5</v>
      </c>
      <c r="E1035" s="23">
        <v>87.47</v>
      </c>
      <c r="F1035" s="23">
        <v>32.630000000000003</v>
      </c>
      <c r="G1035" s="23">
        <v>529.5</v>
      </c>
      <c r="H1035" s="23">
        <v>5.3029999999999999</v>
      </c>
      <c r="I1035" s="13">
        <f t="shared" si="16"/>
        <v>2.6806619675145571</v>
      </c>
    </row>
    <row r="1036" spans="3:9">
      <c r="C1036" s="33">
        <v>2.1920000000000002</v>
      </c>
      <c r="D1036" s="23">
        <v>139.80000000000001</v>
      </c>
      <c r="E1036" s="23">
        <v>87.78</v>
      </c>
      <c r="F1036" s="23">
        <v>32.6</v>
      </c>
      <c r="G1036" s="23">
        <v>517.79999999999995</v>
      </c>
      <c r="H1036" s="23">
        <v>5.1589999999999998</v>
      </c>
      <c r="I1036" s="13">
        <f t="shared" si="16"/>
        <v>2.6926380368098157</v>
      </c>
    </row>
    <row r="1037" spans="3:9">
      <c r="C1037" s="33">
        <v>2.206</v>
      </c>
      <c r="D1037" s="23">
        <v>148.5</v>
      </c>
      <c r="E1037" s="23">
        <v>87.89</v>
      </c>
      <c r="F1037" s="23">
        <v>32.090000000000003</v>
      </c>
      <c r="G1037" s="23">
        <v>523.70000000000005</v>
      </c>
      <c r="H1037" s="23">
        <v>5.4660000000000002</v>
      </c>
      <c r="I1037" s="13">
        <f t="shared" si="16"/>
        <v>2.7388594577750074</v>
      </c>
    </row>
    <row r="1038" spans="3:9">
      <c r="C1038" s="33">
        <v>2.2130000000000001</v>
      </c>
      <c r="D1038" s="23">
        <v>164.7</v>
      </c>
      <c r="E1038" s="23">
        <v>87.35</v>
      </c>
      <c r="F1038" s="23">
        <v>32.15</v>
      </c>
      <c r="G1038" s="23">
        <v>524.79999999999995</v>
      </c>
      <c r="H1038" s="23">
        <v>5.3339999999999996</v>
      </c>
      <c r="I1038" s="13">
        <f t="shared" si="16"/>
        <v>2.7169517884914463</v>
      </c>
    </row>
    <row r="1039" spans="3:9">
      <c r="C1039" s="33">
        <v>2.1869999999999998</v>
      </c>
      <c r="D1039" s="23">
        <v>178.6</v>
      </c>
      <c r="E1039" s="23">
        <v>87.25</v>
      </c>
      <c r="F1039" s="23">
        <v>32.520000000000003</v>
      </c>
      <c r="G1039" s="23">
        <v>529.4</v>
      </c>
      <c r="H1039" s="23">
        <v>5.2480000000000002</v>
      </c>
      <c r="I1039" s="13">
        <f t="shared" si="16"/>
        <v>2.6829643296432963</v>
      </c>
    </row>
    <row r="1040" spans="3:9">
      <c r="C1040" s="33">
        <v>2.1880000000000002</v>
      </c>
      <c r="D1040" s="23">
        <v>220.4</v>
      </c>
      <c r="E1040" s="23">
        <v>87.14</v>
      </c>
      <c r="F1040" s="23">
        <v>32.58</v>
      </c>
      <c r="G1040" s="23">
        <v>522.9</v>
      </c>
      <c r="H1040" s="23">
        <v>5.76</v>
      </c>
      <c r="I1040" s="13">
        <f t="shared" si="16"/>
        <v>2.6746470227133212</v>
      </c>
    </row>
    <row r="1041" spans="2:9">
      <c r="C1041" s="33">
        <v>2.1629999999999998</v>
      </c>
      <c r="D1041" s="23">
        <v>174.1</v>
      </c>
      <c r="E1041" s="23">
        <v>87.01</v>
      </c>
      <c r="F1041" s="23">
        <v>32.44</v>
      </c>
      <c r="G1041" s="23">
        <v>531.6</v>
      </c>
      <c r="H1041" s="23">
        <v>5.8479999999999999</v>
      </c>
      <c r="I1041" s="13">
        <f t="shared" si="16"/>
        <v>2.6821824907521581</v>
      </c>
    </row>
    <row r="1042" spans="2:9">
      <c r="B1042" s="35">
        <v>53</v>
      </c>
      <c r="C1042" s="36">
        <v>2.4</v>
      </c>
      <c r="D1042" s="38">
        <v>242.9</v>
      </c>
      <c r="E1042" s="38">
        <v>97.51</v>
      </c>
      <c r="F1042" s="38">
        <v>32.43</v>
      </c>
      <c r="G1042" s="38">
        <v>517.9</v>
      </c>
      <c r="H1042" s="38">
        <v>5.2720000000000002</v>
      </c>
      <c r="I1042" s="13">
        <f t="shared" si="16"/>
        <v>3.0067838421214925</v>
      </c>
    </row>
    <row r="1043" spans="2:9">
      <c r="C1043" s="33">
        <v>2.4660000000000002</v>
      </c>
      <c r="D1043" s="23">
        <v>184.7</v>
      </c>
      <c r="E1043" s="23">
        <v>97.32</v>
      </c>
      <c r="F1043" s="23">
        <v>32.81</v>
      </c>
      <c r="G1043" s="23">
        <v>524.5</v>
      </c>
      <c r="H1043" s="23">
        <v>5.1429999999999998</v>
      </c>
      <c r="I1043" s="13">
        <f t="shared" si="16"/>
        <v>2.9661688509600728</v>
      </c>
    </row>
    <row r="1044" spans="2:9">
      <c r="C1044" s="33">
        <v>2.4900000000000002</v>
      </c>
      <c r="D1044" s="23">
        <v>242.7</v>
      </c>
      <c r="E1044" s="23">
        <v>97.32</v>
      </c>
      <c r="F1044" s="23">
        <v>32.619999999999997</v>
      </c>
      <c r="G1044" s="23">
        <v>516.6</v>
      </c>
      <c r="H1044" s="23">
        <v>5.1929999999999996</v>
      </c>
      <c r="I1044" s="13">
        <f t="shared" si="16"/>
        <v>2.9834457388105458</v>
      </c>
    </row>
    <row r="1045" spans="2:9">
      <c r="C1045" s="33">
        <v>2.5</v>
      </c>
      <c r="D1045" s="23">
        <v>192.3</v>
      </c>
      <c r="E1045" s="23">
        <v>97.71</v>
      </c>
      <c r="F1045" s="23">
        <v>33.409999999999997</v>
      </c>
      <c r="G1045" s="23">
        <v>521</v>
      </c>
      <c r="H1045" s="23">
        <v>5.2370000000000001</v>
      </c>
      <c r="I1045" s="13">
        <f t="shared" si="16"/>
        <v>2.9245734809937147</v>
      </c>
    </row>
    <row r="1046" spans="2:9">
      <c r="C1046" s="33">
        <v>2.496</v>
      </c>
      <c r="D1046" s="23">
        <v>216.7</v>
      </c>
      <c r="E1046" s="23">
        <v>97.9</v>
      </c>
      <c r="F1046" s="23">
        <v>32.83</v>
      </c>
      <c r="G1046" s="23">
        <v>523.4</v>
      </c>
      <c r="H1046" s="23">
        <v>5.4109999999999996</v>
      </c>
      <c r="I1046" s="13">
        <f t="shared" si="16"/>
        <v>2.9820286323484622</v>
      </c>
    </row>
    <row r="1047" spans="2:9">
      <c r="C1047" s="33">
        <v>2.3290000000000002</v>
      </c>
      <c r="D1047" s="23">
        <v>247.7</v>
      </c>
      <c r="E1047" s="23">
        <v>97.51</v>
      </c>
      <c r="F1047" s="23">
        <v>32.81</v>
      </c>
      <c r="G1047" s="23">
        <v>517.1</v>
      </c>
      <c r="H1047" s="23">
        <v>5.4139999999999997</v>
      </c>
      <c r="I1047" s="13">
        <f t="shared" si="16"/>
        <v>2.9719597683633037</v>
      </c>
    </row>
    <row r="1048" spans="2:9">
      <c r="C1048" s="33">
        <v>2.2999999999999998</v>
      </c>
      <c r="D1048" s="23">
        <v>180.3</v>
      </c>
      <c r="E1048" s="23">
        <v>97.52</v>
      </c>
      <c r="F1048" s="23">
        <v>32.79</v>
      </c>
      <c r="G1048" s="23">
        <v>524.79999999999995</v>
      </c>
      <c r="H1048" s="23">
        <v>5.7869999999999999</v>
      </c>
      <c r="I1048" s="13">
        <f t="shared" si="16"/>
        <v>2.9740774626410489</v>
      </c>
    </row>
    <row r="1049" spans="2:9">
      <c r="C1049" s="33">
        <v>2.3740000000000001</v>
      </c>
      <c r="D1049" s="23">
        <v>212.7</v>
      </c>
      <c r="E1049" s="23">
        <v>97.72</v>
      </c>
      <c r="F1049" s="23">
        <v>32.46</v>
      </c>
      <c r="G1049" s="23">
        <v>527</v>
      </c>
      <c r="H1049" s="23">
        <v>5.625</v>
      </c>
      <c r="I1049" s="13">
        <f t="shared" si="16"/>
        <v>3.0104744300677755</v>
      </c>
    </row>
    <row r="1050" spans="2:9">
      <c r="C1050" s="33">
        <v>2.4300000000000002</v>
      </c>
      <c r="D1050" s="23">
        <v>188</v>
      </c>
      <c r="E1050" s="23">
        <v>97.73</v>
      </c>
      <c r="F1050" s="23">
        <v>32.47</v>
      </c>
      <c r="G1050" s="23">
        <v>516</v>
      </c>
      <c r="H1050" s="23">
        <v>6.0030000000000001</v>
      </c>
      <c r="I1050" s="13">
        <f t="shared" si="16"/>
        <v>3.009855251000924</v>
      </c>
    </row>
    <row r="1051" spans="2:9">
      <c r="C1051" s="33">
        <v>2.4460000000000002</v>
      </c>
      <c r="D1051" s="23">
        <v>226.5</v>
      </c>
      <c r="E1051" s="23">
        <v>97.74</v>
      </c>
      <c r="F1051" s="23">
        <v>32.49</v>
      </c>
      <c r="G1051" s="23">
        <v>518.20000000000005</v>
      </c>
      <c r="H1051" s="23">
        <v>6.1909999999999998</v>
      </c>
      <c r="I1051" s="13">
        <f t="shared" si="16"/>
        <v>3.0083102493074789</v>
      </c>
    </row>
    <row r="1052" spans="2:9">
      <c r="C1052" s="33">
        <v>2.4079999999999999</v>
      </c>
      <c r="D1052" s="23">
        <v>173.7</v>
      </c>
      <c r="E1052" s="23">
        <v>97.33</v>
      </c>
      <c r="F1052" s="23">
        <v>32.69</v>
      </c>
      <c r="G1052" s="23">
        <v>523.6</v>
      </c>
      <c r="H1052" s="23">
        <v>5.8540000000000001</v>
      </c>
      <c r="I1052" s="13">
        <f t="shared" si="16"/>
        <v>2.9773631079840932</v>
      </c>
    </row>
    <row r="1053" spans="2:9">
      <c r="C1053" s="33">
        <v>2.4820000000000002</v>
      </c>
      <c r="D1053" s="23">
        <v>247.7</v>
      </c>
      <c r="E1053" s="23">
        <v>97.32</v>
      </c>
      <c r="F1053" s="23">
        <v>32.5</v>
      </c>
      <c r="G1053" s="23">
        <v>517.1</v>
      </c>
      <c r="H1053" s="23">
        <v>5.4640000000000004</v>
      </c>
      <c r="I1053" s="13">
        <f t="shared" si="16"/>
        <v>2.9944615384615383</v>
      </c>
    </row>
    <row r="1054" spans="2:9">
      <c r="C1054" s="33">
        <v>2.5409999999999999</v>
      </c>
      <c r="D1054" s="23">
        <v>267</v>
      </c>
      <c r="E1054" s="23">
        <v>97.7</v>
      </c>
      <c r="F1054" s="23">
        <v>32.659999999999997</v>
      </c>
      <c r="G1054" s="23">
        <v>519.20000000000005</v>
      </c>
      <c r="H1054" s="23">
        <v>5.1429999999999998</v>
      </c>
      <c r="I1054" s="13">
        <f t="shared" si="16"/>
        <v>2.9914268218003679</v>
      </c>
    </row>
    <row r="1055" spans="2:9">
      <c r="C1055" s="33">
        <v>2.5059999999999998</v>
      </c>
      <c r="D1055" s="23">
        <v>244.6</v>
      </c>
      <c r="E1055" s="23">
        <v>97.5</v>
      </c>
      <c r="F1055" s="23">
        <v>32.83</v>
      </c>
      <c r="G1055" s="23">
        <v>526.79999999999995</v>
      </c>
      <c r="H1055" s="23">
        <v>5.2720000000000002</v>
      </c>
      <c r="I1055" s="13">
        <f t="shared" si="16"/>
        <v>2.9698446542796226</v>
      </c>
    </row>
    <row r="1056" spans="2:9">
      <c r="C1056" s="33">
        <v>2.355</v>
      </c>
      <c r="D1056" s="23">
        <v>244.1</v>
      </c>
      <c r="E1056" s="23">
        <v>97.9</v>
      </c>
      <c r="F1056" s="23">
        <v>32.81</v>
      </c>
      <c r="G1056" s="23">
        <v>527</v>
      </c>
      <c r="H1056" s="23">
        <v>5.5490000000000004</v>
      </c>
      <c r="I1056" s="13">
        <f t="shared" si="16"/>
        <v>2.9838463882962509</v>
      </c>
    </row>
    <row r="1057" spans="2:9">
      <c r="C1057" s="33">
        <v>2.4209999999999998</v>
      </c>
      <c r="D1057" s="23">
        <v>246.8</v>
      </c>
      <c r="E1057" s="23">
        <v>97.71</v>
      </c>
      <c r="F1057" s="23">
        <v>32.799999999999997</v>
      </c>
      <c r="G1057" s="23">
        <v>521.20000000000005</v>
      </c>
      <c r="H1057" s="23">
        <v>5.7990000000000004</v>
      </c>
      <c r="I1057" s="13">
        <f t="shared" si="16"/>
        <v>2.9789634146341464</v>
      </c>
    </row>
    <row r="1058" spans="2:9">
      <c r="C1058" s="33">
        <v>2.4649999999999999</v>
      </c>
      <c r="D1058" s="23">
        <v>192.9</v>
      </c>
      <c r="E1058" s="23">
        <v>97.51</v>
      </c>
      <c r="F1058" s="23">
        <v>32.840000000000003</v>
      </c>
      <c r="G1058" s="23">
        <v>520</v>
      </c>
      <c r="H1058" s="23">
        <v>5.9710000000000001</v>
      </c>
      <c r="I1058" s="13">
        <f t="shared" si="16"/>
        <v>2.9692448233861142</v>
      </c>
    </row>
    <row r="1059" spans="2:9">
      <c r="C1059" s="33">
        <v>2.5059999999999998</v>
      </c>
      <c r="D1059" s="23">
        <v>241.3</v>
      </c>
      <c r="E1059" s="23">
        <v>97.13</v>
      </c>
      <c r="F1059" s="23">
        <v>32.270000000000003</v>
      </c>
      <c r="G1059" s="23">
        <v>524.29999999999995</v>
      </c>
      <c r="H1059" s="23">
        <v>5.7380000000000004</v>
      </c>
      <c r="I1059" s="13">
        <f t="shared" si="16"/>
        <v>3.0099163309575454</v>
      </c>
    </row>
    <row r="1060" spans="2:9">
      <c r="C1060" s="33">
        <v>2.4889999999999999</v>
      </c>
      <c r="D1060" s="23">
        <v>257.3</v>
      </c>
      <c r="E1060" s="23">
        <v>97.52</v>
      </c>
      <c r="F1060" s="23">
        <v>32.270000000000003</v>
      </c>
      <c r="G1060" s="23">
        <v>517.4</v>
      </c>
      <c r="H1060" s="23">
        <v>5.2720000000000002</v>
      </c>
      <c r="I1060" s="13">
        <f t="shared" si="16"/>
        <v>3.0220018593120543</v>
      </c>
    </row>
    <row r="1061" spans="2:9">
      <c r="C1061" s="33">
        <v>2.4500000000000002</v>
      </c>
      <c r="D1061" s="23">
        <v>173.7</v>
      </c>
      <c r="E1061" s="23">
        <v>98.09</v>
      </c>
      <c r="F1061" s="23">
        <v>32.68</v>
      </c>
      <c r="G1061" s="23">
        <v>523.70000000000005</v>
      </c>
      <c r="H1061" s="23">
        <v>5.9279999999999999</v>
      </c>
      <c r="I1061" s="13">
        <f t="shared" si="16"/>
        <v>3.0015299877600978</v>
      </c>
    </row>
    <row r="1062" spans="2:9">
      <c r="B1062" s="35">
        <v>54</v>
      </c>
      <c r="C1062" s="36">
        <v>2.1280000000000001</v>
      </c>
      <c r="D1062" s="38">
        <v>149.80000000000001</v>
      </c>
      <c r="E1062" s="38">
        <v>99.44</v>
      </c>
      <c r="F1062" s="38">
        <v>33.46</v>
      </c>
      <c r="G1062" s="38">
        <v>551.70000000000005</v>
      </c>
      <c r="H1062" s="38">
        <v>4.4989999999999997</v>
      </c>
      <c r="I1062" s="13">
        <f t="shared" si="16"/>
        <v>2.9719067543335322</v>
      </c>
    </row>
    <row r="1063" spans="2:9">
      <c r="C1063" s="33">
        <v>2.069</v>
      </c>
      <c r="D1063" s="23">
        <v>183</v>
      </c>
      <c r="E1063" s="23">
        <v>99.98</v>
      </c>
      <c r="F1063" s="23">
        <v>33.450000000000003</v>
      </c>
      <c r="G1063" s="23">
        <v>557.5</v>
      </c>
      <c r="H1063" s="23">
        <v>4.1390000000000002</v>
      </c>
      <c r="I1063" s="13">
        <f t="shared" si="16"/>
        <v>2.9889387144992523</v>
      </c>
    </row>
    <row r="1064" spans="2:9">
      <c r="C1064" s="33">
        <v>2.1360000000000001</v>
      </c>
      <c r="D1064" s="23">
        <v>159.5</v>
      </c>
      <c r="E1064" s="23">
        <v>99.34</v>
      </c>
      <c r="F1064" s="23">
        <v>33.369999999999997</v>
      </c>
      <c r="G1064" s="23">
        <v>553.5</v>
      </c>
      <c r="H1064" s="23">
        <v>4.0709999999999997</v>
      </c>
      <c r="I1064" s="13">
        <f t="shared" si="16"/>
        <v>2.9769253820797128</v>
      </c>
    </row>
    <row r="1065" spans="2:9">
      <c r="C1065" s="33">
        <v>2.141</v>
      </c>
      <c r="D1065" s="23">
        <v>158.6</v>
      </c>
      <c r="E1065" s="23">
        <v>99.67</v>
      </c>
      <c r="F1065" s="23">
        <v>33.619999999999997</v>
      </c>
      <c r="G1065" s="23">
        <v>571.9</v>
      </c>
      <c r="H1065" s="23">
        <v>4.51</v>
      </c>
      <c r="I1065" s="13">
        <f t="shared" si="16"/>
        <v>2.9646044021415827</v>
      </c>
    </row>
    <row r="1066" spans="2:9">
      <c r="C1066" s="33">
        <v>2.1549999999999998</v>
      </c>
      <c r="D1066" s="23">
        <v>185.8</v>
      </c>
      <c r="E1066" s="23">
        <v>99.54</v>
      </c>
      <c r="F1066" s="23">
        <v>33.89</v>
      </c>
      <c r="G1066" s="23">
        <v>557.9</v>
      </c>
      <c r="H1066" s="23">
        <v>4.0910000000000002</v>
      </c>
      <c r="I1066" s="13">
        <f t="shared" si="16"/>
        <v>2.937149601652405</v>
      </c>
    </row>
    <row r="1067" spans="2:9">
      <c r="C1067" s="33">
        <v>2.15</v>
      </c>
      <c r="D1067" s="23">
        <v>171.5</v>
      </c>
      <c r="E1067" s="23">
        <v>99.14</v>
      </c>
      <c r="F1067" s="23">
        <v>33.81</v>
      </c>
      <c r="G1067" s="23">
        <v>551</v>
      </c>
      <c r="H1067" s="23">
        <v>4.0910000000000002</v>
      </c>
      <c r="I1067" s="13">
        <f t="shared" si="16"/>
        <v>2.9322685595977518</v>
      </c>
    </row>
    <row r="1068" spans="2:9">
      <c r="C1068" s="33">
        <v>2.1819999999999999</v>
      </c>
      <c r="D1068" s="23">
        <v>215</v>
      </c>
      <c r="E1068" s="23">
        <v>99.43</v>
      </c>
      <c r="F1068" s="23">
        <v>33.64</v>
      </c>
      <c r="G1068" s="23">
        <v>558.6</v>
      </c>
      <c r="H1068" s="23">
        <v>4.0579999999999998</v>
      </c>
      <c r="I1068" s="13">
        <f t="shared" si="16"/>
        <v>2.9557074910820456</v>
      </c>
    </row>
    <row r="1069" spans="2:9">
      <c r="C1069" s="33">
        <v>2.1549999999999998</v>
      </c>
      <c r="D1069" s="23">
        <v>249.8</v>
      </c>
      <c r="E1069" s="23">
        <v>99.2</v>
      </c>
      <c r="F1069" s="23">
        <v>33.56</v>
      </c>
      <c r="G1069" s="23">
        <v>556.4</v>
      </c>
      <c r="H1069" s="23">
        <v>4.2430000000000003</v>
      </c>
      <c r="I1069" s="13">
        <f t="shared" si="16"/>
        <v>2.9558998808104886</v>
      </c>
    </row>
    <row r="1070" spans="2:9">
      <c r="C1070" s="33">
        <v>2.1469999999999998</v>
      </c>
      <c r="D1070" s="23">
        <v>252.4</v>
      </c>
      <c r="E1070" s="23">
        <v>99.6</v>
      </c>
      <c r="F1070" s="23">
        <v>33.880000000000003</v>
      </c>
      <c r="G1070" s="23">
        <v>553.5</v>
      </c>
      <c r="H1070" s="23">
        <v>4.306</v>
      </c>
      <c r="I1070" s="13">
        <f t="shared" si="16"/>
        <v>2.9397874852420305</v>
      </c>
    </row>
    <row r="1071" spans="2:9">
      <c r="C1071" s="33">
        <v>2.0960000000000001</v>
      </c>
      <c r="D1071" s="23">
        <v>183</v>
      </c>
      <c r="E1071" s="23">
        <v>99.2</v>
      </c>
      <c r="F1071" s="23">
        <v>33.96</v>
      </c>
      <c r="G1071" s="23">
        <v>557.9</v>
      </c>
      <c r="H1071" s="23">
        <v>4.3250000000000002</v>
      </c>
      <c r="I1071" s="13">
        <f t="shared" si="16"/>
        <v>2.9210836277974086</v>
      </c>
    </row>
    <row r="1072" spans="2:9">
      <c r="C1072" s="33">
        <v>2.0049999999999999</v>
      </c>
      <c r="D1072" s="23">
        <v>149.80000000000001</v>
      </c>
      <c r="E1072" s="23">
        <v>99.54</v>
      </c>
      <c r="F1072" s="23">
        <v>33.79</v>
      </c>
      <c r="G1072" s="23">
        <v>462.1</v>
      </c>
      <c r="H1072" s="23">
        <v>4.2380000000000004</v>
      </c>
      <c r="I1072" s="13">
        <f t="shared" si="16"/>
        <v>2.9458419650784258</v>
      </c>
    </row>
    <row r="1073" spans="2:9">
      <c r="C1073" s="33">
        <v>2.12</v>
      </c>
      <c r="D1073" s="23">
        <v>251.6</v>
      </c>
      <c r="E1073" s="23">
        <v>99.27</v>
      </c>
      <c r="F1073" s="23">
        <v>33.869999999999997</v>
      </c>
      <c r="G1073" s="23">
        <v>557.5</v>
      </c>
      <c r="H1073" s="23">
        <v>4.2590000000000003</v>
      </c>
      <c r="I1073" s="13">
        <f t="shared" si="16"/>
        <v>2.9309123117803368</v>
      </c>
    </row>
    <row r="1074" spans="2:9">
      <c r="C1074" s="33">
        <v>2.14</v>
      </c>
      <c r="D1074" s="23">
        <v>185.8</v>
      </c>
      <c r="E1074" s="23">
        <v>99.14</v>
      </c>
      <c r="F1074" s="23">
        <v>33.71</v>
      </c>
      <c r="G1074" s="23">
        <v>551</v>
      </c>
      <c r="H1074" s="23">
        <v>3.9929999999999999</v>
      </c>
      <c r="I1074" s="13">
        <f t="shared" si="16"/>
        <v>2.9409670720854346</v>
      </c>
    </row>
    <row r="1075" spans="2:9">
      <c r="C1075" s="33">
        <v>2.1520000000000001</v>
      </c>
      <c r="D1075" s="23">
        <v>199.5</v>
      </c>
      <c r="E1075" s="23">
        <v>99.4</v>
      </c>
      <c r="F1075" s="23">
        <v>33.69</v>
      </c>
      <c r="G1075" s="23">
        <v>562.4</v>
      </c>
      <c r="H1075" s="23">
        <v>3.952</v>
      </c>
      <c r="I1075" s="13">
        <f t="shared" si="16"/>
        <v>2.9504303947758981</v>
      </c>
    </row>
    <row r="1076" spans="2:9">
      <c r="C1076" s="33">
        <v>2.1579999999999999</v>
      </c>
      <c r="D1076" s="23">
        <v>224.2</v>
      </c>
      <c r="E1076" s="23">
        <v>99.62</v>
      </c>
      <c r="F1076" s="23">
        <v>33.36</v>
      </c>
      <c r="G1076" s="23">
        <v>557.5</v>
      </c>
      <c r="H1076" s="23">
        <v>3.8119999999999998</v>
      </c>
      <c r="I1076" s="13">
        <f t="shared" si="16"/>
        <v>2.9862110311750603</v>
      </c>
    </row>
    <row r="1077" spans="2:9">
      <c r="C1077" s="33">
        <v>2.129</v>
      </c>
      <c r="D1077" s="23">
        <v>199.5</v>
      </c>
      <c r="E1077" s="23">
        <v>99.58</v>
      </c>
      <c r="F1077" s="23">
        <v>33.270000000000003</v>
      </c>
      <c r="G1077" s="23">
        <v>551.70000000000005</v>
      </c>
      <c r="H1077" s="23">
        <v>3.863</v>
      </c>
      <c r="I1077" s="13">
        <f t="shared" si="16"/>
        <v>2.9930868650435825</v>
      </c>
    </row>
    <row r="1078" spans="2:9">
      <c r="C1078" s="33">
        <v>2.15</v>
      </c>
      <c r="D1078" s="23">
        <v>134.19999999999999</v>
      </c>
      <c r="E1078" s="23">
        <v>99.62</v>
      </c>
      <c r="F1078" s="23">
        <v>33.29</v>
      </c>
      <c r="G1078" s="23">
        <v>558.6</v>
      </c>
      <c r="H1078" s="23">
        <v>4.12</v>
      </c>
      <c r="I1078" s="13">
        <f t="shared" si="16"/>
        <v>2.9924902373085014</v>
      </c>
    </row>
    <row r="1079" spans="2:9">
      <c r="C1079" s="33">
        <v>2.1819999999999999</v>
      </c>
      <c r="D1079" s="23">
        <v>249.8</v>
      </c>
      <c r="E1079" s="23">
        <v>99.48</v>
      </c>
      <c r="F1079" s="23">
        <v>33.47</v>
      </c>
      <c r="G1079" s="23">
        <v>557.9</v>
      </c>
      <c r="H1079" s="23">
        <v>4.2590000000000003</v>
      </c>
      <c r="I1079" s="13">
        <f t="shared" si="16"/>
        <v>2.9722139229160445</v>
      </c>
    </row>
    <row r="1080" spans="2:9">
      <c r="C1080" s="33">
        <v>2.1520000000000001</v>
      </c>
      <c r="D1080" s="23">
        <v>232.9</v>
      </c>
      <c r="E1080" s="23">
        <v>99.1</v>
      </c>
      <c r="F1080" s="23">
        <v>33.56</v>
      </c>
      <c r="G1080" s="23">
        <v>554.5</v>
      </c>
      <c r="H1080" s="23">
        <v>4.2380000000000004</v>
      </c>
      <c r="I1080" s="13">
        <f t="shared" si="16"/>
        <v>2.9529201430274132</v>
      </c>
    </row>
    <row r="1081" spans="2:9">
      <c r="C1081" s="33">
        <v>2.1080000000000001</v>
      </c>
      <c r="D1081" s="23">
        <v>221.5</v>
      </c>
      <c r="E1081" s="23">
        <v>99.32</v>
      </c>
      <c r="F1081" s="23">
        <v>33.18</v>
      </c>
      <c r="G1081" s="23">
        <v>563.5</v>
      </c>
      <c r="H1081" s="23">
        <v>4.3250000000000002</v>
      </c>
      <c r="I1081" s="13">
        <f t="shared" si="16"/>
        <v>2.9933694996986135</v>
      </c>
    </row>
    <row r="1082" spans="2:9">
      <c r="B1082" s="35">
        <v>55</v>
      </c>
      <c r="C1082" s="36">
        <v>2.4820000000000002</v>
      </c>
      <c r="D1082" s="38">
        <v>258.5</v>
      </c>
      <c r="E1082" s="38">
        <v>106.7</v>
      </c>
      <c r="F1082" s="38">
        <v>31.05</v>
      </c>
      <c r="G1082" s="38">
        <v>525.79999999999995</v>
      </c>
      <c r="H1082" s="38">
        <v>4.6020000000000003</v>
      </c>
      <c r="I1082" s="13">
        <f t="shared" si="16"/>
        <v>3.4363929146537844</v>
      </c>
    </row>
    <row r="1083" spans="2:9">
      <c r="C1083" s="33">
        <v>2.5009999999999999</v>
      </c>
      <c r="D1083" s="23">
        <v>240.8</v>
      </c>
      <c r="E1083" s="23">
        <v>106.6</v>
      </c>
      <c r="F1083" s="23">
        <v>30.74</v>
      </c>
      <c r="G1083" s="23">
        <v>526.4</v>
      </c>
      <c r="H1083" s="23">
        <v>4.6269999999999998</v>
      </c>
      <c r="I1083" s="13">
        <f t="shared" si="16"/>
        <v>3.4677944046844504</v>
      </c>
    </row>
    <row r="1084" spans="2:9">
      <c r="C1084" s="33">
        <v>2.4940000000000002</v>
      </c>
      <c r="D1084" s="23">
        <v>250</v>
      </c>
      <c r="E1084" s="23">
        <v>106.4</v>
      </c>
      <c r="F1084" s="23">
        <v>30.14</v>
      </c>
      <c r="G1084" s="23">
        <v>534.1</v>
      </c>
      <c r="H1084" s="23">
        <v>4.8289999999999997</v>
      </c>
      <c r="I1084" s="13">
        <f t="shared" si="16"/>
        <v>3.5301924353019243</v>
      </c>
    </row>
    <row r="1085" spans="2:9">
      <c r="C1085" s="33">
        <v>2.3919999999999999</v>
      </c>
      <c r="D1085" s="23">
        <v>241.5</v>
      </c>
      <c r="E1085" s="23">
        <v>106.3</v>
      </c>
      <c r="F1085" s="23">
        <v>30.62</v>
      </c>
      <c r="G1085" s="23">
        <v>533.1</v>
      </c>
      <c r="H1085" s="23">
        <v>4.8920000000000003</v>
      </c>
      <c r="I1085" s="13">
        <f t="shared" si="16"/>
        <v>3.4715871979098627</v>
      </c>
    </row>
    <row r="1086" spans="2:9">
      <c r="C1086" s="33">
        <v>2.2959999999999998</v>
      </c>
      <c r="D1086" s="23">
        <v>228.2</v>
      </c>
      <c r="E1086" s="23">
        <v>105.9</v>
      </c>
      <c r="F1086" s="23">
        <v>30.78</v>
      </c>
      <c r="G1086" s="23">
        <v>530.70000000000005</v>
      </c>
      <c r="H1086" s="23">
        <v>4.8760000000000003</v>
      </c>
      <c r="I1086" s="13">
        <f t="shared" si="16"/>
        <v>3.4405458089668617</v>
      </c>
    </row>
    <row r="1087" spans="2:9">
      <c r="C1087" s="33">
        <v>2.367</v>
      </c>
      <c r="D1087" s="23">
        <v>252.2</v>
      </c>
      <c r="E1087" s="23">
        <v>105.6</v>
      </c>
      <c r="F1087" s="23">
        <v>31.17</v>
      </c>
      <c r="G1087" s="23">
        <v>531.5</v>
      </c>
      <c r="H1087" s="23">
        <v>4.9749999999999996</v>
      </c>
      <c r="I1087" s="13">
        <f t="shared" si="16"/>
        <v>3.3878729547641959</v>
      </c>
    </row>
    <row r="1088" spans="2:9">
      <c r="C1088" s="33">
        <v>2.4590000000000001</v>
      </c>
      <c r="D1088" s="23">
        <v>259.10000000000002</v>
      </c>
      <c r="E1088" s="23">
        <v>105.5</v>
      </c>
      <c r="F1088" s="23">
        <v>30.62</v>
      </c>
      <c r="G1088" s="23">
        <v>534.20000000000005</v>
      </c>
      <c r="H1088" s="23">
        <v>4.93</v>
      </c>
      <c r="I1088" s="13">
        <f t="shared" si="16"/>
        <v>3.4454604833442195</v>
      </c>
    </row>
    <row r="1089" spans="2:9">
      <c r="C1089" s="33">
        <v>2.48</v>
      </c>
      <c r="D1089" s="23">
        <v>238.4</v>
      </c>
      <c r="E1089" s="23">
        <v>105</v>
      </c>
      <c r="F1089" s="23">
        <v>30.14</v>
      </c>
      <c r="G1089" s="23">
        <v>534.1</v>
      </c>
      <c r="H1089" s="23">
        <v>5.0890000000000004</v>
      </c>
      <c r="I1089" s="13">
        <f t="shared" si="16"/>
        <v>3.4837425348374254</v>
      </c>
    </row>
    <row r="1090" spans="2:9">
      <c r="C1090" s="33">
        <v>2.4420000000000002</v>
      </c>
      <c r="D1090" s="23">
        <v>229.7</v>
      </c>
      <c r="E1090" s="23">
        <v>105.2</v>
      </c>
      <c r="F1090" s="23">
        <v>30.36</v>
      </c>
      <c r="G1090" s="23">
        <v>527.4</v>
      </c>
      <c r="H1090" s="23">
        <v>5.1100000000000003</v>
      </c>
      <c r="I1090" s="13">
        <f t="shared" si="16"/>
        <v>3.4650856389986826</v>
      </c>
    </row>
    <row r="1091" spans="2:9">
      <c r="C1091" s="33">
        <v>2.4359999999999999</v>
      </c>
      <c r="D1091" s="23">
        <v>262.2</v>
      </c>
      <c r="E1091" s="23">
        <v>105.4</v>
      </c>
      <c r="F1091" s="23">
        <v>30.27</v>
      </c>
      <c r="G1091" s="23">
        <v>536.1</v>
      </c>
      <c r="H1091" s="23">
        <v>4.7560000000000002</v>
      </c>
      <c r="I1091" s="13">
        <f t="shared" ref="I1091:I1154" si="17">E1091/F1091</f>
        <v>3.4819953749587054</v>
      </c>
    </row>
    <row r="1092" spans="2:9">
      <c r="C1092" s="33">
        <v>2.4159999999999999</v>
      </c>
      <c r="D1092" s="23">
        <v>257.7</v>
      </c>
      <c r="E1092" s="23">
        <v>105.5</v>
      </c>
      <c r="F1092" s="23">
        <v>31</v>
      </c>
      <c r="G1092" s="23">
        <v>526</v>
      </c>
      <c r="H1092" s="23">
        <v>4.8479999999999999</v>
      </c>
      <c r="I1092" s="13">
        <f t="shared" si="17"/>
        <v>3.403225806451613</v>
      </c>
    </row>
    <row r="1093" spans="2:9">
      <c r="C1093" s="33">
        <v>2.4449999999999998</v>
      </c>
      <c r="D1093" s="23">
        <v>234.9</v>
      </c>
      <c r="E1093" s="23">
        <v>105</v>
      </c>
      <c r="F1093" s="23">
        <v>31.06</v>
      </c>
      <c r="G1093" s="23">
        <v>529.5</v>
      </c>
      <c r="H1093" s="23">
        <v>4.8920000000000003</v>
      </c>
      <c r="I1093" s="13">
        <f t="shared" si="17"/>
        <v>3.3805537669027688</v>
      </c>
    </row>
    <row r="1094" spans="2:9">
      <c r="C1094" s="33">
        <v>2.4820000000000002</v>
      </c>
      <c r="D1094" s="23">
        <v>259.10000000000002</v>
      </c>
      <c r="E1094" s="23">
        <v>105.3</v>
      </c>
      <c r="F1094" s="23">
        <v>30.74</v>
      </c>
      <c r="G1094" s="23">
        <v>529.1</v>
      </c>
      <c r="H1094" s="23">
        <v>4.7190000000000003</v>
      </c>
      <c r="I1094" s="13">
        <f t="shared" si="17"/>
        <v>3.4255042290175668</v>
      </c>
    </row>
    <row r="1095" spans="2:9">
      <c r="C1095" s="33">
        <v>2.419</v>
      </c>
      <c r="D1095" s="23">
        <v>235.4</v>
      </c>
      <c r="E1095" s="23">
        <v>105.2</v>
      </c>
      <c r="F1095" s="23">
        <v>30.52</v>
      </c>
      <c r="G1095" s="23">
        <v>526</v>
      </c>
      <c r="H1095" s="23">
        <v>4.681</v>
      </c>
      <c r="I1095" s="13">
        <f t="shared" si="17"/>
        <v>3.4469200524246397</v>
      </c>
    </row>
    <row r="1096" spans="2:9">
      <c r="C1096" s="33">
        <v>2.38</v>
      </c>
      <c r="D1096" s="23">
        <v>245.2</v>
      </c>
      <c r="E1096" s="23">
        <v>104.9</v>
      </c>
      <c r="F1096" s="23">
        <v>30.41</v>
      </c>
      <c r="G1096" s="23">
        <v>525.4</v>
      </c>
      <c r="H1096" s="23">
        <v>4.7480000000000002</v>
      </c>
      <c r="I1096" s="13">
        <f t="shared" si="17"/>
        <v>3.4495231831634334</v>
      </c>
    </row>
    <row r="1097" spans="2:9">
      <c r="C1097" s="33">
        <v>2.3180000000000001</v>
      </c>
      <c r="D1097" s="23">
        <v>197.9</v>
      </c>
      <c r="E1097" s="23">
        <v>105.4</v>
      </c>
      <c r="F1097" s="23">
        <v>30.6</v>
      </c>
      <c r="G1097" s="23">
        <v>534.4</v>
      </c>
      <c r="H1097" s="23">
        <v>4.9089999999999998</v>
      </c>
      <c r="I1097" s="13">
        <f t="shared" si="17"/>
        <v>3.4444444444444446</v>
      </c>
    </row>
    <row r="1098" spans="2:9">
      <c r="C1098" s="33">
        <v>2.2469999999999999</v>
      </c>
      <c r="D1098" s="23">
        <v>267</v>
      </c>
      <c r="E1098" s="23">
        <v>105.2</v>
      </c>
      <c r="F1098" s="23">
        <v>30.72</v>
      </c>
      <c r="G1098" s="23">
        <v>498.8</v>
      </c>
      <c r="H1098" s="23">
        <v>4.766</v>
      </c>
      <c r="I1098" s="13">
        <f t="shared" si="17"/>
        <v>3.424479166666667</v>
      </c>
    </row>
    <row r="1099" spans="2:9">
      <c r="C1099" s="33">
        <v>2.2160000000000002</v>
      </c>
      <c r="D1099" s="23">
        <v>208</v>
      </c>
      <c r="E1099" s="23">
        <v>105.6</v>
      </c>
      <c r="F1099" s="23">
        <v>30.93</v>
      </c>
      <c r="G1099" s="23">
        <v>539.5</v>
      </c>
      <c r="H1099" s="23">
        <v>4.8550000000000004</v>
      </c>
      <c r="I1099" s="13">
        <f t="shared" si="17"/>
        <v>3.4141610087293888</v>
      </c>
    </row>
    <row r="1100" spans="2:9">
      <c r="C1100" s="33">
        <v>2.2200000000000002</v>
      </c>
      <c r="D1100" s="23">
        <v>203.8</v>
      </c>
      <c r="E1100" s="23">
        <v>106.2</v>
      </c>
      <c r="F1100" s="23">
        <v>30.96</v>
      </c>
      <c r="G1100" s="23">
        <v>550.4</v>
      </c>
      <c r="H1100" s="23">
        <v>4.8810000000000002</v>
      </c>
      <c r="I1100" s="13">
        <f t="shared" si="17"/>
        <v>3.4302325581395348</v>
      </c>
    </row>
    <row r="1101" spans="2:9">
      <c r="C1101" s="33">
        <v>2.1269999999999998</v>
      </c>
      <c r="D1101" s="23">
        <v>245.2</v>
      </c>
      <c r="E1101" s="23">
        <v>105.3</v>
      </c>
      <c r="F1101" s="23">
        <v>30.67</v>
      </c>
      <c r="G1101" s="23">
        <v>534.5</v>
      </c>
      <c r="H1101" s="23">
        <v>4.681</v>
      </c>
      <c r="I1101" s="13">
        <f t="shared" si="17"/>
        <v>3.4333224649494616</v>
      </c>
    </row>
    <row r="1102" spans="2:9">
      <c r="B1102" s="35">
        <v>56</v>
      </c>
      <c r="C1102" s="36">
        <v>2.9969999999999999</v>
      </c>
      <c r="D1102" s="38">
        <v>190.2</v>
      </c>
      <c r="E1102" s="38">
        <v>120.6</v>
      </c>
      <c r="F1102" s="38">
        <v>43.18</v>
      </c>
      <c r="G1102" s="38">
        <v>590.20000000000005</v>
      </c>
      <c r="H1102" s="38">
        <v>5.13</v>
      </c>
      <c r="I1102" s="13">
        <f t="shared" si="17"/>
        <v>2.7929597035664657</v>
      </c>
    </row>
    <row r="1103" spans="2:9">
      <c r="C1103" s="33">
        <v>2.9849999999999999</v>
      </c>
      <c r="D1103" s="23">
        <v>179.5</v>
      </c>
      <c r="E1103" s="23">
        <v>120.4</v>
      </c>
      <c r="F1103" s="23">
        <v>43.08</v>
      </c>
      <c r="G1103" s="23">
        <v>593.5</v>
      </c>
      <c r="H1103" s="23">
        <v>5.14</v>
      </c>
      <c r="I1103" s="13">
        <f t="shared" si="17"/>
        <v>2.7948003714020428</v>
      </c>
    </row>
    <row r="1104" spans="2:9">
      <c r="C1104" s="33">
        <v>2.9950000000000001</v>
      </c>
      <c r="D1104" s="23">
        <v>184.5</v>
      </c>
      <c r="E1104" s="23">
        <v>120.2</v>
      </c>
      <c r="F1104" s="23">
        <v>43.47</v>
      </c>
      <c r="G1104" s="23">
        <v>597.29999999999995</v>
      </c>
      <c r="H1104" s="23">
        <v>5.09</v>
      </c>
      <c r="I1104" s="13">
        <f t="shared" si="17"/>
        <v>2.765125373821026</v>
      </c>
    </row>
    <row r="1105" spans="3:9">
      <c r="C1105" s="33">
        <v>2.9740000000000002</v>
      </c>
      <c r="D1105" s="23">
        <v>192.8</v>
      </c>
      <c r="E1105" s="23">
        <v>120.7</v>
      </c>
      <c r="F1105" s="23">
        <v>43.06</v>
      </c>
      <c r="G1105" s="23">
        <v>590.5</v>
      </c>
      <c r="H1105" s="23">
        <v>4.46</v>
      </c>
      <c r="I1105" s="13">
        <f t="shared" si="17"/>
        <v>2.803065490013934</v>
      </c>
    </row>
    <row r="1106" spans="3:9">
      <c r="C1106" s="33">
        <v>2.968</v>
      </c>
      <c r="D1106" s="23">
        <v>184.9</v>
      </c>
      <c r="E1106" s="23">
        <v>120.9</v>
      </c>
      <c r="F1106" s="23">
        <v>43.79</v>
      </c>
      <c r="G1106" s="23">
        <v>591</v>
      </c>
      <c r="H1106" s="23">
        <v>4.43</v>
      </c>
      <c r="I1106" s="13">
        <f t="shared" si="17"/>
        <v>2.7609043160538937</v>
      </c>
    </row>
    <row r="1107" spans="3:9">
      <c r="C1107" s="33">
        <v>2.9910000000000001</v>
      </c>
      <c r="D1107" s="23">
        <v>185.6</v>
      </c>
      <c r="E1107" s="23">
        <v>121.2</v>
      </c>
      <c r="F1107" s="23">
        <v>43.59</v>
      </c>
      <c r="G1107" s="23">
        <v>592.29999999999995</v>
      </c>
      <c r="H1107" s="23">
        <v>4.75</v>
      </c>
      <c r="I1107" s="13">
        <f t="shared" si="17"/>
        <v>2.7804542326221608</v>
      </c>
    </row>
    <row r="1108" spans="3:9">
      <c r="C1108" s="33">
        <v>2.988</v>
      </c>
      <c r="D1108" s="23">
        <v>184</v>
      </c>
      <c r="E1108" s="23">
        <v>120.9</v>
      </c>
      <c r="F1108" s="23">
        <v>44</v>
      </c>
      <c r="G1108" s="23">
        <v>590.79999999999995</v>
      </c>
      <c r="H1108" s="23">
        <v>4.2</v>
      </c>
      <c r="I1108" s="13">
        <f t="shared" si="17"/>
        <v>2.747727272727273</v>
      </c>
    </row>
    <row r="1109" spans="3:9">
      <c r="C1109" s="33">
        <v>2.9249999999999998</v>
      </c>
      <c r="D1109" s="23">
        <v>199.1</v>
      </c>
      <c r="E1109" s="23">
        <v>120.5</v>
      </c>
      <c r="F1109" s="23">
        <v>43.99</v>
      </c>
      <c r="G1109" s="23">
        <v>602.5</v>
      </c>
      <c r="H1109" s="23">
        <v>5.2</v>
      </c>
      <c r="I1109" s="13">
        <f t="shared" si="17"/>
        <v>2.7392589224823825</v>
      </c>
    </row>
    <row r="1110" spans="3:9">
      <c r="C1110" s="33">
        <v>2.92</v>
      </c>
      <c r="D1110" s="23">
        <v>179.6</v>
      </c>
      <c r="E1110" s="23">
        <v>120.2</v>
      </c>
      <c r="F1110" s="23">
        <v>43.45</v>
      </c>
      <c r="G1110" s="23">
        <v>590.20000000000005</v>
      </c>
      <c r="H1110" s="23">
        <v>4.8899999999999997</v>
      </c>
      <c r="I1110" s="13">
        <f t="shared" si="17"/>
        <v>2.7663981588032218</v>
      </c>
    </row>
    <row r="1111" spans="3:9">
      <c r="C1111" s="33">
        <v>2.8860000000000001</v>
      </c>
      <c r="D1111" s="23">
        <v>192.1</v>
      </c>
      <c r="E1111" s="23">
        <v>120.5</v>
      </c>
      <c r="F1111" s="23">
        <v>43.32</v>
      </c>
      <c r="G1111" s="23">
        <v>592.4</v>
      </c>
      <c r="H1111" s="23">
        <v>4.55</v>
      </c>
      <c r="I1111" s="13">
        <f t="shared" si="17"/>
        <v>2.7816251154201295</v>
      </c>
    </row>
    <row r="1112" spans="3:9">
      <c r="C1112" s="33">
        <v>2.8620000000000001</v>
      </c>
      <c r="D1112" s="23">
        <v>223.8</v>
      </c>
      <c r="E1112" s="23">
        <v>120.7</v>
      </c>
      <c r="F1112" s="23">
        <v>43.05</v>
      </c>
      <c r="G1112" s="23">
        <v>591.1</v>
      </c>
      <c r="H1112" s="23">
        <v>4.3</v>
      </c>
      <c r="I1112" s="13">
        <f t="shared" si="17"/>
        <v>2.8037166085946574</v>
      </c>
    </row>
    <row r="1113" spans="3:9">
      <c r="C1113" s="33">
        <v>2.8919999999999999</v>
      </c>
      <c r="D1113" s="23">
        <v>221.4</v>
      </c>
      <c r="E1113" s="23">
        <v>121.2</v>
      </c>
      <c r="F1113" s="23">
        <v>43.31</v>
      </c>
      <c r="G1113" s="23">
        <v>592.6</v>
      </c>
      <c r="H1113" s="23">
        <v>4.95</v>
      </c>
      <c r="I1113" s="13">
        <f t="shared" si="17"/>
        <v>2.7984299238051258</v>
      </c>
    </row>
    <row r="1114" spans="3:9">
      <c r="C1114" s="33">
        <v>2.9649999999999999</v>
      </c>
      <c r="D1114" s="23">
        <v>208.9</v>
      </c>
      <c r="E1114" s="23">
        <v>121.4</v>
      </c>
      <c r="F1114" s="23">
        <v>43.43</v>
      </c>
      <c r="G1114" s="23">
        <v>590.79999999999995</v>
      </c>
      <c r="H1114" s="23">
        <v>4.5999999999999996</v>
      </c>
      <c r="I1114" s="13">
        <f t="shared" si="17"/>
        <v>2.795302786092563</v>
      </c>
    </row>
    <row r="1115" spans="3:9">
      <c r="C1115" s="33">
        <v>2.9950000000000001</v>
      </c>
      <c r="D1115" s="23">
        <v>196.5</v>
      </c>
      <c r="E1115" s="23">
        <v>121.2</v>
      </c>
      <c r="F1115" s="23">
        <v>43.98</v>
      </c>
      <c r="G1115" s="23">
        <v>595.9</v>
      </c>
      <c r="H1115" s="23">
        <v>4.99</v>
      </c>
      <c r="I1115" s="13">
        <f t="shared" si="17"/>
        <v>2.755798090040928</v>
      </c>
    </row>
    <row r="1116" spans="3:9">
      <c r="C1116" s="33">
        <v>2.9849999999999999</v>
      </c>
      <c r="D1116" s="23">
        <v>210.1</v>
      </c>
      <c r="E1116" s="23">
        <v>120.7</v>
      </c>
      <c r="F1116" s="23">
        <v>43.76</v>
      </c>
      <c r="G1116" s="23">
        <v>591.79999999999995</v>
      </c>
      <c r="H1116" s="23">
        <v>4.96</v>
      </c>
      <c r="I1116" s="13">
        <f t="shared" si="17"/>
        <v>2.7582266910420477</v>
      </c>
    </row>
    <row r="1117" spans="3:9">
      <c r="C1117" s="33">
        <v>2.9590000000000001</v>
      </c>
      <c r="D1117" s="23">
        <v>224.4</v>
      </c>
      <c r="E1117" s="23">
        <v>120.5</v>
      </c>
      <c r="F1117" s="23">
        <v>43.6</v>
      </c>
      <c r="G1117" s="23">
        <v>601.9</v>
      </c>
      <c r="H1117" s="23">
        <v>4.49</v>
      </c>
      <c r="I1117" s="13">
        <f t="shared" si="17"/>
        <v>2.7637614678899083</v>
      </c>
    </row>
    <row r="1118" spans="3:9">
      <c r="C1118" s="33">
        <v>2.9390000000000001</v>
      </c>
      <c r="D1118" s="23">
        <v>218.8</v>
      </c>
      <c r="E1118" s="23">
        <v>120.6</v>
      </c>
      <c r="F1118" s="23">
        <v>43.61</v>
      </c>
      <c r="G1118" s="23">
        <v>601.1</v>
      </c>
      <c r="H1118" s="23">
        <v>4.5999999999999996</v>
      </c>
      <c r="I1118" s="13">
        <f t="shared" si="17"/>
        <v>2.7654207750515938</v>
      </c>
    </row>
    <row r="1119" spans="3:9">
      <c r="C1119" s="33">
        <v>2.8980000000000001</v>
      </c>
      <c r="D1119" s="23">
        <v>210.3</v>
      </c>
      <c r="E1119" s="23">
        <v>120.3</v>
      </c>
      <c r="F1119" s="23">
        <v>43.75</v>
      </c>
      <c r="G1119" s="23">
        <v>598.5</v>
      </c>
      <c r="H1119" s="23">
        <v>4.8899999999999997</v>
      </c>
      <c r="I1119" s="13">
        <f t="shared" si="17"/>
        <v>2.7497142857142856</v>
      </c>
    </row>
    <row r="1120" spans="3:9">
      <c r="C1120" s="33">
        <v>2.8540000000000001</v>
      </c>
      <c r="D1120" s="23">
        <v>184.5</v>
      </c>
      <c r="E1120" s="23">
        <v>120.5</v>
      </c>
      <c r="F1120" s="23">
        <v>43.31</v>
      </c>
      <c r="G1120" s="23">
        <v>591.6</v>
      </c>
      <c r="H1120" s="23">
        <v>4.3</v>
      </c>
      <c r="I1120" s="13">
        <f t="shared" si="17"/>
        <v>2.7822673747402447</v>
      </c>
    </row>
    <row r="1121" spans="2:9">
      <c r="C1121" s="33">
        <v>2.9390000000000001</v>
      </c>
      <c r="D1121" s="23">
        <v>198.5</v>
      </c>
      <c r="E1121" s="23">
        <v>120.4</v>
      </c>
      <c r="F1121" s="23">
        <v>43.7</v>
      </c>
      <c r="G1121" s="23">
        <v>592.1</v>
      </c>
      <c r="H1121" s="23">
        <v>4.93</v>
      </c>
      <c r="I1121" s="13">
        <f t="shared" si="17"/>
        <v>2.7551487414187643</v>
      </c>
    </row>
    <row r="1122" spans="2:9">
      <c r="B1122" s="35">
        <v>57</v>
      </c>
      <c r="C1122" s="36">
        <v>2.3660000000000001</v>
      </c>
      <c r="D1122" s="38">
        <v>162.69999999999999</v>
      </c>
      <c r="E1122" s="38">
        <v>91.8</v>
      </c>
      <c r="F1122" s="38">
        <v>30.37</v>
      </c>
      <c r="G1122" s="38">
        <v>579.6</v>
      </c>
      <c r="H1122" s="38">
        <v>4.3449999999999998</v>
      </c>
      <c r="I1122" s="13">
        <f t="shared" si="17"/>
        <v>3.0227197892657225</v>
      </c>
    </row>
    <row r="1123" spans="2:9">
      <c r="C1123" s="33">
        <v>2.2949999999999999</v>
      </c>
      <c r="D1123" s="23">
        <v>137.05000000000001</v>
      </c>
      <c r="E1123" s="23">
        <v>92.77</v>
      </c>
      <c r="F1123" s="23">
        <v>30.31</v>
      </c>
      <c r="G1123" s="23">
        <v>581</v>
      </c>
      <c r="H1123" s="23">
        <v>4.7279999999999998</v>
      </c>
      <c r="I1123" s="13">
        <f t="shared" si="17"/>
        <v>3.0607060376113493</v>
      </c>
    </row>
    <row r="1124" spans="2:9">
      <c r="C1124" s="33">
        <v>2.2610000000000001</v>
      </c>
      <c r="D1124" s="23">
        <v>123.19</v>
      </c>
      <c r="E1124" s="23">
        <v>92.38</v>
      </c>
      <c r="F1124" s="23">
        <v>30.33</v>
      </c>
      <c r="G1124" s="23">
        <v>587</v>
      </c>
      <c r="H1124" s="23">
        <v>4.2270000000000003</v>
      </c>
      <c r="I1124" s="13">
        <f t="shared" si="17"/>
        <v>3.0458292120013191</v>
      </c>
    </row>
    <row r="1125" spans="2:9">
      <c r="C1125" s="33">
        <v>2.2410000000000001</v>
      </c>
      <c r="D1125" s="23">
        <v>162.19999999999999</v>
      </c>
      <c r="E1125" s="23">
        <v>92.22</v>
      </c>
      <c r="F1125" s="23">
        <v>30.14</v>
      </c>
      <c r="G1125" s="23">
        <v>578</v>
      </c>
      <c r="H1125" s="23">
        <v>4.9589999999999996</v>
      </c>
      <c r="I1125" s="13">
        <f t="shared" si="17"/>
        <v>3.059721300597213</v>
      </c>
    </row>
    <row r="1126" spans="2:9">
      <c r="C1126" s="33">
        <v>2.1040000000000001</v>
      </c>
      <c r="D1126" s="23">
        <v>156.4</v>
      </c>
      <c r="E1126" s="23">
        <v>92.07</v>
      </c>
      <c r="F1126" s="23">
        <v>30.08</v>
      </c>
      <c r="G1126" s="23">
        <v>584.1</v>
      </c>
      <c r="H1126" s="23">
        <v>5.3230000000000004</v>
      </c>
      <c r="I1126" s="13">
        <f t="shared" si="17"/>
        <v>3.0608377659574466</v>
      </c>
    </row>
    <row r="1127" spans="2:9">
      <c r="C1127" s="33">
        <v>2.2719999999999998</v>
      </c>
      <c r="D1127" s="23">
        <v>165.7</v>
      </c>
      <c r="E1127" s="23">
        <v>91.72</v>
      </c>
      <c r="F1127" s="23">
        <v>30.06</v>
      </c>
      <c r="G1127" s="23">
        <v>582.1</v>
      </c>
      <c r="H1127" s="23">
        <v>5.2869999999999999</v>
      </c>
      <c r="I1127" s="13">
        <f t="shared" si="17"/>
        <v>3.0512308715901533</v>
      </c>
    </row>
    <row r="1128" spans="2:9">
      <c r="C1128" s="33">
        <v>2.3679999999999999</v>
      </c>
      <c r="D1128" s="23">
        <v>140.19999999999999</v>
      </c>
      <c r="E1128" s="23">
        <v>91.65</v>
      </c>
      <c r="F1128" s="23">
        <v>29.57</v>
      </c>
      <c r="G1128" s="23">
        <v>594.9</v>
      </c>
      <c r="H1128" s="23">
        <v>4.6239999999999997</v>
      </c>
      <c r="I1128" s="13">
        <f t="shared" si="17"/>
        <v>3.0994250929996618</v>
      </c>
    </row>
    <row r="1129" spans="2:9">
      <c r="C1129" s="33">
        <v>2.3380000000000001</v>
      </c>
      <c r="D1129" s="23">
        <v>171.2</v>
      </c>
      <c r="E1129" s="23">
        <v>91.26</v>
      </c>
      <c r="F1129" s="23">
        <v>29.42</v>
      </c>
      <c r="G1129" s="23">
        <v>577.79999999999995</v>
      </c>
      <c r="H1129" s="23">
        <v>4.2270000000000003</v>
      </c>
      <c r="I1129" s="13">
        <f t="shared" si="17"/>
        <v>3.1019714479945617</v>
      </c>
    </row>
    <row r="1130" spans="2:9">
      <c r="C1130" s="33">
        <v>2.2789999999999999</v>
      </c>
      <c r="D1130" s="23">
        <v>153.1</v>
      </c>
      <c r="E1130" s="23">
        <v>91.45</v>
      </c>
      <c r="F1130" s="23">
        <v>29.16</v>
      </c>
      <c r="G1130" s="23">
        <v>588.20000000000005</v>
      </c>
      <c r="H1130" s="23">
        <v>4.7279999999999998</v>
      </c>
      <c r="I1130" s="13">
        <f t="shared" si="17"/>
        <v>3.1361454046639232</v>
      </c>
    </row>
    <row r="1131" spans="2:9">
      <c r="C1131" s="33">
        <v>2.2610000000000001</v>
      </c>
      <c r="D1131" s="23">
        <v>161.6</v>
      </c>
      <c r="E1131" s="23">
        <v>92.06</v>
      </c>
      <c r="F1131" s="23">
        <v>29.18</v>
      </c>
      <c r="G1131" s="23">
        <v>579.79999999999995</v>
      </c>
      <c r="H1131" s="23">
        <v>5.2229999999999999</v>
      </c>
      <c r="I1131" s="13">
        <f t="shared" si="17"/>
        <v>3.1549006168608638</v>
      </c>
    </row>
    <row r="1132" spans="2:9">
      <c r="C1132" s="33">
        <v>2.258</v>
      </c>
      <c r="D1132" s="23">
        <v>156.9</v>
      </c>
      <c r="E1132" s="23">
        <v>92.04</v>
      </c>
      <c r="F1132" s="23">
        <v>29.7</v>
      </c>
      <c r="G1132" s="23">
        <v>579.9</v>
      </c>
      <c r="H1132" s="23">
        <v>4.37</v>
      </c>
      <c r="I1132" s="13">
        <f t="shared" si="17"/>
        <v>3.0989898989898994</v>
      </c>
    </row>
    <row r="1133" spans="2:9">
      <c r="C1133" s="33">
        <v>2.2429999999999999</v>
      </c>
      <c r="D1133" s="23">
        <v>163</v>
      </c>
      <c r="E1133" s="23">
        <v>92.02</v>
      </c>
      <c r="F1133" s="23">
        <v>29.85</v>
      </c>
      <c r="G1133" s="23">
        <v>581.29999999999995</v>
      </c>
      <c r="H1133" s="23">
        <v>4.7839999999999998</v>
      </c>
      <c r="I1133" s="13">
        <f t="shared" si="17"/>
        <v>3.0827470686767167</v>
      </c>
    </row>
    <row r="1134" spans="2:9">
      <c r="C1134" s="33">
        <v>2.2229999999999999</v>
      </c>
      <c r="D1134" s="23">
        <v>170.8</v>
      </c>
      <c r="E1134" s="23">
        <v>92.37</v>
      </c>
      <c r="F1134" s="23">
        <v>30.15</v>
      </c>
      <c r="G1134" s="23">
        <v>583.5</v>
      </c>
      <c r="H1134" s="23">
        <v>4.3860000000000001</v>
      </c>
      <c r="I1134" s="13">
        <f t="shared" si="17"/>
        <v>3.0636815920398015</v>
      </c>
    </row>
    <row r="1135" spans="2:9">
      <c r="C1135" s="33">
        <v>2.2280000000000002</v>
      </c>
      <c r="D1135" s="23">
        <v>169.7</v>
      </c>
      <c r="E1135" s="23">
        <v>91.77</v>
      </c>
      <c r="F1135" s="23">
        <v>30.49</v>
      </c>
      <c r="G1135" s="23">
        <v>586.4</v>
      </c>
      <c r="H1135" s="23">
        <v>5.4889999999999999</v>
      </c>
      <c r="I1135" s="13">
        <f t="shared" si="17"/>
        <v>3.0098392915710068</v>
      </c>
    </row>
    <row r="1136" spans="2:9">
      <c r="C1136" s="33">
        <v>2.1949999999999998</v>
      </c>
      <c r="D1136" s="23">
        <v>140.19999999999999</v>
      </c>
      <c r="E1136" s="23">
        <v>92.07</v>
      </c>
      <c r="F1136" s="23">
        <v>30.33</v>
      </c>
      <c r="G1136" s="23">
        <v>582.70000000000005</v>
      </c>
      <c r="H1136" s="23">
        <v>5.0350000000000001</v>
      </c>
      <c r="I1136" s="13">
        <f t="shared" si="17"/>
        <v>3.0356083086053411</v>
      </c>
    </row>
    <row r="1137" spans="2:9">
      <c r="C1137" s="33">
        <v>2.1459999999999999</v>
      </c>
      <c r="D1137" s="23">
        <v>164</v>
      </c>
      <c r="E1137" s="23">
        <v>91.87</v>
      </c>
      <c r="F1137" s="23">
        <v>30.18</v>
      </c>
      <c r="G1137" s="23">
        <v>585.79999999999995</v>
      </c>
      <c r="H1137" s="23">
        <v>4.4489999999999998</v>
      </c>
      <c r="I1137" s="13">
        <f t="shared" si="17"/>
        <v>3.044068919814447</v>
      </c>
    </row>
    <row r="1138" spans="2:9">
      <c r="C1138" s="33">
        <v>2.1749999999999998</v>
      </c>
      <c r="D1138" s="23">
        <v>153.80000000000001</v>
      </c>
      <c r="E1138" s="23">
        <v>91.89</v>
      </c>
      <c r="F1138" s="23">
        <v>29.88</v>
      </c>
      <c r="G1138" s="23">
        <v>580.70000000000005</v>
      </c>
      <c r="H1138" s="23">
        <v>4.8380000000000001</v>
      </c>
      <c r="I1138" s="13">
        <f t="shared" si="17"/>
        <v>3.0753012048192772</v>
      </c>
    </row>
    <row r="1139" spans="2:9">
      <c r="C1139" s="33">
        <v>2.1440000000000001</v>
      </c>
      <c r="D1139" s="23">
        <v>153.4</v>
      </c>
      <c r="E1139" s="23">
        <v>91.26</v>
      </c>
      <c r="F1139" s="23">
        <v>30.06</v>
      </c>
      <c r="G1139" s="23">
        <v>587.29999999999995</v>
      </c>
      <c r="H1139" s="23">
        <v>4.78</v>
      </c>
      <c r="I1139" s="13">
        <f t="shared" si="17"/>
        <v>3.0359281437125754</v>
      </c>
    </row>
    <row r="1140" spans="2:9">
      <c r="C1140" s="33">
        <v>2.2530000000000001</v>
      </c>
      <c r="D1140" s="23">
        <v>163.9</v>
      </c>
      <c r="E1140" s="23">
        <v>91.23</v>
      </c>
      <c r="F1140" s="23">
        <v>30.03</v>
      </c>
      <c r="G1140" s="23">
        <v>580.29999999999995</v>
      </c>
      <c r="H1140" s="23">
        <v>5.2869999999999999</v>
      </c>
      <c r="I1140" s="13">
        <f t="shared" si="17"/>
        <v>3.0379620379620378</v>
      </c>
    </row>
    <row r="1141" spans="2:9">
      <c r="C1141" s="33">
        <v>2.1779999999999999</v>
      </c>
      <c r="D1141" s="23">
        <v>113.03</v>
      </c>
      <c r="E1141" s="23">
        <v>91.62</v>
      </c>
      <c r="F1141" s="23">
        <v>29.76</v>
      </c>
      <c r="G1141" s="23">
        <v>577.9</v>
      </c>
      <c r="H1141" s="23">
        <v>5.0529999999999999</v>
      </c>
      <c r="I1141" s="13">
        <f t="shared" si="17"/>
        <v>3.0786290322580645</v>
      </c>
    </row>
    <row r="1142" spans="2:9">
      <c r="B1142" s="35">
        <v>58</v>
      </c>
      <c r="C1142" s="36">
        <v>2.5590000000000002</v>
      </c>
      <c r="D1142" s="38">
        <v>128.6</v>
      </c>
      <c r="E1142" s="38">
        <v>113.8</v>
      </c>
      <c r="F1142" s="38">
        <v>32.450000000000003</v>
      </c>
      <c r="G1142" s="38">
        <v>435.6</v>
      </c>
      <c r="H1142" s="38">
        <v>4.4480000000000004</v>
      </c>
      <c r="I1142" s="13">
        <f t="shared" si="17"/>
        <v>3.5069337442218793</v>
      </c>
    </row>
    <row r="1143" spans="2:9">
      <c r="C1143" s="33">
        <v>2.66</v>
      </c>
      <c r="D1143" s="23">
        <v>120.2</v>
      </c>
      <c r="E1143" s="23">
        <v>113.6</v>
      </c>
      <c r="F1143" s="23">
        <v>32.99</v>
      </c>
      <c r="G1143" s="23">
        <v>443.9</v>
      </c>
      <c r="H1143" s="23">
        <v>4.3639999999999999</v>
      </c>
      <c r="I1143" s="13">
        <f t="shared" si="17"/>
        <v>3.4434677174901482</v>
      </c>
    </row>
    <row r="1144" spans="2:9">
      <c r="C1144" s="33">
        <v>2.6389999999999998</v>
      </c>
      <c r="D1144" s="23">
        <v>115</v>
      </c>
      <c r="E1144" s="23">
        <v>113.7</v>
      </c>
      <c r="F1144" s="23">
        <v>32.28</v>
      </c>
      <c r="G1144" s="23">
        <v>434.8</v>
      </c>
      <c r="H1144" s="23">
        <v>4.28</v>
      </c>
      <c r="I1144" s="13">
        <f t="shared" si="17"/>
        <v>3.5223048327137545</v>
      </c>
    </row>
    <row r="1145" spans="2:9">
      <c r="C1145" s="33">
        <v>2.6080000000000001</v>
      </c>
      <c r="D1145" s="23">
        <v>115.2</v>
      </c>
      <c r="E1145" s="23">
        <v>113.5</v>
      </c>
      <c r="F1145" s="23">
        <v>32.450000000000003</v>
      </c>
      <c r="G1145" s="23">
        <v>435.9</v>
      </c>
      <c r="H1145" s="23">
        <v>4.0890000000000004</v>
      </c>
      <c r="I1145" s="13">
        <f t="shared" si="17"/>
        <v>3.4976887519260398</v>
      </c>
    </row>
    <row r="1146" spans="2:9">
      <c r="C1146" s="33">
        <v>2.5190000000000001</v>
      </c>
      <c r="D1146" s="23">
        <v>157.19999999999999</v>
      </c>
      <c r="E1146" s="23">
        <v>113.4</v>
      </c>
      <c r="F1146" s="23">
        <v>32.549999999999997</v>
      </c>
      <c r="G1146" s="23">
        <v>434.6</v>
      </c>
      <c r="H1146" s="23">
        <v>3.85</v>
      </c>
      <c r="I1146" s="13">
        <f t="shared" si="17"/>
        <v>3.4838709677419359</v>
      </c>
    </row>
    <row r="1147" spans="2:9">
      <c r="C1147" s="33">
        <v>2.6949999999999998</v>
      </c>
      <c r="D1147" s="23">
        <v>129.5</v>
      </c>
      <c r="E1147" s="23">
        <v>113.6</v>
      </c>
      <c r="F1147" s="23">
        <v>32.36</v>
      </c>
      <c r="G1147" s="23">
        <v>438.3</v>
      </c>
      <c r="H1147" s="23">
        <v>3.8050000000000002</v>
      </c>
      <c r="I1147" s="13">
        <f t="shared" si="17"/>
        <v>3.5105067985166873</v>
      </c>
    </row>
    <row r="1148" spans="2:9">
      <c r="C1148" s="33">
        <v>2.2749999999999999</v>
      </c>
      <c r="D1148" s="23">
        <v>157.19999999999999</v>
      </c>
      <c r="E1148" s="23">
        <v>113.7</v>
      </c>
      <c r="F1148" s="23">
        <v>32.979999999999997</v>
      </c>
      <c r="G1148" s="23">
        <v>436.6</v>
      </c>
      <c r="H1148" s="23">
        <v>3.7330000000000001</v>
      </c>
      <c r="I1148" s="13">
        <f t="shared" si="17"/>
        <v>3.4475439660400249</v>
      </c>
    </row>
    <row r="1149" spans="2:9">
      <c r="C1149" s="33">
        <v>2.4340000000000002</v>
      </c>
      <c r="D1149" s="23">
        <v>130.4</v>
      </c>
      <c r="E1149" s="23">
        <v>113.2</v>
      </c>
      <c r="F1149" s="23">
        <v>32.72</v>
      </c>
      <c r="G1149" s="23">
        <v>437.2</v>
      </c>
      <c r="H1149" s="23">
        <v>3.8519999999999999</v>
      </c>
      <c r="I1149" s="13">
        <f t="shared" si="17"/>
        <v>3.4596577017114916</v>
      </c>
    </row>
    <row r="1150" spans="2:9">
      <c r="C1150" s="33">
        <v>2.427</v>
      </c>
      <c r="D1150" s="23">
        <v>157.69999999999999</v>
      </c>
      <c r="E1150" s="23">
        <v>113.3</v>
      </c>
      <c r="F1150" s="23">
        <v>32.82</v>
      </c>
      <c r="G1150" s="23">
        <v>439.5</v>
      </c>
      <c r="H1150" s="23">
        <v>3.4329999999999998</v>
      </c>
      <c r="I1150" s="13">
        <f t="shared" si="17"/>
        <v>3.4521633150517976</v>
      </c>
    </row>
    <row r="1151" spans="2:9">
      <c r="C1151" s="33">
        <v>2.4129999999999998</v>
      </c>
      <c r="D1151" s="23">
        <v>129.5</v>
      </c>
      <c r="E1151" s="23">
        <v>113.4</v>
      </c>
      <c r="F1151" s="23">
        <v>32.630000000000003</v>
      </c>
      <c r="G1151" s="23">
        <v>441.8</v>
      </c>
      <c r="H1151" s="23">
        <v>3.48</v>
      </c>
      <c r="I1151" s="13">
        <f t="shared" si="17"/>
        <v>3.4753294514250688</v>
      </c>
    </row>
    <row r="1152" spans="2:9">
      <c r="C1152" s="33">
        <v>2.391</v>
      </c>
      <c r="D1152" s="23">
        <v>157.19999999999999</v>
      </c>
      <c r="E1152" s="23">
        <v>113.1</v>
      </c>
      <c r="F1152" s="23">
        <v>32.1</v>
      </c>
      <c r="G1152" s="23">
        <v>438.7</v>
      </c>
      <c r="H1152" s="23">
        <v>3.4820000000000002</v>
      </c>
      <c r="I1152" s="13">
        <f t="shared" si="17"/>
        <v>3.523364485981308</v>
      </c>
    </row>
    <row r="1153" spans="2:9">
      <c r="C1153" s="33">
        <v>2.363</v>
      </c>
      <c r="D1153" s="23">
        <v>143.1</v>
      </c>
      <c r="E1153" s="23">
        <v>113</v>
      </c>
      <c r="F1153" s="23">
        <v>32.549999999999997</v>
      </c>
      <c r="G1153" s="23">
        <v>439.8</v>
      </c>
      <c r="H1153" s="23">
        <v>3.5270000000000001</v>
      </c>
      <c r="I1153" s="13">
        <f t="shared" si="17"/>
        <v>3.4715821812596008</v>
      </c>
    </row>
    <row r="1154" spans="2:9">
      <c r="C1154" s="33">
        <v>2.4750000000000001</v>
      </c>
      <c r="D1154" s="23">
        <v>145.4</v>
      </c>
      <c r="E1154" s="23">
        <v>113.4</v>
      </c>
      <c r="F1154" s="23">
        <v>32.630000000000003</v>
      </c>
      <c r="G1154" s="23">
        <v>436.4</v>
      </c>
      <c r="H1154" s="23">
        <v>3.8460000000000001</v>
      </c>
      <c r="I1154" s="13">
        <f t="shared" si="17"/>
        <v>3.4753294514250688</v>
      </c>
    </row>
    <row r="1155" spans="2:9">
      <c r="C1155" s="33">
        <v>2.4340000000000002</v>
      </c>
      <c r="D1155" s="23">
        <v>109.3</v>
      </c>
      <c r="E1155" s="23">
        <v>113.8</v>
      </c>
      <c r="F1155" s="23">
        <v>32.72</v>
      </c>
      <c r="G1155" s="23">
        <v>435.9</v>
      </c>
      <c r="H1155" s="23">
        <v>3.7850000000000001</v>
      </c>
      <c r="I1155" s="13">
        <f t="shared" ref="I1155:I1218" si="18">E1155/F1155</f>
        <v>3.4779951100244499</v>
      </c>
    </row>
    <row r="1156" spans="2:9">
      <c r="C1156" s="33">
        <v>2.4580000000000002</v>
      </c>
      <c r="D1156" s="23">
        <v>119.2</v>
      </c>
      <c r="E1156" s="23">
        <v>114</v>
      </c>
      <c r="F1156" s="23">
        <v>32.99</v>
      </c>
      <c r="G1156" s="23">
        <v>434.8</v>
      </c>
      <c r="H1156" s="23">
        <v>3.4590000000000001</v>
      </c>
      <c r="I1156" s="13">
        <f t="shared" si="18"/>
        <v>3.4555926038193392</v>
      </c>
    </row>
    <row r="1157" spans="2:9">
      <c r="C1157" s="33">
        <v>2.556</v>
      </c>
      <c r="D1157" s="23">
        <v>139.4</v>
      </c>
      <c r="E1157" s="23">
        <v>113.4</v>
      </c>
      <c r="F1157" s="23">
        <v>32.81</v>
      </c>
      <c r="G1157" s="23">
        <v>431.9</v>
      </c>
      <c r="H1157" s="23">
        <v>4.1159999999999997</v>
      </c>
      <c r="I1157" s="13">
        <f t="shared" si="18"/>
        <v>3.4562633343492837</v>
      </c>
    </row>
    <row r="1158" spans="2:9">
      <c r="C1158" s="33">
        <v>2.6589999999999998</v>
      </c>
      <c r="D1158" s="23">
        <v>113.6</v>
      </c>
      <c r="E1158" s="23">
        <v>113.5</v>
      </c>
      <c r="F1158" s="23">
        <v>32.630000000000003</v>
      </c>
      <c r="G1158" s="23">
        <v>435.6</v>
      </c>
      <c r="H1158" s="23">
        <v>3.8679999999999999</v>
      </c>
      <c r="I1158" s="13">
        <f t="shared" si="18"/>
        <v>3.4783941158443148</v>
      </c>
    </row>
    <row r="1159" spans="2:9">
      <c r="C1159" s="33">
        <v>2.71</v>
      </c>
      <c r="D1159" s="23">
        <v>170.2</v>
      </c>
      <c r="E1159" s="23">
        <v>113.3</v>
      </c>
      <c r="F1159" s="23">
        <v>32.99</v>
      </c>
      <c r="G1159" s="23">
        <v>436.1</v>
      </c>
      <c r="H1159" s="23">
        <v>4.2300000000000004</v>
      </c>
      <c r="I1159" s="13">
        <f t="shared" si="18"/>
        <v>3.4343740527432551</v>
      </c>
    </row>
    <row r="1160" spans="2:9">
      <c r="C1160" s="33">
        <v>2.6539999999999999</v>
      </c>
      <c r="D1160" s="23">
        <v>136.1</v>
      </c>
      <c r="E1160" s="23">
        <v>113.2</v>
      </c>
      <c r="F1160" s="23">
        <v>32.9</v>
      </c>
      <c r="G1160" s="23">
        <v>432.8</v>
      </c>
      <c r="H1160" s="23">
        <v>4.4359999999999999</v>
      </c>
      <c r="I1160" s="13">
        <f t="shared" si="18"/>
        <v>3.4407294832826749</v>
      </c>
    </row>
    <row r="1161" spans="2:9">
      <c r="C1161" s="33">
        <v>2.6680000000000001</v>
      </c>
      <c r="D1161" s="23">
        <v>108.6</v>
      </c>
      <c r="E1161" s="23">
        <v>113.3</v>
      </c>
      <c r="F1161" s="23">
        <v>32.81</v>
      </c>
      <c r="G1161" s="23">
        <v>433.3</v>
      </c>
      <c r="H1161" s="23">
        <v>4.484</v>
      </c>
      <c r="I1161" s="13">
        <f t="shared" si="18"/>
        <v>3.4532154830844251</v>
      </c>
    </row>
    <row r="1162" spans="2:9">
      <c r="B1162" s="35">
        <v>59</v>
      </c>
      <c r="C1162" s="36">
        <v>2.9510000000000001</v>
      </c>
      <c r="D1162" s="38">
        <v>126.6</v>
      </c>
      <c r="E1162" s="38">
        <v>102</v>
      </c>
      <c r="F1162" s="38">
        <v>35.33</v>
      </c>
      <c r="G1162" s="38">
        <v>540.6</v>
      </c>
      <c r="H1162" s="38">
        <v>5.1420000000000003</v>
      </c>
      <c r="I1162" s="13">
        <f t="shared" si="18"/>
        <v>2.8870648174356073</v>
      </c>
    </row>
    <row r="1163" spans="2:9">
      <c r="C1163" s="33">
        <v>2.9590000000000001</v>
      </c>
      <c r="D1163" s="23">
        <v>268.39999999999998</v>
      </c>
      <c r="E1163" s="23">
        <v>102.1</v>
      </c>
      <c r="F1163" s="23">
        <v>35.979999999999997</v>
      </c>
      <c r="G1163" s="23">
        <v>530.4</v>
      </c>
      <c r="H1163" s="23">
        <v>5.16</v>
      </c>
      <c r="I1163" s="13">
        <f t="shared" si="18"/>
        <v>2.8376876042245693</v>
      </c>
    </row>
    <row r="1164" spans="2:9">
      <c r="C1164" s="33">
        <v>2.944</v>
      </c>
      <c r="D1164" s="23">
        <v>174.8</v>
      </c>
      <c r="E1164" s="23">
        <v>102.5</v>
      </c>
      <c r="F1164" s="23">
        <v>35.549999999999997</v>
      </c>
      <c r="G1164" s="23">
        <v>565.4</v>
      </c>
      <c r="H1164" s="23">
        <v>5.2619999999999996</v>
      </c>
      <c r="I1164" s="13">
        <f t="shared" si="18"/>
        <v>2.8832630098452885</v>
      </c>
    </row>
    <row r="1165" spans="2:9">
      <c r="C1165" s="33">
        <v>2.9020000000000001</v>
      </c>
      <c r="D1165" s="23">
        <v>212.2</v>
      </c>
      <c r="E1165" s="23">
        <v>101.8</v>
      </c>
      <c r="F1165" s="23">
        <v>35.270000000000003</v>
      </c>
      <c r="G1165" s="23">
        <v>535.6</v>
      </c>
      <c r="H1165" s="23">
        <v>5.2679999999999998</v>
      </c>
      <c r="I1165" s="13">
        <f t="shared" si="18"/>
        <v>2.8863056421888289</v>
      </c>
    </row>
    <row r="1166" spans="2:9">
      <c r="C1166" s="33">
        <v>2.88</v>
      </c>
      <c r="D1166" s="23">
        <v>209.3</v>
      </c>
      <c r="E1166" s="23">
        <v>101.9</v>
      </c>
      <c r="F1166" s="23">
        <v>35.17</v>
      </c>
      <c r="G1166" s="23">
        <v>560.79999999999995</v>
      </c>
      <c r="H1166" s="23">
        <v>5.234</v>
      </c>
      <c r="I1166" s="13">
        <f t="shared" si="18"/>
        <v>2.897355700881433</v>
      </c>
    </row>
    <row r="1167" spans="2:9">
      <c r="C1167" s="33">
        <v>2.8650000000000002</v>
      </c>
      <c r="D1167" s="23">
        <v>213.6</v>
      </c>
      <c r="E1167" s="23">
        <v>101.8</v>
      </c>
      <c r="F1167" s="23">
        <v>35.46</v>
      </c>
      <c r="G1167" s="23">
        <v>535.6</v>
      </c>
      <c r="H1167" s="23">
        <v>4.875</v>
      </c>
      <c r="I1167" s="13">
        <f t="shared" si="18"/>
        <v>2.8708403835307386</v>
      </c>
    </row>
    <row r="1168" spans="2:9">
      <c r="C1168" s="33">
        <v>2.911</v>
      </c>
      <c r="D1168" s="23">
        <v>255</v>
      </c>
      <c r="E1168" s="23">
        <v>101.3</v>
      </c>
      <c r="F1168" s="23">
        <v>35.65</v>
      </c>
      <c r="G1168" s="23">
        <v>533.5</v>
      </c>
      <c r="H1168" s="23">
        <v>4.7809999999999997</v>
      </c>
      <c r="I1168" s="13">
        <f t="shared" si="18"/>
        <v>2.8415147265077141</v>
      </c>
    </row>
    <row r="1169" spans="2:9">
      <c r="C1169" s="33">
        <v>2.9020000000000001</v>
      </c>
      <c r="D1169" s="23">
        <v>210.8</v>
      </c>
      <c r="E1169" s="23">
        <v>102.1</v>
      </c>
      <c r="F1169" s="23">
        <v>35.950000000000003</v>
      </c>
      <c r="G1169" s="23">
        <v>538.29999999999995</v>
      </c>
      <c r="H1169" s="23">
        <v>4.8570000000000002</v>
      </c>
      <c r="I1169" s="13">
        <f t="shared" si="18"/>
        <v>2.8400556328233653</v>
      </c>
    </row>
    <row r="1170" spans="2:9">
      <c r="C1170" s="33">
        <v>2.907</v>
      </c>
      <c r="D1170" s="23">
        <v>213.6</v>
      </c>
      <c r="E1170" s="23">
        <v>102.2</v>
      </c>
      <c r="F1170" s="23">
        <v>35.85</v>
      </c>
      <c r="G1170" s="23">
        <v>541.6</v>
      </c>
      <c r="H1170" s="23">
        <v>4.7809999999999997</v>
      </c>
      <c r="I1170" s="13">
        <f t="shared" si="18"/>
        <v>2.8507670850767086</v>
      </c>
    </row>
    <row r="1171" spans="2:9">
      <c r="C1171" s="33">
        <v>2.9590000000000001</v>
      </c>
      <c r="D1171" s="23">
        <v>264.89999999999998</v>
      </c>
      <c r="E1171" s="23">
        <v>102.1</v>
      </c>
      <c r="F1171" s="23">
        <v>36</v>
      </c>
      <c r="G1171" s="23">
        <v>570.70000000000005</v>
      </c>
      <c r="H1171" s="23">
        <v>4.7249999999999996</v>
      </c>
      <c r="I1171" s="13">
        <f t="shared" si="18"/>
        <v>2.8361111111111108</v>
      </c>
    </row>
    <row r="1172" spans="2:9">
      <c r="C1172" s="33">
        <v>2.9910000000000001</v>
      </c>
      <c r="D1172" s="23">
        <v>216</v>
      </c>
      <c r="E1172" s="23">
        <v>102.4</v>
      </c>
      <c r="F1172" s="23">
        <v>35.83</v>
      </c>
      <c r="G1172" s="23">
        <v>564</v>
      </c>
      <c r="H1172" s="23">
        <v>4.6310000000000002</v>
      </c>
      <c r="I1172" s="13">
        <f t="shared" si="18"/>
        <v>2.8579402735138157</v>
      </c>
    </row>
    <row r="1173" spans="2:9">
      <c r="C1173" s="33">
        <v>2.9780000000000002</v>
      </c>
      <c r="D1173" s="23">
        <v>231.1</v>
      </c>
      <c r="E1173" s="23">
        <v>102.6</v>
      </c>
      <c r="F1173" s="23">
        <v>35.74</v>
      </c>
      <c r="G1173" s="23">
        <v>560</v>
      </c>
      <c r="H1173" s="23">
        <v>4.6159999999999997</v>
      </c>
      <c r="I1173" s="13">
        <f t="shared" si="18"/>
        <v>2.8707330721880244</v>
      </c>
    </row>
    <row r="1174" spans="2:9">
      <c r="C1174" s="33">
        <v>2.95</v>
      </c>
      <c r="D1174" s="23">
        <v>228.8</v>
      </c>
      <c r="E1174" s="23">
        <v>101.8</v>
      </c>
      <c r="F1174" s="23">
        <v>35.57</v>
      </c>
      <c r="G1174" s="23">
        <v>564.6</v>
      </c>
      <c r="H1174" s="23">
        <v>4.74</v>
      </c>
      <c r="I1174" s="13">
        <f t="shared" si="18"/>
        <v>2.8619623278043296</v>
      </c>
    </row>
    <row r="1175" spans="2:9">
      <c r="C1175" s="33">
        <v>2.9710000000000001</v>
      </c>
      <c r="D1175" s="23">
        <v>127.8</v>
      </c>
      <c r="E1175" s="23">
        <v>101.9</v>
      </c>
      <c r="F1175" s="23">
        <v>35.659999999999997</v>
      </c>
      <c r="G1175" s="23">
        <v>536.6</v>
      </c>
      <c r="H1175" s="23">
        <v>4.6929999999999996</v>
      </c>
      <c r="I1175" s="13">
        <f t="shared" si="18"/>
        <v>2.8575434660684245</v>
      </c>
    </row>
    <row r="1176" spans="2:9">
      <c r="C1176" s="33">
        <v>3.004</v>
      </c>
      <c r="D1176" s="23">
        <v>208.6</v>
      </c>
      <c r="E1176" s="23">
        <v>102</v>
      </c>
      <c r="F1176" s="23">
        <v>35.47</v>
      </c>
      <c r="G1176" s="23">
        <v>538.5</v>
      </c>
      <c r="H1176" s="23">
        <v>4.6529999999999996</v>
      </c>
      <c r="I1176" s="13">
        <f t="shared" si="18"/>
        <v>2.8756695799266989</v>
      </c>
    </row>
    <row r="1177" spans="2:9">
      <c r="C1177" s="33">
        <v>3.0030000000000001</v>
      </c>
      <c r="D1177" s="23">
        <v>215.2</v>
      </c>
      <c r="E1177" s="23">
        <v>102.1</v>
      </c>
      <c r="F1177" s="23">
        <v>35.659999999999997</v>
      </c>
      <c r="G1177" s="23">
        <v>537.6</v>
      </c>
      <c r="H1177" s="23">
        <v>4.7880000000000003</v>
      </c>
      <c r="I1177" s="13">
        <f t="shared" si="18"/>
        <v>2.8631519910263603</v>
      </c>
    </row>
    <row r="1178" spans="2:9">
      <c r="C1178" s="33">
        <v>3.0150000000000001</v>
      </c>
      <c r="D1178" s="23">
        <v>229.5</v>
      </c>
      <c r="E1178" s="23">
        <v>102.1</v>
      </c>
      <c r="F1178" s="23">
        <v>35.92</v>
      </c>
      <c r="G1178" s="23">
        <v>536.29999999999995</v>
      </c>
      <c r="H1178" s="23">
        <v>4.6829999999999998</v>
      </c>
      <c r="I1178" s="13">
        <f t="shared" si="18"/>
        <v>2.842427616926503</v>
      </c>
    </row>
    <row r="1179" spans="2:9">
      <c r="C1179" s="33">
        <v>3.0329999999999999</v>
      </c>
      <c r="D1179" s="23">
        <v>244.5</v>
      </c>
      <c r="E1179" s="23">
        <v>102.2</v>
      </c>
      <c r="F1179" s="23">
        <v>35.83</v>
      </c>
      <c r="G1179" s="23">
        <v>555.6</v>
      </c>
      <c r="H1179" s="23">
        <v>4.681</v>
      </c>
      <c r="I1179" s="13">
        <f t="shared" si="18"/>
        <v>2.8523583589171086</v>
      </c>
    </row>
    <row r="1180" spans="2:9">
      <c r="C1180" s="33">
        <v>3.0230000000000001</v>
      </c>
      <c r="D1180" s="23">
        <v>253.6</v>
      </c>
      <c r="E1180" s="23">
        <v>101.9</v>
      </c>
      <c r="F1180" s="23">
        <v>36.18</v>
      </c>
      <c r="G1180" s="23">
        <v>566.9</v>
      </c>
      <c r="H1180" s="23">
        <v>5.1020000000000003</v>
      </c>
      <c r="I1180" s="13">
        <f t="shared" si="18"/>
        <v>2.8164731896075184</v>
      </c>
    </row>
    <row r="1181" spans="2:9">
      <c r="C1181" s="33">
        <v>3.0049999999999999</v>
      </c>
      <c r="D1181" s="23">
        <v>239.4</v>
      </c>
      <c r="E1181" s="23">
        <v>102.1</v>
      </c>
      <c r="F1181" s="23">
        <v>36.229999999999997</v>
      </c>
      <c r="G1181" s="23">
        <v>565.6</v>
      </c>
      <c r="H1181" s="23">
        <v>5.5869999999999997</v>
      </c>
      <c r="I1181" s="13">
        <f t="shared" si="18"/>
        <v>2.81810654154016</v>
      </c>
    </row>
    <row r="1182" spans="2:9">
      <c r="B1182" s="35">
        <v>60</v>
      </c>
      <c r="C1182" s="36">
        <v>1.167</v>
      </c>
      <c r="D1182" s="38">
        <v>177.9</v>
      </c>
      <c r="E1182" s="38">
        <v>85.73</v>
      </c>
      <c r="F1182" s="38">
        <v>33.049999999999997</v>
      </c>
      <c r="G1182" s="38">
        <v>538.29999999999995</v>
      </c>
      <c r="H1182" s="38">
        <v>3.6379999999999999</v>
      </c>
      <c r="I1182" s="13">
        <f t="shared" si="18"/>
        <v>2.5939485627836616</v>
      </c>
    </row>
    <row r="1183" spans="2:9">
      <c r="C1183" s="33">
        <v>1.1719999999999999</v>
      </c>
      <c r="D1183" s="23">
        <v>131.5</v>
      </c>
      <c r="E1183" s="23">
        <v>86.52</v>
      </c>
      <c r="F1183" s="23">
        <v>32.65</v>
      </c>
      <c r="G1183" s="23">
        <v>537.70000000000005</v>
      </c>
      <c r="H1183" s="23">
        <v>4.0679999999999996</v>
      </c>
      <c r="I1183" s="13">
        <f t="shared" si="18"/>
        <v>2.6499234303215928</v>
      </c>
    </row>
    <row r="1184" spans="2:9">
      <c r="C1184" s="33">
        <v>1.173</v>
      </c>
      <c r="D1184" s="23">
        <v>165.1</v>
      </c>
      <c r="E1184" s="23">
        <v>86.53</v>
      </c>
      <c r="F1184" s="23">
        <v>32.479999999999997</v>
      </c>
      <c r="G1184" s="23">
        <v>544.70000000000005</v>
      </c>
      <c r="H1184" s="23">
        <v>4.0149999999999997</v>
      </c>
      <c r="I1184" s="13">
        <f t="shared" si="18"/>
        <v>2.6641009852216753</v>
      </c>
    </row>
    <row r="1185" spans="3:9">
      <c r="C1185" s="33">
        <v>1.1639999999999999</v>
      </c>
      <c r="D1185" s="23">
        <v>192.2</v>
      </c>
      <c r="E1185" s="23">
        <v>86.77</v>
      </c>
      <c r="F1185" s="23">
        <v>32.08</v>
      </c>
      <c r="G1185" s="23">
        <v>551.1</v>
      </c>
      <c r="H1185" s="23">
        <v>4.218</v>
      </c>
      <c r="I1185" s="13">
        <f t="shared" si="18"/>
        <v>2.7048004987531171</v>
      </c>
    </row>
    <row r="1186" spans="3:9">
      <c r="C1186" s="33">
        <v>1.155</v>
      </c>
      <c r="D1186" s="23">
        <v>162.4</v>
      </c>
      <c r="E1186" s="23">
        <v>86.79</v>
      </c>
      <c r="F1186" s="23">
        <v>32.24</v>
      </c>
      <c r="G1186" s="23">
        <v>542.70000000000005</v>
      </c>
      <c r="H1186" s="23">
        <v>4.149</v>
      </c>
      <c r="I1186" s="13">
        <f t="shared" si="18"/>
        <v>2.6919975186104219</v>
      </c>
    </row>
    <row r="1187" spans="3:9">
      <c r="C1187" s="33">
        <v>1.1100000000000001</v>
      </c>
      <c r="D1187" s="23">
        <v>201.3</v>
      </c>
      <c r="E1187" s="23">
        <v>86.21</v>
      </c>
      <c r="F1187" s="23">
        <v>32.630000000000003</v>
      </c>
      <c r="G1187" s="23">
        <v>536.6</v>
      </c>
      <c r="H1187" s="23">
        <v>4.29</v>
      </c>
      <c r="I1187" s="13">
        <f t="shared" si="18"/>
        <v>2.6420471958320562</v>
      </c>
    </row>
    <row r="1188" spans="3:9">
      <c r="C1188" s="33">
        <v>1.1060000000000001</v>
      </c>
      <c r="D1188" s="23">
        <v>155.80000000000001</v>
      </c>
      <c r="E1188" s="23">
        <v>85.97</v>
      </c>
      <c r="F1188" s="23">
        <v>32.82</v>
      </c>
      <c r="G1188" s="23">
        <v>543.29999999999995</v>
      </c>
      <c r="H1188" s="23">
        <v>4.0149999999999997</v>
      </c>
      <c r="I1188" s="13">
        <f t="shared" si="18"/>
        <v>2.6194393662400977</v>
      </c>
    </row>
    <row r="1189" spans="3:9">
      <c r="C1189" s="33">
        <v>1.087</v>
      </c>
      <c r="D1189" s="23">
        <v>183.8</v>
      </c>
      <c r="E1189" s="23">
        <v>86.56</v>
      </c>
      <c r="F1189" s="23">
        <v>32.81</v>
      </c>
      <c r="G1189" s="23">
        <v>554.20000000000005</v>
      </c>
      <c r="H1189" s="23">
        <v>4.3920000000000003</v>
      </c>
      <c r="I1189" s="13">
        <f t="shared" si="18"/>
        <v>2.6382200548613226</v>
      </c>
    </row>
    <row r="1190" spans="3:9">
      <c r="C1190" s="33">
        <v>1.109</v>
      </c>
      <c r="D1190" s="23">
        <v>163.69999999999999</v>
      </c>
      <c r="E1190" s="23">
        <v>86.75</v>
      </c>
      <c r="F1190" s="23">
        <v>32.619999999999997</v>
      </c>
      <c r="G1190" s="23">
        <v>534.70000000000005</v>
      </c>
      <c r="H1190" s="23">
        <v>4.3390000000000004</v>
      </c>
      <c r="I1190" s="13">
        <f t="shared" si="18"/>
        <v>2.6594114040465975</v>
      </c>
    </row>
    <row r="1191" spans="3:9">
      <c r="C1191" s="33">
        <v>1.139</v>
      </c>
      <c r="D1191" s="23">
        <v>117.4</v>
      </c>
      <c r="E1191" s="23">
        <v>86.77</v>
      </c>
      <c r="F1191" s="23">
        <v>32.5</v>
      </c>
      <c r="G1191" s="23">
        <v>543.5</v>
      </c>
      <c r="H1191" s="23">
        <v>4.4809999999999999</v>
      </c>
      <c r="I1191" s="13">
        <f t="shared" si="18"/>
        <v>2.6698461538461538</v>
      </c>
    </row>
    <row r="1192" spans="3:9">
      <c r="C1192" s="33">
        <v>1.151</v>
      </c>
      <c r="D1192" s="23">
        <v>149.80000000000001</v>
      </c>
      <c r="E1192" s="23">
        <v>86.58</v>
      </c>
      <c r="F1192" s="23">
        <v>32.43</v>
      </c>
      <c r="G1192" s="23">
        <v>553</v>
      </c>
      <c r="H1192" s="23">
        <v>4.1630000000000003</v>
      </c>
      <c r="I1192" s="13">
        <f t="shared" si="18"/>
        <v>2.6697502312673449</v>
      </c>
    </row>
    <row r="1193" spans="3:9">
      <c r="C1193" s="33">
        <v>1.161</v>
      </c>
      <c r="D1193" s="23">
        <v>155.80000000000001</v>
      </c>
      <c r="E1193" s="23">
        <v>86.61</v>
      </c>
      <c r="F1193" s="23">
        <v>32.11</v>
      </c>
      <c r="G1193" s="23">
        <v>544.79999999999995</v>
      </c>
      <c r="H1193" s="23">
        <v>3.8159999999999998</v>
      </c>
      <c r="I1193" s="13">
        <f t="shared" si="18"/>
        <v>2.697290563687325</v>
      </c>
    </row>
    <row r="1194" spans="3:9">
      <c r="C1194" s="33">
        <v>1.1659999999999999</v>
      </c>
      <c r="D1194" s="23">
        <v>149.19999999999999</v>
      </c>
      <c r="E1194" s="23">
        <v>86.64</v>
      </c>
      <c r="F1194" s="23">
        <v>32.31</v>
      </c>
      <c r="G1194" s="23">
        <v>550.70000000000005</v>
      </c>
      <c r="H1194" s="23">
        <v>3.9689999999999999</v>
      </c>
      <c r="I1194" s="13">
        <f t="shared" si="18"/>
        <v>2.6815227483751158</v>
      </c>
    </row>
    <row r="1195" spans="3:9">
      <c r="C1195" s="33">
        <v>1.17</v>
      </c>
      <c r="D1195" s="23">
        <v>135.4</v>
      </c>
      <c r="E1195" s="23">
        <v>86.85</v>
      </c>
      <c r="F1195" s="23">
        <v>32.5</v>
      </c>
      <c r="G1195" s="23">
        <v>566.70000000000005</v>
      </c>
      <c r="H1195" s="23">
        <v>4.0679999999999996</v>
      </c>
      <c r="I1195" s="13">
        <f t="shared" si="18"/>
        <v>2.6723076923076921</v>
      </c>
    </row>
    <row r="1196" spans="3:9">
      <c r="C1196" s="33">
        <v>1.171</v>
      </c>
      <c r="D1196" s="23">
        <v>179</v>
      </c>
      <c r="E1196" s="23">
        <v>86.62</v>
      </c>
      <c r="F1196" s="23">
        <v>33.03</v>
      </c>
      <c r="G1196" s="23">
        <v>538.70000000000005</v>
      </c>
      <c r="H1196" s="23">
        <v>3.9319999999999999</v>
      </c>
      <c r="I1196" s="13">
        <f t="shared" si="18"/>
        <v>2.6224644262791403</v>
      </c>
    </row>
    <row r="1197" spans="3:9">
      <c r="C1197" s="33">
        <v>1.159</v>
      </c>
      <c r="D1197" s="23">
        <v>202.6</v>
      </c>
      <c r="E1197" s="23">
        <v>86.46</v>
      </c>
      <c r="F1197" s="23">
        <v>33.06</v>
      </c>
      <c r="G1197" s="23">
        <v>537.9</v>
      </c>
      <c r="H1197" s="23">
        <v>4.2329999999999997</v>
      </c>
      <c r="I1197" s="13">
        <f t="shared" si="18"/>
        <v>2.6152450090744099</v>
      </c>
    </row>
    <row r="1198" spans="3:9">
      <c r="C1198" s="33">
        <v>1.149</v>
      </c>
      <c r="D1198" s="23">
        <v>155.80000000000001</v>
      </c>
      <c r="E1198" s="23">
        <v>86.67</v>
      </c>
      <c r="F1198" s="23">
        <v>32.479999999999997</v>
      </c>
      <c r="G1198" s="23">
        <v>547.5</v>
      </c>
      <c r="H1198" s="23">
        <v>4.1920000000000002</v>
      </c>
      <c r="I1198" s="13">
        <f t="shared" si="18"/>
        <v>2.6684113300492616</v>
      </c>
    </row>
    <row r="1199" spans="3:9">
      <c r="C1199" s="33">
        <v>1.141</v>
      </c>
      <c r="D1199" s="23">
        <v>189.2</v>
      </c>
      <c r="E1199" s="23">
        <v>86.71</v>
      </c>
      <c r="F1199" s="23">
        <v>32.450000000000003</v>
      </c>
      <c r="G1199" s="23">
        <v>537</v>
      </c>
      <c r="H1199" s="23">
        <v>4.5190000000000001</v>
      </c>
      <c r="I1199" s="13">
        <f t="shared" si="18"/>
        <v>2.6721109399075496</v>
      </c>
    </row>
    <row r="1200" spans="3:9">
      <c r="C1200" s="33">
        <v>1.133</v>
      </c>
      <c r="D1200" s="23">
        <v>169</v>
      </c>
      <c r="E1200" s="23">
        <v>86.94</v>
      </c>
      <c r="F1200" s="23">
        <v>32.44</v>
      </c>
      <c r="G1200" s="23">
        <v>551.70000000000005</v>
      </c>
      <c r="H1200" s="23">
        <v>4.282</v>
      </c>
      <c r="I1200" s="13">
        <f t="shared" si="18"/>
        <v>2.6800246609124541</v>
      </c>
    </row>
    <row r="1201" spans="2:9">
      <c r="C1201" s="33">
        <v>1.1220000000000001</v>
      </c>
      <c r="D1201" s="23">
        <v>146.19999999999999</v>
      </c>
      <c r="E1201" s="23">
        <v>86.54</v>
      </c>
      <c r="F1201" s="23">
        <v>32.630000000000003</v>
      </c>
      <c r="G1201" s="23">
        <v>553.20000000000005</v>
      </c>
      <c r="H1201" s="23">
        <v>4.1989999999999998</v>
      </c>
      <c r="I1201" s="13">
        <f t="shared" si="18"/>
        <v>2.6521605884155686</v>
      </c>
    </row>
    <row r="1202" spans="2:9">
      <c r="B1202" s="35">
        <v>61</v>
      </c>
      <c r="C1202" s="36">
        <v>2.0699999999999998</v>
      </c>
      <c r="D1202" s="38">
        <v>186.3</v>
      </c>
      <c r="E1202" s="38">
        <v>95.1</v>
      </c>
      <c r="F1202" s="38">
        <v>26.45</v>
      </c>
      <c r="G1202" s="38">
        <v>533.6</v>
      </c>
      <c r="H1202" s="38">
        <v>5.4909999999999997</v>
      </c>
      <c r="I1202" s="13">
        <f t="shared" si="18"/>
        <v>3.595463137996219</v>
      </c>
    </row>
    <row r="1203" spans="2:9">
      <c r="C1203" s="33">
        <v>2.2250000000000001</v>
      </c>
      <c r="D1203" s="23">
        <v>192</v>
      </c>
      <c r="E1203" s="23">
        <v>95.37</v>
      </c>
      <c r="F1203" s="23">
        <v>26.63</v>
      </c>
      <c r="G1203" s="23">
        <v>536.70000000000005</v>
      </c>
      <c r="H1203" s="23">
        <v>5.3140000000000001</v>
      </c>
      <c r="I1203" s="13">
        <f t="shared" si="18"/>
        <v>3.5812992865189637</v>
      </c>
    </row>
    <row r="1204" spans="2:9">
      <c r="C1204" s="33">
        <v>2.258</v>
      </c>
      <c r="D1204" s="23">
        <v>178.3</v>
      </c>
      <c r="E1204" s="23">
        <v>95.53</v>
      </c>
      <c r="F1204" s="23">
        <v>26.79</v>
      </c>
      <c r="G1204" s="23">
        <v>536.4</v>
      </c>
      <c r="H1204" s="23">
        <v>4.4930000000000003</v>
      </c>
      <c r="I1204" s="13">
        <f t="shared" si="18"/>
        <v>3.5658827920865996</v>
      </c>
    </row>
    <row r="1205" spans="2:9">
      <c r="C1205" s="33">
        <v>2.2200000000000002</v>
      </c>
      <c r="D1205" s="23">
        <v>204.9</v>
      </c>
      <c r="E1205" s="23">
        <v>95.17</v>
      </c>
      <c r="F1205" s="23">
        <v>26.98</v>
      </c>
      <c r="G1205" s="23">
        <v>543.9</v>
      </c>
      <c r="H1205" s="23">
        <v>4.8529999999999998</v>
      </c>
      <c r="I1205" s="13">
        <f t="shared" si="18"/>
        <v>3.5274277242401779</v>
      </c>
    </row>
    <row r="1206" spans="2:9">
      <c r="C1206" s="33">
        <v>2.1309999999999998</v>
      </c>
      <c r="D1206" s="23">
        <v>217.7</v>
      </c>
      <c r="E1206" s="23">
        <v>95.26</v>
      </c>
      <c r="F1206" s="23">
        <v>27.08</v>
      </c>
      <c r="G1206" s="23">
        <v>535.29999999999995</v>
      </c>
      <c r="H1206" s="23">
        <v>5.5149999999999997</v>
      </c>
      <c r="I1206" s="13">
        <f t="shared" si="18"/>
        <v>3.5177252584933534</v>
      </c>
    </row>
    <row r="1207" spans="2:9">
      <c r="C1207" s="33">
        <v>2.073</v>
      </c>
      <c r="D1207" s="23">
        <v>207.9</v>
      </c>
      <c r="E1207" s="23">
        <v>95.34</v>
      </c>
      <c r="F1207" s="23">
        <v>26.29</v>
      </c>
      <c r="G1207" s="23">
        <v>535.9</v>
      </c>
      <c r="H1207" s="23">
        <v>6.0720000000000001</v>
      </c>
      <c r="I1207" s="13">
        <f t="shared" si="18"/>
        <v>3.6264739444655767</v>
      </c>
    </row>
    <row r="1208" spans="2:9">
      <c r="C1208" s="33">
        <v>1.996</v>
      </c>
      <c r="D1208" s="23">
        <v>220.3</v>
      </c>
      <c r="E1208" s="23">
        <v>95.52</v>
      </c>
      <c r="F1208" s="23">
        <v>26.34</v>
      </c>
      <c r="G1208" s="23">
        <v>543.6</v>
      </c>
      <c r="H1208" s="23">
        <v>6.3019999999999996</v>
      </c>
      <c r="I1208" s="13">
        <f t="shared" si="18"/>
        <v>3.6264236902050113</v>
      </c>
    </row>
    <row r="1209" spans="2:9">
      <c r="C1209" s="33">
        <v>1.9119999999999999</v>
      </c>
      <c r="D1209" s="23">
        <v>173.6</v>
      </c>
      <c r="E1209" s="23">
        <v>95.73</v>
      </c>
      <c r="F1209" s="23">
        <v>26.82</v>
      </c>
      <c r="G1209" s="23">
        <v>531.20000000000005</v>
      </c>
      <c r="H1209" s="23">
        <v>4.4720000000000004</v>
      </c>
      <c r="I1209" s="13">
        <f t="shared" si="18"/>
        <v>3.5693512304250561</v>
      </c>
    </row>
    <row r="1210" spans="2:9">
      <c r="C1210" s="33">
        <v>1.996</v>
      </c>
      <c r="D1210" s="23">
        <v>210.4</v>
      </c>
      <c r="E1210" s="23">
        <v>95.79</v>
      </c>
      <c r="F1210" s="23">
        <v>26.2</v>
      </c>
      <c r="G1210" s="23">
        <v>538.4</v>
      </c>
      <c r="H1210" s="23">
        <v>4.2859999999999996</v>
      </c>
      <c r="I1210" s="13">
        <f t="shared" si="18"/>
        <v>3.6561068702290078</v>
      </c>
    </row>
    <row r="1211" spans="2:9">
      <c r="C1211" s="33">
        <v>2.0499999999999998</v>
      </c>
      <c r="D1211" s="23">
        <v>161</v>
      </c>
      <c r="E1211" s="23">
        <v>95.73</v>
      </c>
      <c r="F1211" s="23">
        <v>26.36</v>
      </c>
      <c r="G1211" s="23">
        <v>533.1</v>
      </c>
      <c r="H1211" s="23">
        <v>4.7409999999999997</v>
      </c>
      <c r="I1211" s="13">
        <f t="shared" si="18"/>
        <v>3.6316388467374812</v>
      </c>
    </row>
    <row r="1212" spans="2:9">
      <c r="C1212" s="33">
        <v>2.1560000000000001</v>
      </c>
      <c r="D1212" s="23">
        <v>200.4</v>
      </c>
      <c r="E1212" s="23">
        <v>95.08</v>
      </c>
      <c r="F1212" s="23">
        <v>26.51</v>
      </c>
      <c r="G1212" s="23">
        <v>532.5</v>
      </c>
      <c r="H1212" s="23">
        <v>6.806</v>
      </c>
      <c r="I1212" s="13">
        <f t="shared" si="18"/>
        <v>3.586571105243304</v>
      </c>
    </row>
    <row r="1213" spans="2:9">
      <c r="C1213" s="33">
        <v>2.1309999999999998</v>
      </c>
      <c r="D1213" s="23">
        <v>155.6</v>
      </c>
      <c r="E1213" s="23">
        <v>95.26</v>
      </c>
      <c r="F1213" s="23">
        <v>26.59</v>
      </c>
      <c r="G1213" s="23">
        <v>534.5</v>
      </c>
      <c r="H1213" s="23">
        <v>7.4320000000000004</v>
      </c>
      <c r="I1213" s="13">
        <f t="shared" si="18"/>
        <v>3.5825498307634449</v>
      </c>
    </row>
    <row r="1214" spans="2:9">
      <c r="C1214" s="33">
        <v>2.133</v>
      </c>
      <c r="D1214" s="23">
        <v>129.4</v>
      </c>
      <c r="E1214" s="23">
        <v>95.44</v>
      </c>
      <c r="F1214" s="23">
        <v>26.67</v>
      </c>
      <c r="G1214" s="23">
        <v>538.20000000000005</v>
      </c>
      <c r="H1214" s="23">
        <v>5.7050000000000001</v>
      </c>
      <c r="I1214" s="13">
        <f t="shared" si="18"/>
        <v>3.5785526809148855</v>
      </c>
    </row>
    <row r="1215" spans="2:9">
      <c r="C1215" s="33">
        <v>2.1179999999999999</v>
      </c>
      <c r="D1215" s="23">
        <v>122.3</v>
      </c>
      <c r="E1215" s="23">
        <v>95.18</v>
      </c>
      <c r="F1215" s="23">
        <v>26.75</v>
      </c>
      <c r="G1215" s="23">
        <v>537.5</v>
      </c>
      <c r="H1215" s="23">
        <v>6.2569999999999997</v>
      </c>
      <c r="I1215" s="13">
        <f t="shared" si="18"/>
        <v>3.5581308411214958</v>
      </c>
    </row>
    <row r="1216" spans="2:9">
      <c r="C1216" s="33">
        <v>2.2160000000000002</v>
      </c>
      <c r="D1216" s="23">
        <v>155.30000000000001</v>
      </c>
      <c r="E1216" s="23">
        <v>95.17</v>
      </c>
      <c r="F1216" s="23">
        <v>26.83</v>
      </c>
      <c r="G1216" s="23">
        <v>541.29999999999995</v>
      </c>
      <c r="H1216" s="23">
        <v>5.4909999999999997</v>
      </c>
      <c r="I1216" s="13">
        <f t="shared" si="18"/>
        <v>3.5471487141259788</v>
      </c>
    </row>
    <row r="1217" spans="2:9">
      <c r="C1217" s="33">
        <v>2.2480000000000002</v>
      </c>
      <c r="D1217" s="23">
        <v>201.8</v>
      </c>
      <c r="E1217" s="23">
        <v>95.53</v>
      </c>
      <c r="F1217" s="23">
        <v>26.99</v>
      </c>
      <c r="G1217" s="23">
        <v>547.70000000000005</v>
      </c>
      <c r="H1217" s="23">
        <v>4.8529999999999998</v>
      </c>
      <c r="I1217" s="13">
        <f t="shared" si="18"/>
        <v>3.5394590589107078</v>
      </c>
    </row>
    <row r="1218" spans="2:9">
      <c r="C1218" s="33">
        <v>2.1280000000000001</v>
      </c>
      <c r="D1218" s="23">
        <v>213.8</v>
      </c>
      <c r="E1218" s="23">
        <v>95.7</v>
      </c>
      <c r="F1218" s="23">
        <v>26.83</v>
      </c>
      <c r="G1218" s="23">
        <v>542.70000000000005</v>
      </c>
      <c r="H1218" s="23">
        <v>4.2679999999999998</v>
      </c>
      <c r="I1218" s="13">
        <f t="shared" si="18"/>
        <v>3.5669027208348867</v>
      </c>
    </row>
    <row r="1219" spans="2:9">
      <c r="C1219" s="33">
        <v>2.097</v>
      </c>
      <c r="D1219" s="23">
        <v>175.3</v>
      </c>
      <c r="E1219" s="23">
        <v>95.88</v>
      </c>
      <c r="F1219" s="23">
        <v>26.68</v>
      </c>
      <c r="G1219" s="23">
        <v>548.5</v>
      </c>
      <c r="H1219" s="23">
        <v>4.8330000000000002</v>
      </c>
      <c r="I1219" s="13">
        <f t="shared" ref="I1219:I1282" si="19">E1219/F1219</f>
        <v>3.5937031484257869</v>
      </c>
    </row>
    <row r="1220" spans="2:9">
      <c r="C1220" s="33">
        <v>2.2450000000000001</v>
      </c>
      <c r="D1220" s="23">
        <v>203.4</v>
      </c>
      <c r="E1220" s="23">
        <v>96</v>
      </c>
      <c r="F1220" s="23">
        <v>26.445</v>
      </c>
      <c r="G1220" s="23">
        <v>543</v>
      </c>
      <c r="H1220" s="23">
        <v>5.65</v>
      </c>
      <c r="I1220" s="13">
        <f t="shared" si="19"/>
        <v>3.6301758366420871</v>
      </c>
    </row>
    <row r="1221" spans="2:9">
      <c r="C1221" s="33">
        <v>2.2480000000000002</v>
      </c>
      <c r="D1221" s="23">
        <v>172.4</v>
      </c>
      <c r="E1221" s="23">
        <v>95.83</v>
      </c>
      <c r="F1221" s="23">
        <v>26.29</v>
      </c>
      <c r="G1221" s="23">
        <v>536.70000000000005</v>
      </c>
      <c r="H1221" s="23">
        <v>6.15</v>
      </c>
      <c r="I1221" s="13">
        <f t="shared" si="19"/>
        <v>3.6451122099657667</v>
      </c>
    </row>
    <row r="1222" spans="2:9">
      <c r="B1222" s="35">
        <v>62</v>
      </c>
      <c r="C1222" s="36">
        <v>2.37</v>
      </c>
      <c r="D1222" s="38">
        <v>133</v>
      </c>
      <c r="E1222" s="38">
        <v>108.3</v>
      </c>
      <c r="F1222" s="38">
        <v>42.89</v>
      </c>
      <c r="G1222" s="38">
        <v>533.20000000000005</v>
      </c>
      <c r="H1222" s="38">
        <v>4.8529999999999998</v>
      </c>
      <c r="I1222" s="13">
        <f t="shared" si="19"/>
        <v>2.5250641175099089</v>
      </c>
    </row>
    <row r="1223" spans="2:9">
      <c r="C1223" s="33">
        <v>2.3860000000000001</v>
      </c>
      <c r="D1223" s="23">
        <v>100</v>
      </c>
      <c r="E1223" s="23">
        <v>107.5</v>
      </c>
      <c r="F1223" s="23">
        <v>41.57</v>
      </c>
      <c r="G1223" s="23">
        <v>527.4</v>
      </c>
      <c r="H1223" s="23">
        <v>4.58</v>
      </c>
      <c r="I1223" s="13">
        <f t="shared" si="19"/>
        <v>2.5859995188838103</v>
      </c>
    </row>
    <row r="1224" spans="2:9">
      <c r="C1224" s="33">
        <v>2.3879999999999999</v>
      </c>
      <c r="D1224" s="23">
        <v>167.6</v>
      </c>
      <c r="E1224" s="23">
        <v>107.4</v>
      </c>
      <c r="F1224" s="23">
        <v>41.57</v>
      </c>
      <c r="G1224" s="23">
        <v>538.1</v>
      </c>
      <c r="H1224" s="23">
        <v>4.47</v>
      </c>
      <c r="I1224" s="13">
        <f t="shared" si="19"/>
        <v>2.5835939379360116</v>
      </c>
    </row>
    <row r="1225" spans="2:9">
      <c r="C1225" s="33">
        <v>2.4039999999999999</v>
      </c>
      <c r="D1225" s="23">
        <v>147.6</v>
      </c>
      <c r="E1225" s="23">
        <v>107.3</v>
      </c>
      <c r="F1225" s="23">
        <v>41.49</v>
      </c>
      <c r="G1225" s="23">
        <v>542.79999999999995</v>
      </c>
      <c r="H1225" s="23">
        <v>4.9749999999999996</v>
      </c>
      <c r="I1225" s="13">
        <f t="shared" si="19"/>
        <v>2.5861653410460348</v>
      </c>
    </row>
    <row r="1226" spans="2:9">
      <c r="C1226" s="33">
        <v>2.3410000000000002</v>
      </c>
      <c r="D1226" s="23">
        <v>150.4</v>
      </c>
      <c r="E1226" s="23">
        <v>107.6</v>
      </c>
      <c r="F1226" s="23">
        <v>41.64</v>
      </c>
      <c r="G1226" s="23">
        <v>557.5</v>
      </c>
      <c r="H1226" s="23">
        <v>4.5599999999999996</v>
      </c>
      <c r="I1226" s="13">
        <f t="shared" si="19"/>
        <v>2.5840537944284341</v>
      </c>
    </row>
    <row r="1227" spans="2:9">
      <c r="C1227" s="33">
        <v>2.3170000000000002</v>
      </c>
      <c r="D1227" s="23">
        <v>165.3</v>
      </c>
      <c r="E1227" s="23">
        <v>107.8</v>
      </c>
      <c r="F1227" s="23">
        <v>41.33</v>
      </c>
      <c r="G1227" s="23">
        <v>536</v>
      </c>
      <c r="H1227" s="23">
        <v>5.5419999999999998</v>
      </c>
      <c r="I1227" s="13">
        <f t="shared" si="19"/>
        <v>2.608274860875877</v>
      </c>
    </row>
    <row r="1228" spans="2:9">
      <c r="C1228" s="33">
        <v>2.3879999999999999</v>
      </c>
      <c r="D1228" s="23">
        <v>147.4</v>
      </c>
      <c r="E1228" s="23">
        <v>107.7</v>
      </c>
      <c r="F1228" s="23">
        <v>41.76</v>
      </c>
      <c r="G1228" s="23">
        <v>535.79999999999995</v>
      </c>
      <c r="H1228" s="23">
        <v>4.8949999999999996</v>
      </c>
      <c r="I1228" s="13">
        <f t="shared" si="19"/>
        <v>2.5790229885057472</v>
      </c>
    </row>
    <row r="1229" spans="2:9">
      <c r="C1229" s="33">
        <v>2.387</v>
      </c>
      <c r="D1229" s="23">
        <v>133.5</v>
      </c>
      <c r="E1229" s="23">
        <v>108</v>
      </c>
      <c r="F1229" s="23">
        <v>41.6</v>
      </c>
      <c r="G1229" s="23">
        <v>538.29999999999995</v>
      </c>
      <c r="H1229" s="23">
        <v>4.1929999999999996</v>
      </c>
      <c r="I1229" s="13">
        <f t="shared" si="19"/>
        <v>2.5961538461538463</v>
      </c>
    </row>
    <row r="1230" spans="2:9">
      <c r="C1230" s="33">
        <v>2.3290000000000002</v>
      </c>
      <c r="D1230" s="23">
        <v>180.7</v>
      </c>
      <c r="E1230" s="23">
        <v>107.5</v>
      </c>
      <c r="F1230" s="23">
        <v>41.68</v>
      </c>
      <c r="G1230" s="23">
        <v>541.4</v>
      </c>
      <c r="H1230" s="23">
        <v>3.843</v>
      </c>
      <c r="I1230" s="13">
        <f t="shared" si="19"/>
        <v>2.5791746641074855</v>
      </c>
    </row>
    <row r="1231" spans="2:9">
      <c r="C1231" s="33">
        <v>2.3420000000000001</v>
      </c>
      <c r="D1231" s="23">
        <v>124.1</v>
      </c>
      <c r="E1231" s="23">
        <v>107.9</v>
      </c>
      <c r="F1231" s="23">
        <v>41.1</v>
      </c>
      <c r="G1231" s="23">
        <v>540.5</v>
      </c>
      <c r="H1231" s="23">
        <v>4.2359999999999998</v>
      </c>
      <c r="I1231" s="13">
        <f t="shared" si="19"/>
        <v>2.6253041362530416</v>
      </c>
    </row>
    <row r="1232" spans="2:9">
      <c r="C1232" s="33">
        <v>2.3530000000000002</v>
      </c>
      <c r="D1232" s="23">
        <v>124.6</v>
      </c>
      <c r="E1232" s="23">
        <v>107.7</v>
      </c>
      <c r="F1232" s="23">
        <v>41.03</v>
      </c>
      <c r="G1232" s="23">
        <v>533.1</v>
      </c>
      <c r="H1232" s="23">
        <v>4.8529999999999998</v>
      </c>
      <c r="I1232" s="13">
        <f t="shared" si="19"/>
        <v>2.6249086034608822</v>
      </c>
    </row>
    <row r="1233" spans="2:9">
      <c r="C1233" s="33">
        <v>2.36</v>
      </c>
      <c r="D1233" s="23">
        <v>158.19999999999999</v>
      </c>
      <c r="E1233" s="23">
        <v>107.5</v>
      </c>
      <c r="F1233" s="23">
        <v>41.69</v>
      </c>
      <c r="G1233" s="23">
        <v>533.6</v>
      </c>
      <c r="H1233" s="23">
        <v>5.3730000000000002</v>
      </c>
      <c r="I1233" s="13">
        <f t="shared" si="19"/>
        <v>2.5785560086351644</v>
      </c>
    </row>
    <row r="1234" spans="2:9">
      <c r="C1234" s="33">
        <v>2.34</v>
      </c>
      <c r="D1234" s="23">
        <v>143.4</v>
      </c>
      <c r="E1234" s="23">
        <v>107.8</v>
      </c>
      <c r="F1234" s="23">
        <v>41.49</v>
      </c>
      <c r="G1234" s="23">
        <v>532.20000000000005</v>
      </c>
      <c r="H1234" s="23">
        <v>6.2530000000000001</v>
      </c>
      <c r="I1234" s="13">
        <f t="shared" si="19"/>
        <v>2.5982164376958301</v>
      </c>
    </row>
    <row r="1235" spans="2:9">
      <c r="C1235" s="33">
        <v>2.3039999999999998</v>
      </c>
      <c r="D1235" s="23">
        <v>123.4</v>
      </c>
      <c r="E1235" s="23">
        <v>107.5</v>
      </c>
      <c r="F1235" s="23">
        <v>41.33</v>
      </c>
      <c r="G1235" s="23">
        <v>549.29999999999995</v>
      </c>
      <c r="H1235" s="23">
        <v>5.43</v>
      </c>
      <c r="I1235" s="13">
        <f t="shared" si="19"/>
        <v>2.6010162109847568</v>
      </c>
    </row>
    <row r="1236" spans="2:9">
      <c r="C1236" s="33">
        <v>2.3029999999999999</v>
      </c>
      <c r="D1236" s="23">
        <v>124.1</v>
      </c>
      <c r="E1236" s="23">
        <v>107.8</v>
      </c>
      <c r="F1236" s="23">
        <v>41.64</v>
      </c>
      <c r="G1236" s="23">
        <v>542.20000000000005</v>
      </c>
      <c r="H1236" s="23">
        <v>4.867</v>
      </c>
      <c r="I1236" s="13">
        <f t="shared" si="19"/>
        <v>2.5888568683957733</v>
      </c>
    </row>
    <row r="1237" spans="2:9">
      <c r="C1237" s="33">
        <v>2.3330000000000002</v>
      </c>
      <c r="D1237" s="23">
        <v>139.9</v>
      </c>
      <c r="E1237" s="23">
        <v>108.1</v>
      </c>
      <c r="F1237" s="23">
        <v>42.09</v>
      </c>
      <c r="G1237" s="23">
        <v>544.20000000000005</v>
      </c>
      <c r="H1237" s="23">
        <v>4.58</v>
      </c>
      <c r="I1237" s="13">
        <f t="shared" si="19"/>
        <v>2.5683060109289615</v>
      </c>
    </row>
    <row r="1238" spans="2:9">
      <c r="C1238" s="33">
        <v>2.395</v>
      </c>
      <c r="D1238" s="23">
        <v>154.80000000000001</v>
      </c>
      <c r="E1238" s="23">
        <v>108.3</v>
      </c>
      <c r="F1238" s="23">
        <v>41.85</v>
      </c>
      <c r="G1238" s="23">
        <v>535.29999999999995</v>
      </c>
      <c r="H1238" s="23">
        <v>4.0220000000000002</v>
      </c>
      <c r="I1238" s="13">
        <f t="shared" si="19"/>
        <v>2.5878136200716844</v>
      </c>
    </row>
    <row r="1239" spans="2:9">
      <c r="C1239" s="33">
        <v>2.403</v>
      </c>
      <c r="D1239" s="23">
        <v>113.5</v>
      </c>
      <c r="E1239" s="23">
        <v>107.4</v>
      </c>
      <c r="F1239" s="23">
        <v>41.61</v>
      </c>
      <c r="G1239" s="23">
        <v>528.1</v>
      </c>
      <c r="H1239" s="23">
        <v>4.415</v>
      </c>
      <c r="I1239" s="13">
        <f t="shared" si="19"/>
        <v>2.5811103100216295</v>
      </c>
    </row>
    <row r="1240" spans="2:9">
      <c r="C1240" s="33">
        <v>2.3639999999999999</v>
      </c>
      <c r="D1240" s="23">
        <v>159.6</v>
      </c>
      <c r="E1240" s="23">
        <v>107.7</v>
      </c>
      <c r="F1240" s="23">
        <v>41.58</v>
      </c>
      <c r="G1240" s="23">
        <v>538</v>
      </c>
      <c r="H1240" s="23">
        <v>5.6210000000000004</v>
      </c>
      <c r="I1240" s="13">
        <f t="shared" si="19"/>
        <v>2.5901875901875901</v>
      </c>
    </row>
    <row r="1241" spans="2:9">
      <c r="C1241" s="33">
        <v>2.3719999999999999</v>
      </c>
      <c r="D1241" s="23">
        <v>130.4</v>
      </c>
      <c r="E1241" s="23">
        <v>108</v>
      </c>
      <c r="F1241" s="23">
        <v>41.85</v>
      </c>
      <c r="G1241" s="23">
        <v>533.70000000000005</v>
      </c>
      <c r="H1241" s="23">
        <v>5.0999999999999996</v>
      </c>
      <c r="I1241" s="13">
        <f t="shared" si="19"/>
        <v>2.5806451612903225</v>
      </c>
    </row>
    <row r="1242" spans="2:9">
      <c r="B1242" s="35">
        <v>63</v>
      </c>
      <c r="C1242" s="36">
        <v>1.96</v>
      </c>
      <c r="D1242" s="38">
        <v>215.6</v>
      </c>
      <c r="E1242" s="38">
        <v>99.41</v>
      </c>
      <c r="F1242" s="38">
        <v>28.85</v>
      </c>
      <c r="G1242" s="38">
        <v>545.6</v>
      </c>
      <c r="H1242" s="38">
        <v>3.1659999999999999</v>
      </c>
      <c r="I1242" s="13">
        <f t="shared" si="19"/>
        <v>3.4457538994800689</v>
      </c>
    </row>
    <row r="1243" spans="2:9">
      <c r="C1243" s="33">
        <v>1.9570000000000001</v>
      </c>
      <c r="D1243" s="23">
        <v>269.10000000000002</v>
      </c>
      <c r="E1243" s="23">
        <v>99.58</v>
      </c>
      <c r="F1243" s="23">
        <v>28.31</v>
      </c>
      <c r="G1243" s="23">
        <v>559.6</v>
      </c>
      <c r="H1243" s="23">
        <v>3.3260000000000001</v>
      </c>
      <c r="I1243" s="13">
        <f t="shared" si="19"/>
        <v>3.5174849876368777</v>
      </c>
    </row>
    <row r="1244" spans="2:9">
      <c r="C1244" s="33">
        <v>1.8839999999999999</v>
      </c>
      <c r="D1244" s="23">
        <v>198.2</v>
      </c>
      <c r="E1244" s="23">
        <v>99.49</v>
      </c>
      <c r="F1244" s="23">
        <v>28.9</v>
      </c>
      <c r="G1244" s="23">
        <v>579.29999999999995</v>
      </c>
      <c r="H1244" s="23">
        <v>3.782</v>
      </c>
      <c r="I1244" s="13">
        <f t="shared" si="19"/>
        <v>3.4425605536332178</v>
      </c>
    </row>
    <row r="1245" spans="2:9">
      <c r="C1245" s="33">
        <v>1.9239999999999999</v>
      </c>
      <c r="D1245" s="23">
        <v>282.39999999999998</v>
      </c>
      <c r="E1245" s="23">
        <v>99.75</v>
      </c>
      <c r="F1245" s="23">
        <v>28.79</v>
      </c>
      <c r="G1245" s="23">
        <v>576</v>
      </c>
      <c r="H1245" s="23">
        <v>3.3119999999999998</v>
      </c>
      <c r="I1245" s="13">
        <f t="shared" si="19"/>
        <v>3.4647447030218825</v>
      </c>
    </row>
    <row r="1246" spans="2:9">
      <c r="C1246" s="33">
        <v>1.96</v>
      </c>
      <c r="D1246" s="23">
        <v>269.5</v>
      </c>
      <c r="E1246" s="23">
        <v>99.84</v>
      </c>
      <c r="F1246" s="23">
        <v>28.3</v>
      </c>
      <c r="G1246" s="23">
        <v>585.29999999999995</v>
      </c>
      <c r="H1246" s="23">
        <v>3.1360000000000001</v>
      </c>
      <c r="I1246" s="13">
        <f t="shared" si="19"/>
        <v>3.5279151943462899</v>
      </c>
    </row>
    <row r="1247" spans="2:9">
      <c r="C1247" s="33">
        <v>1.9710000000000001</v>
      </c>
      <c r="D1247" s="23">
        <v>257.10000000000002</v>
      </c>
      <c r="E1247" s="23">
        <v>99.5</v>
      </c>
      <c r="F1247" s="23">
        <v>28.02</v>
      </c>
      <c r="G1247" s="23">
        <v>556.79999999999995</v>
      </c>
      <c r="H1247" s="23">
        <v>2.891</v>
      </c>
      <c r="I1247" s="13">
        <f t="shared" si="19"/>
        <v>3.5510349750178443</v>
      </c>
    </row>
    <row r="1248" spans="2:9">
      <c r="C1248" s="33">
        <v>1.9430000000000001</v>
      </c>
      <c r="D1248" s="23">
        <v>237.1</v>
      </c>
      <c r="E1248" s="23">
        <v>99.42</v>
      </c>
      <c r="F1248" s="23">
        <v>28.13</v>
      </c>
      <c r="G1248" s="23">
        <v>554.20000000000005</v>
      </c>
      <c r="H1248" s="23">
        <v>3.38</v>
      </c>
      <c r="I1248" s="13">
        <f t="shared" si="19"/>
        <v>3.5343050124422328</v>
      </c>
    </row>
    <row r="1249" spans="2:9">
      <c r="C1249" s="33">
        <v>1.96</v>
      </c>
      <c r="D1249" s="23">
        <v>278.7</v>
      </c>
      <c r="E1249" s="23">
        <v>99.67</v>
      </c>
      <c r="F1249" s="23">
        <v>28.55</v>
      </c>
      <c r="G1249" s="23">
        <v>550.6</v>
      </c>
      <c r="H1249" s="23">
        <v>3.2559999999999998</v>
      </c>
      <c r="I1249" s="13">
        <f t="shared" si="19"/>
        <v>3.4910683012259196</v>
      </c>
    </row>
    <row r="1250" spans="2:9">
      <c r="C1250" s="33">
        <v>1.954</v>
      </c>
      <c r="D1250" s="23">
        <v>245.4</v>
      </c>
      <c r="E1250" s="23">
        <v>99.84</v>
      </c>
      <c r="F1250" s="23">
        <v>28.68</v>
      </c>
      <c r="G1250" s="23">
        <v>569.1</v>
      </c>
      <c r="H1250" s="23">
        <v>3.2010000000000001</v>
      </c>
      <c r="I1250" s="13">
        <f t="shared" si="19"/>
        <v>3.481171548117155</v>
      </c>
    </row>
    <row r="1251" spans="2:9">
      <c r="C1251" s="33">
        <v>1.931</v>
      </c>
      <c r="D1251" s="23">
        <v>265.5</v>
      </c>
      <c r="E1251" s="23">
        <v>99.68</v>
      </c>
      <c r="F1251" s="23">
        <v>28.74</v>
      </c>
      <c r="G1251" s="23">
        <v>580.9</v>
      </c>
      <c r="H1251" s="23">
        <v>2.8090000000000002</v>
      </c>
      <c r="I1251" s="13">
        <f t="shared" si="19"/>
        <v>3.4683368128044543</v>
      </c>
    </row>
    <row r="1252" spans="2:9">
      <c r="C1252" s="33">
        <v>1.9139999999999999</v>
      </c>
      <c r="D1252" s="23">
        <v>232</v>
      </c>
      <c r="E1252" s="23">
        <v>99.77</v>
      </c>
      <c r="F1252" s="23">
        <v>28.8</v>
      </c>
      <c r="G1252" s="23">
        <v>572.5</v>
      </c>
      <c r="H1252" s="23">
        <v>2.7810000000000001</v>
      </c>
      <c r="I1252" s="13">
        <f t="shared" si="19"/>
        <v>3.4642361111111111</v>
      </c>
    </row>
    <row r="1253" spans="2:9">
      <c r="C1253" s="33">
        <v>1.9419999999999999</v>
      </c>
      <c r="D1253" s="23">
        <v>175.8</v>
      </c>
      <c r="E1253" s="23">
        <v>99.94</v>
      </c>
      <c r="F1253" s="23">
        <v>28.5</v>
      </c>
      <c r="G1253" s="23">
        <v>559.79999999999995</v>
      </c>
      <c r="H1253" s="23">
        <v>2.9860000000000002</v>
      </c>
      <c r="I1253" s="13">
        <f t="shared" si="19"/>
        <v>3.5066666666666664</v>
      </c>
    </row>
    <row r="1254" spans="2:9">
      <c r="C1254" s="33">
        <v>1.841</v>
      </c>
      <c r="D1254" s="23">
        <v>236.4</v>
      </c>
      <c r="E1254" s="23">
        <v>100.4</v>
      </c>
      <c r="F1254" s="23">
        <v>28.31</v>
      </c>
      <c r="G1254" s="23">
        <v>556.70000000000005</v>
      </c>
      <c r="H1254" s="23">
        <v>3.0059999999999998</v>
      </c>
      <c r="I1254" s="13">
        <f t="shared" si="19"/>
        <v>3.5464500176616038</v>
      </c>
    </row>
    <row r="1255" spans="2:9">
      <c r="C1255" s="33">
        <v>1.881</v>
      </c>
      <c r="D1255" s="23">
        <v>226.3</v>
      </c>
      <c r="E1255" s="23">
        <v>99.87</v>
      </c>
      <c r="F1255" s="23">
        <v>28.13</v>
      </c>
      <c r="G1255" s="23">
        <v>552.79999999999995</v>
      </c>
      <c r="H1255" s="23">
        <v>3.0619999999999998</v>
      </c>
      <c r="I1255" s="13">
        <f t="shared" si="19"/>
        <v>3.5503021685033773</v>
      </c>
    </row>
    <row r="1256" spans="2:9">
      <c r="C1256" s="33">
        <v>1.96</v>
      </c>
      <c r="D1256" s="23">
        <v>228.9</v>
      </c>
      <c r="E1256" s="23">
        <v>99.75</v>
      </c>
      <c r="F1256" s="23">
        <v>28.32</v>
      </c>
      <c r="G1256" s="23">
        <v>567.79999999999995</v>
      </c>
      <c r="H1256" s="23">
        <v>3.0169999999999999</v>
      </c>
      <c r="I1256" s="13">
        <f t="shared" si="19"/>
        <v>3.5222457627118642</v>
      </c>
    </row>
    <row r="1257" spans="2:9">
      <c r="C1257" s="33">
        <v>1.948</v>
      </c>
      <c r="D1257" s="23">
        <v>217.3</v>
      </c>
      <c r="E1257" s="23">
        <v>99.79</v>
      </c>
      <c r="F1257" s="23">
        <v>28.56</v>
      </c>
      <c r="G1257" s="23">
        <v>552</v>
      </c>
      <c r="H1257" s="23">
        <v>3.1659999999999999</v>
      </c>
      <c r="I1257" s="13">
        <f t="shared" si="19"/>
        <v>3.4940476190476195</v>
      </c>
    </row>
    <row r="1258" spans="2:9">
      <c r="C1258" s="33">
        <v>1.835</v>
      </c>
      <c r="D1258" s="23">
        <v>236.7</v>
      </c>
      <c r="E1258" s="23">
        <v>99.26</v>
      </c>
      <c r="F1258" s="23">
        <v>28.74</v>
      </c>
      <c r="G1258" s="23">
        <v>553.70000000000005</v>
      </c>
      <c r="H1258" s="23">
        <v>3.3260000000000001</v>
      </c>
      <c r="I1258" s="13">
        <f t="shared" si="19"/>
        <v>3.4537230340988172</v>
      </c>
    </row>
    <row r="1259" spans="2:9">
      <c r="C1259" s="33">
        <v>1.9119999999999999</v>
      </c>
      <c r="D1259" s="23">
        <v>220.1</v>
      </c>
      <c r="E1259" s="23">
        <v>99.35</v>
      </c>
      <c r="F1259" s="23">
        <v>28.86</v>
      </c>
      <c r="G1259" s="23">
        <v>580.5</v>
      </c>
      <c r="H1259" s="23">
        <v>3.7549999999999999</v>
      </c>
      <c r="I1259" s="13">
        <f t="shared" si="19"/>
        <v>3.4424809424809424</v>
      </c>
    </row>
    <row r="1260" spans="2:9">
      <c r="C1260" s="33">
        <v>1.921</v>
      </c>
      <c r="D1260" s="23">
        <v>186.8</v>
      </c>
      <c r="E1260" s="23">
        <v>99.43</v>
      </c>
      <c r="F1260" s="23">
        <v>28.67</v>
      </c>
      <c r="G1260" s="23">
        <v>583.70000000000005</v>
      </c>
      <c r="H1260" s="23">
        <v>3.8839999999999999</v>
      </c>
      <c r="I1260" s="13">
        <f t="shared" si="19"/>
        <v>3.4680851063829787</v>
      </c>
    </row>
    <row r="1261" spans="2:9">
      <c r="C1261" s="33">
        <v>1.931</v>
      </c>
      <c r="D1261" s="23">
        <v>262.89999999999998</v>
      </c>
      <c r="E1261" s="23">
        <v>99.76</v>
      </c>
      <c r="F1261" s="23">
        <v>28.37</v>
      </c>
      <c r="G1261" s="23">
        <v>577.20000000000005</v>
      </c>
      <c r="H1261" s="23">
        <v>3.1659999999999999</v>
      </c>
      <c r="I1261" s="13">
        <f t="shared" si="19"/>
        <v>3.5163905534014805</v>
      </c>
    </row>
    <row r="1262" spans="2:9">
      <c r="B1262" s="35">
        <v>64</v>
      </c>
      <c r="C1262" s="36">
        <v>3.794</v>
      </c>
      <c r="D1262" s="38">
        <v>203.5</v>
      </c>
      <c r="E1262" s="38">
        <v>96.57</v>
      </c>
      <c r="F1262" s="38">
        <v>31.69</v>
      </c>
      <c r="G1262" s="38">
        <v>576.70000000000005</v>
      </c>
      <c r="H1262" s="38">
        <v>4.5890000000000004</v>
      </c>
      <c r="I1262" s="13">
        <f t="shared" si="19"/>
        <v>3.0473335437046383</v>
      </c>
    </row>
    <row r="1263" spans="2:9">
      <c r="C1263" s="33">
        <v>3.8490000000000002</v>
      </c>
      <c r="D1263" s="23">
        <v>234.3</v>
      </c>
      <c r="E1263" s="23">
        <v>97.2</v>
      </c>
      <c r="F1263" s="23">
        <v>31.84</v>
      </c>
      <c r="G1263" s="23">
        <v>581</v>
      </c>
      <c r="H1263" s="23">
        <v>4.68</v>
      </c>
      <c r="I1263" s="13">
        <f t="shared" si="19"/>
        <v>3.0527638190954773</v>
      </c>
    </row>
    <row r="1264" spans="2:9">
      <c r="C1264" s="33">
        <v>3.9569999999999999</v>
      </c>
      <c r="D1264" s="23">
        <v>140.19999999999999</v>
      </c>
      <c r="E1264" s="23">
        <v>92.27</v>
      </c>
      <c r="F1264" s="23">
        <v>31.02</v>
      </c>
      <c r="G1264" s="23">
        <v>585.6</v>
      </c>
      <c r="H1264" s="23">
        <v>4.7560000000000002</v>
      </c>
      <c r="I1264" s="13">
        <f t="shared" si="19"/>
        <v>2.9745325596389427</v>
      </c>
    </row>
    <row r="1265" spans="3:9">
      <c r="C1265" s="33">
        <v>4.03</v>
      </c>
      <c r="D1265" s="23">
        <v>177.5</v>
      </c>
      <c r="E1265" s="23">
        <v>96.94</v>
      </c>
      <c r="F1265" s="23">
        <v>31.39</v>
      </c>
      <c r="G1265" s="23">
        <v>576.70000000000005</v>
      </c>
      <c r="H1265" s="23">
        <v>4.641</v>
      </c>
      <c r="I1265" s="13">
        <f t="shared" si="19"/>
        <v>3.0882446639057024</v>
      </c>
    </row>
    <row r="1266" spans="3:9">
      <c r="C1266" s="33">
        <v>3.8319999999999999</v>
      </c>
      <c r="D1266" s="23">
        <v>236.7</v>
      </c>
      <c r="E1266" s="23">
        <v>97.08</v>
      </c>
      <c r="F1266" s="23">
        <v>31.51</v>
      </c>
      <c r="G1266" s="23">
        <v>575.6</v>
      </c>
      <c r="H1266" s="23">
        <v>4.6219999999999999</v>
      </c>
      <c r="I1266" s="13">
        <f t="shared" si="19"/>
        <v>3.0809266899397016</v>
      </c>
    </row>
    <row r="1267" spans="3:9">
      <c r="C1267" s="33">
        <v>3.8820000000000001</v>
      </c>
      <c r="D1267" s="23">
        <v>201</v>
      </c>
      <c r="E1267" s="23">
        <v>97.15</v>
      </c>
      <c r="F1267" s="23">
        <v>31.57</v>
      </c>
      <c r="G1267" s="23">
        <v>585.1</v>
      </c>
      <c r="H1267" s="23">
        <v>4.5819999999999999</v>
      </c>
      <c r="I1267" s="13">
        <f t="shared" si="19"/>
        <v>3.0772885650934434</v>
      </c>
    </row>
    <row r="1268" spans="3:9">
      <c r="C1268" s="33">
        <v>3.7989999999999999</v>
      </c>
      <c r="D1268" s="23">
        <v>248.5</v>
      </c>
      <c r="E1268" s="23">
        <v>96.82</v>
      </c>
      <c r="F1268" s="23">
        <v>31.17</v>
      </c>
      <c r="G1268" s="23">
        <v>577.4</v>
      </c>
      <c r="H1268" s="23">
        <v>4.6399999999999997</v>
      </c>
      <c r="I1268" s="13">
        <f t="shared" si="19"/>
        <v>3.1061918511389153</v>
      </c>
    </row>
    <row r="1269" spans="3:9">
      <c r="C1269" s="33">
        <v>3.8170000000000002</v>
      </c>
      <c r="D1269" s="23">
        <v>238.8</v>
      </c>
      <c r="E1269" s="23">
        <v>96.98</v>
      </c>
      <c r="F1269" s="23">
        <v>31.31</v>
      </c>
      <c r="G1269" s="23">
        <v>576.20000000000005</v>
      </c>
      <c r="H1269" s="23">
        <v>4.7279999999999998</v>
      </c>
      <c r="I1269" s="13">
        <f t="shared" si="19"/>
        <v>3.0974129671031623</v>
      </c>
    </row>
    <row r="1270" spans="3:9">
      <c r="C1270" s="33">
        <v>3.819</v>
      </c>
      <c r="D1270" s="23">
        <v>213.6</v>
      </c>
      <c r="E1270" s="23">
        <v>97.03</v>
      </c>
      <c r="F1270" s="23">
        <v>31.71</v>
      </c>
      <c r="G1270" s="23">
        <v>579.9</v>
      </c>
      <c r="H1270" s="23">
        <v>4.8179999999999996</v>
      </c>
      <c r="I1270" s="13">
        <f t="shared" si="19"/>
        <v>3.0599180069378744</v>
      </c>
    </row>
    <row r="1271" spans="3:9">
      <c r="C1271" s="33">
        <v>3.7949999999999999</v>
      </c>
      <c r="D1271" s="23">
        <v>254.1</v>
      </c>
      <c r="E1271" s="23">
        <v>97.43</v>
      </c>
      <c r="F1271" s="23">
        <v>31.04</v>
      </c>
      <c r="G1271" s="23">
        <v>580.5</v>
      </c>
      <c r="H1271" s="23">
        <v>4.9009999999999998</v>
      </c>
      <c r="I1271" s="13">
        <f t="shared" si="19"/>
        <v>3.1388530927835054</v>
      </c>
    </row>
    <row r="1272" spans="3:9">
      <c r="C1272" s="33">
        <v>3.637</v>
      </c>
      <c r="D1272" s="23">
        <v>195.2</v>
      </c>
      <c r="E1272" s="23">
        <v>97.36</v>
      </c>
      <c r="F1272" s="23">
        <v>31.25</v>
      </c>
      <c r="G1272" s="23">
        <v>585.79999999999995</v>
      </c>
      <c r="H1272" s="23">
        <v>4.7629999999999999</v>
      </c>
      <c r="I1272" s="13">
        <f t="shared" si="19"/>
        <v>3.1155200000000001</v>
      </c>
    </row>
    <row r="1273" spans="3:9">
      <c r="C1273" s="33">
        <v>3.629</v>
      </c>
      <c r="D1273" s="23">
        <v>211.7</v>
      </c>
      <c r="E1273" s="23">
        <v>97.22</v>
      </c>
      <c r="F1273" s="23">
        <v>31.37</v>
      </c>
      <c r="G1273" s="23">
        <v>579.70000000000005</v>
      </c>
      <c r="H1273" s="23">
        <v>4.8579999999999997</v>
      </c>
      <c r="I1273" s="13">
        <f t="shared" si="19"/>
        <v>3.0991393050685367</v>
      </c>
    </row>
    <row r="1274" spans="3:9">
      <c r="C1274" s="33">
        <v>3.6930000000000001</v>
      </c>
      <c r="D1274" s="23">
        <v>229.1</v>
      </c>
      <c r="E1274" s="23">
        <v>97.01</v>
      </c>
      <c r="F1274" s="23">
        <v>31.49</v>
      </c>
      <c r="G1274" s="23">
        <v>587.29999999999995</v>
      </c>
      <c r="H1274" s="23">
        <v>4.6849999999999996</v>
      </c>
      <c r="I1274" s="13">
        <f t="shared" si="19"/>
        <v>3.0806605271514771</v>
      </c>
    </row>
    <row r="1275" spans="3:9">
      <c r="C1275" s="33">
        <v>3.7309999999999999</v>
      </c>
      <c r="D1275" s="23">
        <v>212</v>
      </c>
      <c r="E1275" s="23">
        <v>97.28</v>
      </c>
      <c r="F1275" s="23">
        <v>31.57</v>
      </c>
      <c r="G1275" s="23">
        <v>578.79999999999995</v>
      </c>
      <c r="H1275" s="23">
        <v>4.6509999999999998</v>
      </c>
      <c r="I1275" s="13">
        <f t="shared" si="19"/>
        <v>3.0814063984795692</v>
      </c>
    </row>
    <row r="1276" spans="3:9">
      <c r="C1276" s="33">
        <v>3.7370000000000001</v>
      </c>
      <c r="D1276" s="23">
        <v>222.8</v>
      </c>
      <c r="E1276" s="23">
        <v>97.21</v>
      </c>
      <c r="F1276" s="23">
        <v>30.82</v>
      </c>
      <c r="G1276" s="23">
        <v>581.79999999999995</v>
      </c>
      <c r="H1276" s="23">
        <v>4.7629999999999999</v>
      </c>
      <c r="I1276" s="13">
        <f t="shared" si="19"/>
        <v>3.1541207008436078</v>
      </c>
    </row>
    <row r="1277" spans="3:9">
      <c r="C1277" s="33">
        <v>3.819</v>
      </c>
      <c r="D1277" s="23">
        <v>234.4</v>
      </c>
      <c r="E1277" s="23">
        <v>96.93</v>
      </c>
      <c r="F1277" s="23">
        <v>31.03</v>
      </c>
      <c r="G1277" s="23">
        <v>582.6</v>
      </c>
      <c r="H1277" s="23">
        <v>4.9320000000000004</v>
      </c>
      <c r="I1277" s="13">
        <f t="shared" si="19"/>
        <v>3.1237512085078958</v>
      </c>
    </row>
    <row r="1278" spans="3:9">
      <c r="C1278" s="33">
        <v>3.823</v>
      </c>
      <c r="D1278" s="23">
        <v>280.60000000000002</v>
      </c>
      <c r="E1278" s="23">
        <v>96.87</v>
      </c>
      <c r="F1278" s="23">
        <v>31.34</v>
      </c>
      <c r="G1278" s="23">
        <v>580.29999999999995</v>
      </c>
      <c r="H1278" s="23">
        <v>5.0519999999999996</v>
      </c>
      <c r="I1278" s="13">
        <f t="shared" si="19"/>
        <v>3.0909380982769625</v>
      </c>
    </row>
    <row r="1279" spans="3:9">
      <c r="C1279" s="33">
        <v>3.8919999999999999</v>
      </c>
      <c r="D1279" s="23">
        <v>236.8</v>
      </c>
      <c r="E1279" s="23">
        <v>96.82</v>
      </c>
      <c r="F1279" s="23">
        <v>31.1</v>
      </c>
      <c r="G1279" s="23">
        <v>585.20000000000005</v>
      </c>
      <c r="H1279" s="23">
        <v>4.88</v>
      </c>
      <c r="I1279" s="13">
        <f t="shared" si="19"/>
        <v>3.1131832797427648</v>
      </c>
    </row>
    <row r="1280" spans="3:9">
      <c r="C1280" s="33">
        <v>3.9529999999999998</v>
      </c>
      <c r="D1280" s="23">
        <v>211.9</v>
      </c>
      <c r="E1280" s="23">
        <v>97.29</v>
      </c>
      <c r="F1280" s="23">
        <v>31.43</v>
      </c>
      <c r="G1280" s="23">
        <v>585.9</v>
      </c>
      <c r="H1280" s="23">
        <v>4.7279999999999998</v>
      </c>
      <c r="I1280" s="13">
        <f t="shared" si="19"/>
        <v>3.0954502068087817</v>
      </c>
    </row>
    <row r="1281" spans="2:9">
      <c r="C1281" s="33">
        <v>3.8610000000000002</v>
      </c>
      <c r="D1281" s="23">
        <v>206.8</v>
      </c>
      <c r="E1281" s="23">
        <v>97.49</v>
      </c>
      <c r="F1281" s="23">
        <v>32.04</v>
      </c>
      <c r="G1281" s="23">
        <v>594.6</v>
      </c>
      <c r="H1281" s="23">
        <v>4.7649999999999997</v>
      </c>
      <c r="I1281" s="13">
        <f t="shared" si="19"/>
        <v>3.0427590511860174</v>
      </c>
    </row>
    <row r="1282" spans="2:9">
      <c r="B1282" s="35">
        <v>65</v>
      </c>
      <c r="C1282" s="36">
        <v>2.552</v>
      </c>
      <c r="D1282" s="38">
        <v>138.9</v>
      </c>
      <c r="E1282" s="38">
        <v>109.8</v>
      </c>
      <c r="F1282" s="38">
        <v>27.55</v>
      </c>
      <c r="G1282" s="38">
        <v>515.9</v>
      </c>
      <c r="H1282" s="38">
        <v>4.5599999999999996</v>
      </c>
      <c r="I1282" s="13">
        <f t="shared" si="19"/>
        <v>3.9854809437386569</v>
      </c>
    </row>
    <row r="1283" spans="2:9">
      <c r="C1283" s="33">
        <v>2.5459999999999998</v>
      </c>
      <c r="D1283" s="23">
        <v>136.5</v>
      </c>
      <c r="E1283" s="23">
        <v>108.8</v>
      </c>
      <c r="F1283" s="23">
        <v>27.83</v>
      </c>
      <c r="G1283" s="23">
        <v>514.70000000000005</v>
      </c>
      <c r="H1283" s="23">
        <v>4.891</v>
      </c>
      <c r="I1283" s="13">
        <f t="shared" ref="I1283:I1346" si="20">E1283/F1283</f>
        <v>3.9094502335609058</v>
      </c>
    </row>
    <row r="1284" spans="2:9">
      <c r="C1284" s="33">
        <v>2.5590000000000002</v>
      </c>
      <c r="D1284" s="23">
        <v>103.3</v>
      </c>
      <c r="E1284" s="23">
        <v>109.1</v>
      </c>
      <c r="F1284" s="23">
        <v>27.52</v>
      </c>
      <c r="G1284" s="23">
        <v>527.29999999999995</v>
      </c>
      <c r="H1284" s="23">
        <v>4.5890000000000004</v>
      </c>
      <c r="I1284" s="13">
        <f t="shared" si="20"/>
        <v>3.9643895348837206</v>
      </c>
    </row>
    <row r="1285" spans="2:9">
      <c r="C1285" s="33">
        <v>2.5190000000000001</v>
      </c>
      <c r="D1285" s="23">
        <v>118.9</v>
      </c>
      <c r="E1285" s="23">
        <v>109.4</v>
      </c>
      <c r="F1285" s="23">
        <v>28.04</v>
      </c>
      <c r="G1285" s="23">
        <v>528.6</v>
      </c>
      <c r="H1285" s="23">
        <v>4.101</v>
      </c>
      <c r="I1285" s="13">
        <f t="shared" si="20"/>
        <v>3.9015691868758919</v>
      </c>
    </row>
    <row r="1286" spans="2:9">
      <c r="C1286" s="33">
        <v>2.492</v>
      </c>
      <c r="D1286" s="23">
        <v>179.5</v>
      </c>
      <c r="E1286" s="23">
        <v>109.5</v>
      </c>
      <c r="F1286" s="23">
        <v>28.29</v>
      </c>
      <c r="G1286" s="23">
        <v>525.4</v>
      </c>
      <c r="H1286" s="23">
        <v>4.3090000000000002</v>
      </c>
      <c r="I1286" s="13">
        <f t="shared" si="20"/>
        <v>3.8706256627783668</v>
      </c>
    </row>
    <row r="1287" spans="2:9">
      <c r="C1287" s="33">
        <v>2.5190000000000001</v>
      </c>
      <c r="D1287" s="23">
        <v>162.5</v>
      </c>
      <c r="E1287" s="23">
        <v>110.1</v>
      </c>
      <c r="F1287" s="23">
        <v>28.66</v>
      </c>
      <c r="G1287" s="23">
        <v>524.20000000000005</v>
      </c>
      <c r="H1287" s="23">
        <v>4.1310000000000002</v>
      </c>
      <c r="I1287" s="13">
        <f t="shared" si="20"/>
        <v>3.8415910676901603</v>
      </c>
    </row>
    <row r="1288" spans="2:9">
      <c r="C1288" s="33">
        <v>2.5609999999999999</v>
      </c>
      <c r="D1288" s="23">
        <v>154.6</v>
      </c>
      <c r="E1288" s="23">
        <v>109.8</v>
      </c>
      <c r="F1288" s="23">
        <v>28.51</v>
      </c>
      <c r="G1288" s="23">
        <v>533.20000000000005</v>
      </c>
      <c r="H1288" s="23">
        <v>5.1319999999999997</v>
      </c>
      <c r="I1288" s="13">
        <f t="shared" si="20"/>
        <v>3.851280252542967</v>
      </c>
    </row>
    <row r="1289" spans="2:9">
      <c r="C1289" s="33">
        <v>2.5670000000000002</v>
      </c>
      <c r="D1289" s="23">
        <v>134.80000000000001</v>
      </c>
      <c r="E1289" s="23">
        <v>110.2</v>
      </c>
      <c r="F1289" s="23">
        <v>28.41</v>
      </c>
      <c r="G1289" s="23">
        <v>528.9</v>
      </c>
      <c r="H1289" s="23">
        <v>4.3860000000000001</v>
      </c>
      <c r="I1289" s="13">
        <f t="shared" si="20"/>
        <v>3.87891587469201</v>
      </c>
    </row>
    <row r="1290" spans="2:9">
      <c r="C1290" s="33">
        <v>2.54</v>
      </c>
      <c r="D1290" s="23">
        <v>145.19999999999999</v>
      </c>
      <c r="E1290" s="23">
        <v>110.1</v>
      </c>
      <c r="F1290" s="23">
        <v>28.6</v>
      </c>
      <c r="G1290" s="23">
        <v>537.1</v>
      </c>
      <c r="H1290" s="23">
        <v>5.3520000000000003</v>
      </c>
      <c r="I1290" s="13">
        <f t="shared" si="20"/>
        <v>3.8496503496503491</v>
      </c>
    </row>
    <row r="1291" spans="2:9">
      <c r="C1291" s="33">
        <v>2.4860000000000002</v>
      </c>
      <c r="D1291" s="23">
        <v>146.69999999999999</v>
      </c>
      <c r="E1291" s="23">
        <v>109.8</v>
      </c>
      <c r="F1291" s="23">
        <v>28.56</v>
      </c>
      <c r="G1291" s="23">
        <v>521.6</v>
      </c>
      <c r="H1291" s="23">
        <v>4.72</v>
      </c>
      <c r="I1291" s="13">
        <f t="shared" si="20"/>
        <v>3.8445378151260505</v>
      </c>
    </row>
    <row r="1292" spans="2:9">
      <c r="C1292" s="33">
        <v>2.5830000000000002</v>
      </c>
      <c r="D1292" s="23">
        <v>154.6</v>
      </c>
      <c r="E1292" s="23">
        <v>109.6</v>
      </c>
      <c r="F1292" s="23">
        <v>28.54</v>
      </c>
      <c r="G1292" s="23">
        <v>535.20000000000005</v>
      </c>
      <c r="H1292" s="23">
        <v>5.4950000000000001</v>
      </c>
      <c r="I1292" s="13">
        <f t="shared" si="20"/>
        <v>3.8402242466713385</v>
      </c>
    </row>
    <row r="1293" spans="2:9">
      <c r="C1293" s="33">
        <v>2.5659999999999998</v>
      </c>
      <c r="D1293" s="23">
        <v>155.6</v>
      </c>
      <c r="E1293" s="23">
        <v>109.1</v>
      </c>
      <c r="F1293" s="23">
        <v>28.02</v>
      </c>
      <c r="G1293" s="23">
        <v>531.20000000000005</v>
      </c>
      <c r="H1293" s="23">
        <v>5.9649999999999999</v>
      </c>
      <c r="I1293" s="13">
        <f t="shared" si="20"/>
        <v>3.8936473947180583</v>
      </c>
    </row>
    <row r="1294" spans="2:9">
      <c r="C1294" s="33">
        <v>2.5190000000000001</v>
      </c>
      <c r="D1294" s="23">
        <v>136.5</v>
      </c>
      <c r="E1294" s="23">
        <v>109.2</v>
      </c>
      <c r="F1294" s="23">
        <v>28.01</v>
      </c>
      <c r="G1294" s="23">
        <v>532.9</v>
      </c>
      <c r="H1294" s="23">
        <v>5.7649999999999997</v>
      </c>
      <c r="I1294" s="13">
        <f t="shared" si="20"/>
        <v>3.8986076401285255</v>
      </c>
    </row>
    <row r="1295" spans="2:9">
      <c r="C1295" s="33">
        <v>2.5609999999999999</v>
      </c>
      <c r="D1295" s="23">
        <v>152.80000000000001</v>
      </c>
      <c r="E1295" s="23">
        <v>109.4</v>
      </c>
      <c r="F1295" s="23">
        <v>28.19</v>
      </c>
      <c r="G1295" s="23">
        <v>534.79999999999995</v>
      </c>
      <c r="H1295" s="23">
        <v>5.4539999999999997</v>
      </c>
      <c r="I1295" s="13">
        <f t="shared" si="20"/>
        <v>3.8808087974459027</v>
      </c>
    </row>
    <row r="1296" spans="2:9">
      <c r="C1296" s="33">
        <v>2.5409999999999999</v>
      </c>
      <c r="D1296" s="23">
        <v>171.2</v>
      </c>
      <c r="E1296" s="23">
        <v>109.5</v>
      </c>
      <c r="F1296" s="23">
        <v>28.66</v>
      </c>
      <c r="G1296" s="23">
        <v>530</v>
      </c>
      <c r="H1296" s="23">
        <v>5.4950000000000001</v>
      </c>
      <c r="I1296" s="13">
        <f t="shared" si="20"/>
        <v>3.8206559665038382</v>
      </c>
    </row>
    <row r="1297" spans="2:9">
      <c r="C1297" s="33">
        <v>2.5190000000000001</v>
      </c>
      <c r="D1297" s="23">
        <v>128.80000000000001</v>
      </c>
      <c r="E1297" s="23">
        <v>110</v>
      </c>
      <c r="F1297" s="23">
        <v>28.72</v>
      </c>
      <c r="G1297" s="23">
        <v>523.4</v>
      </c>
      <c r="H1297" s="23">
        <v>5.923</v>
      </c>
      <c r="I1297" s="13">
        <f t="shared" si="20"/>
        <v>3.8300835654596104</v>
      </c>
    </row>
    <row r="1298" spans="2:9">
      <c r="C1298" s="33">
        <v>2.4510000000000001</v>
      </c>
      <c r="D1298" s="23">
        <v>171.5</v>
      </c>
      <c r="E1298" s="23">
        <v>110.1</v>
      </c>
      <c r="F1298" s="23">
        <v>28.6</v>
      </c>
      <c r="G1298" s="23">
        <v>527.5</v>
      </c>
      <c r="H1298" s="23">
        <v>6.2910000000000004</v>
      </c>
      <c r="I1298" s="13">
        <f t="shared" si="20"/>
        <v>3.8496503496503491</v>
      </c>
    </row>
    <row r="1299" spans="2:9">
      <c r="C1299" s="33">
        <v>2.4860000000000002</v>
      </c>
      <c r="D1299" s="23">
        <v>145.4</v>
      </c>
      <c r="E1299" s="23">
        <v>108.8</v>
      </c>
      <c r="F1299" s="23">
        <v>28.35</v>
      </c>
      <c r="G1299" s="23">
        <v>523.9</v>
      </c>
      <c r="H1299" s="23">
        <v>5.617</v>
      </c>
      <c r="I1299" s="13">
        <f t="shared" si="20"/>
        <v>3.8377425044091709</v>
      </c>
    </row>
    <row r="1300" spans="2:9">
      <c r="C1300" s="33">
        <v>2.5270000000000001</v>
      </c>
      <c r="D1300" s="23">
        <v>189.1</v>
      </c>
      <c r="E1300" s="23">
        <v>108.7</v>
      </c>
      <c r="F1300" s="23">
        <v>28.07</v>
      </c>
      <c r="G1300" s="23">
        <v>529.6</v>
      </c>
      <c r="H1300" s="23">
        <v>5.6820000000000004</v>
      </c>
      <c r="I1300" s="13">
        <f t="shared" si="20"/>
        <v>3.872461702885643</v>
      </c>
    </row>
    <row r="1301" spans="2:9">
      <c r="C1301" s="33">
        <v>2.5569999999999999</v>
      </c>
      <c r="D1301" s="23">
        <v>134.1</v>
      </c>
      <c r="E1301" s="23">
        <v>109</v>
      </c>
      <c r="F1301" s="23">
        <v>28.04</v>
      </c>
      <c r="G1301" s="23">
        <v>533.70000000000005</v>
      </c>
      <c r="H1301" s="23">
        <v>4.7220000000000004</v>
      </c>
      <c r="I1301" s="13">
        <f t="shared" si="20"/>
        <v>3.8873038516405138</v>
      </c>
    </row>
    <row r="1302" spans="2:9">
      <c r="B1302" s="35">
        <v>66</v>
      </c>
      <c r="C1302" s="36">
        <v>2.5489999999999999</v>
      </c>
      <c r="D1302" s="38">
        <v>93.2</v>
      </c>
      <c r="E1302" s="38">
        <v>104.9</v>
      </c>
      <c r="F1302" s="38">
        <v>23.44</v>
      </c>
      <c r="G1302" s="38">
        <v>559.4</v>
      </c>
      <c r="H1302" s="38">
        <v>4.0220000000000002</v>
      </c>
      <c r="I1302" s="13">
        <f t="shared" si="20"/>
        <v>4.475255972696246</v>
      </c>
    </row>
    <row r="1303" spans="2:9">
      <c r="C1303" s="33">
        <v>2.5579999999999998</v>
      </c>
      <c r="D1303" s="23">
        <v>103.4</v>
      </c>
      <c r="E1303" s="23">
        <v>105.1</v>
      </c>
      <c r="F1303" s="23">
        <v>23.65</v>
      </c>
      <c r="G1303" s="23">
        <v>561.70000000000005</v>
      </c>
      <c r="H1303" s="23">
        <v>4.0720000000000001</v>
      </c>
      <c r="I1303" s="13">
        <f t="shared" si="20"/>
        <v>4.4439746300211418</v>
      </c>
    </row>
    <row r="1304" spans="2:9">
      <c r="C1304" s="33">
        <v>2.411</v>
      </c>
      <c r="D1304" s="23">
        <v>128.80000000000001</v>
      </c>
      <c r="E1304" s="23">
        <v>105.2</v>
      </c>
      <c r="F1304" s="23">
        <v>23.51</v>
      </c>
      <c r="G1304" s="23">
        <v>554.9</v>
      </c>
      <c r="H1304" s="23">
        <v>4.0670000000000002</v>
      </c>
      <c r="I1304" s="13">
        <f t="shared" si="20"/>
        <v>4.4746916205869844</v>
      </c>
    </row>
    <row r="1305" spans="2:9">
      <c r="C1305" s="33">
        <v>2.5489999999999999</v>
      </c>
      <c r="D1305" s="23">
        <v>97.55</v>
      </c>
      <c r="E1305" s="23">
        <v>105.5</v>
      </c>
      <c r="F1305" s="23">
        <v>23.81</v>
      </c>
      <c r="G1305" s="23">
        <v>552.20000000000005</v>
      </c>
      <c r="H1305" s="23">
        <v>4.0170000000000003</v>
      </c>
      <c r="I1305" s="13">
        <f t="shared" si="20"/>
        <v>4.4309113817723649</v>
      </c>
    </row>
    <row r="1306" spans="2:9">
      <c r="C1306" s="33">
        <v>2.5270000000000001</v>
      </c>
      <c r="D1306" s="23">
        <v>105.7</v>
      </c>
      <c r="E1306" s="23">
        <v>104.4</v>
      </c>
      <c r="F1306" s="23">
        <v>23.44</v>
      </c>
      <c r="G1306" s="23">
        <v>554.79999999999995</v>
      </c>
      <c r="H1306" s="23">
        <v>4.0380000000000003</v>
      </c>
      <c r="I1306" s="13">
        <f t="shared" si="20"/>
        <v>4.4539249146757678</v>
      </c>
    </row>
    <row r="1307" spans="2:9">
      <c r="C1307" s="33">
        <v>2.6339999999999999</v>
      </c>
      <c r="D1307" s="23">
        <v>114.8</v>
      </c>
      <c r="E1307" s="23">
        <v>105.3</v>
      </c>
      <c r="F1307" s="23">
        <v>23.34</v>
      </c>
      <c r="G1307" s="23">
        <v>556.70000000000005</v>
      </c>
      <c r="H1307" s="23">
        <v>4.0650000000000004</v>
      </c>
      <c r="I1307" s="13">
        <f t="shared" si="20"/>
        <v>4.5115681233933165</v>
      </c>
    </row>
    <row r="1308" spans="2:9">
      <c r="C1308" s="33">
        <v>2.734</v>
      </c>
      <c r="D1308" s="23">
        <v>158.80000000000001</v>
      </c>
      <c r="E1308" s="23">
        <v>105.6</v>
      </c>
      <c r="F1308" s="23">
        <v>23.15</v>
      </c>
      <c r="G1308" s="23">
        <v>553.6</v>
      </c>
      <c r="H1308" s="23">
        <v>4.0640000000000001</v>
      </c>
      <c r="I1308" s="13">
        <f t="shared" si="20"/>
        <v>4.5615550755939527</v>
      </c>
    </row>
    <row r="1309" spans="2:9">
      <c r="C1309" s="33">
        <v>2.6970000000000001</v>
      </c>
      <c r="D1309" s="23">
        <v>101.2</v>
      </c>
      <c r="E1309" s="23">
        <v>106.1</v>
      </c>
      <c r="F1309" s="23">
        <v>23.46</v>
      </c>
      <c r="G1309" s="23">
        <v>559.6</v>
      </c>
      <c r="H1309" s="23">
        <v>4.1509999999999998</v>
      </c>
      <c r="I1309" s="13">
        <f t="shared" si="20"/>
        <v>4.5225916453537929</v>
      </c>
    </row>
    <row r="1310" spans="2:9">
      <c r="C1310" s="33">
        <v>2.5449999999999999</v>
      </c>
      <c r="D1310" s="23">
        <v>140.1</v>
      </c>
      <c r="E1310" s="23">
        <v>105.4</v>
      </c>
      <c r="F1310" s="23">
        <v>23.45</v>
      </c>
      <c r="G1310" s="23">
        <v>559.9</v>
      </c>
      <c r="H1310" s="23">
        <v>4.2169999999999996</v>
      </c>
      <c r="I1310" s="13">
        <f t="shared" si="20"/>
        <v>4.4946695095948828</v>
      </c>
    </row>
    <row r="1311" spans="2:9">
      <c r="C1311" s="33">
        <v>2.54</v>
      </c>
      <c r="D1311" s="23">
        <v>109.2</v>
      </c>
      <c r="E1311" s="23">
        <v>105.7</v>
      </c>
      <c r="F1311" s="23">
        <v>23.56</v>
      </c>
      <c r="G1311" s="23">
        <v>562.6</v>
      </c>
      <c r="H1311" s="23">
        <v>4.3230000000000004</v>
      </c>
      <c r="I1311" s="13">
        <f t="shared" si="20"/>
        <v>4.4864176570458412</v>
      </c>
    </row>
    <row r="1312" spans="2:9">
      <c r="C1312" s="33">
        <v>2.407</v>
      </c>
      <c r="D1312" s="23">
        <v>153</v>
      </c>
      <c r="E1312" s="23">
        <v>105.6</v>
      </c>
      <c r="F1312" s="23">
        <v>23.29</v>
      </c>
      <c r="G1312" s="23">
        <v>566.5</v>
      </c>
      <c r="H1312" s="23">
        <v>4.3739999999999997</v>
      </c>
      <c r="I1312" s="13">
        <f t="shared" si="20"/>
        <v>4.5341348218119366</v>
      </c>
    </row>
    <row r="1313" spans="2:9">
      <c r="C1313" s="33">
        <v>2.4140000000000001</v>
      </c>
      <c r="D1313" s="23">
        <v>138.80000000000001</v>
      </c>
      <c r="E1313" s="23">
        <v>105.2</v>
      </c>
      <c r="F1313" s="23">
        <v>23.2</v>
      </c>
      <c r="G1313" s="23">
        <v>565.29999999999995</v>
      </c>
      <c r="H1313" s="23">
        <v>4.3479999999999999</v>
      </c>
      <c r="I1313" s="13">
        <f t="shared" si="20"/>
        <v>4.5344827586206895</v>
      </c>
    </row>
    <row r="1314" spans="2:9">
      <c r="C1314" s="33">
        <v>2.411</v>
      </c>
      <c r="D1314" s="23">
        <v>95.81</v>
      </c>
      <c r="E1314" s="23">
        <v>104.8</v>
      </c>
      <c r="F1314" s="23">
        <v>23.11</v>
      </c>
      <c r="G1314" s="23">
        <v>562.1</v>
      </c>
      <c r="H1314" s="23">
        <v>4.3209999999999997</v>
      </c>
      <c r="I1314" s="13">
        <f t="shared" si="20"/>
        <v>4.5348334054521855</v>
      </c>
    </row>
    <row r="1315" spans="2:9">
      <c r="C1315" s="33">
        <v>2.4079999999999999</v>
      </c>
      <c r="D1315" s="23">
        <v>127</v>
      </c>
      <c r="E1315" s="23">
        <v>104.7</v>
      </c>
      <c r="F1315" s="23">
        <v>23.28</v>
      </c>
      <c r="G1315" s="23">
        <v>561.5</v>
      </c>
      <c r="H1315" s="23">
        <v>4.282</v>
      </c>
      <c r="I1315" s="13">
        <f t="shared" si="20"/>
        <v>4.4974226804123711</v>
      </c>
    </row>
    <row r="1316" spans="2:9">
      <c r="C1316" s="33">
        <v>2.6339999999999999</v>
      </c>
      <c r="D1316" s="23">
        <v>135</v>
      </c>
      <c r="E1316" s="23">
        <v>105.5</v>
      </c>
      <c r="F1316" s="23">
        <v>23.45</v>
      </c>
      <c r="G1316" s="23">
        <v>553.1</v>
      </c>
      <c r="H1316" s="23">
        <v>4.2270000000000003</v>
      </c>
      <c r="I1316" s="13">
        <f t="shared" si="20"/>
        <v>4.4989339019189769</v>
      </c>
    </row>
    <row r="1317" spans="2:9">
      <c r="C1317" s="33">
        <v>2.78</v>
      </c>
      <c r="D1317" s="23">
        <v>148.30000000000001</v>
      </c>
      <c r="E1317" s="23">
        <v>105.7</v>
      </c>
      <c r="F1317" s="23">
        <v>23.71</v>
      </c>
      <c r="G1317" s="23">
        <v>558.29999999999995</v>
      </c>
      <c r="H1317" s="23">
        <v>4.125</v>
      </c>
      <c r="I1317" s="13">
        <f t="shared" si="20"/>
        <v>4.4580345845634755</v>
      </c>
    </row>
    <row r="1318" spans="2:9">
      <c r="C1318" s="33">
        <v>2.5449999999999999</v>
      </c>
      <c r="D1318" s="23">
        <v>161.9</v>
      </c>
      <c r="E1318" s="23">
        <v>105.8</v>
      </c>
      <c r="F1318" s="23">
        <v>23.45</v>
      </c>
      <c r="G1318" s="23">
        <v>567.1</v>
      </c>
      <c r="H1318" s="23">
        <v>4.1360000000000001</v>
      </c>
      <c r="I1318" s="13">
        <f t="shared" si="20"/>
        <v>4.5117270788912576</v>
      </c>
    </row>
    <row r="1319" spans="2:9">
      <c r="C1319" s="33">
        <v>2.5489999999999999</v>
      </c>
      <c r="D1319" s="23">
        <v>134.69999999999999</v>
      </c>
      <c r="E1319" s="23">
        <v>106</v>
      </c>
      <c r="F1319" s="23">
        <v>23.35</v>
      </c>
      <c r="G1319" s="23">
        <v>564.9</v>
      </c>
      <c r="H1319" s="23">
        <v>4.1289999999999996</v>
      </c>
      <c r="I1319" s="13">
        <f t="shared" si="20"/>
        <v>4.5396145610278369</v>
      </c>
    </row>
    <row r="1320" spans="2:9">
      <c r="C1320" s="33">
        <v>2.6269999999999998</v>
      </c>
      <c r="D1320" s="23">
        <v>135.30000000000001</v>
      </c>
      <c r="E1320" s="23">
        <v>106.4</v>
      </c>
      <c r="F1320" s="23">
        <v>23.31</v>
      </c>
      <c r="G1320" s="23">
        <v>553.29999999999995</v>
      </c>
      <c r="H1320" s="23">
        <v>4.2089999999999996</v>
      </c>
      <c r="I1320" s="13">
        <f t="shared" si="20"/>
        <v>4.5645645645645647</v>
      </c>
    </row>
    <row r="1321" spans="2:9">
      <c r="C1321" s="33">
        <v>2.254</v>
      </c>
      <c r="D1321" s="23">
        <v>154</v>
      </c>
      <c r="E1321" s="23">
        <v>106.8</v>
      </c>
      <c r="F1321" s="23">
        <v>23.51</v>
      </c>
      <c r="G1321" s="23">
        <v>556.70000000000005</v>
      </c>
      <c r="H1321" s="23">
        <v>4.2910000000000004</v>
      </c>
      <c r="I1321" s="13">
        <f t="shared" si="20"/>
        <v>4.5427477669076985</v>
      </c>
    </row>
    <row r="1322" spans="2:9">
      <c r="B1322" s="35">
        <v>67</v>
      </c>
      <c r="C1322" s="36">
        <v>2.621</v>
      </c>
      <c r="D1322" s="38">
        <v>120.1</v>
      </c>
      <c r="E1322" s="38">
        <v>125.8</v>
      </c>
      <c r="F1322" s="38">
        <v>35.299999999999997</v>
      </c>
      <c r="G1322" s="38">
        <v>548.5</v>
      </c>
      <c r="H1322" s="38">
        <v>4.8099999999999996</v>
      </c>
      <c r="I1322" s="13">
        <f t="shared" si="20"/>
        <v>3.5637393767705383</v>
      </c>
    </row>
    <row r="1323" spans="2:9">
      <c r="C1323" s="33">
        <v>2.6579999999999999</v>
      </c>
      <c r="D1323" s="23">
        <v>142.4</v>
      </c>
      <c r="E1323" s="23">
        <v>126.2</v>
      </c>
      <c r="F1323" s="23">
        <v>34.74</v>
      </c>
      <c r="G1323" s="23">
        <v>551.4</v>
      </c>
      <c r="H1323" s="23">
        <v>4.88</v>
      </c>
      <c r="I1323" s="13">
        <f t="shared" si="20"/>
        <v>3.6327000575705237</v>
      </c>
    </row>
    <row r="1324" spans="2:9">
      <c r="C1324" s="33">
        <v>2.6539999999999999</v>
      </c>
      <c r="D1324" s="23">
        <v>136.1</v>
      </c>
      <c r="E1324" s="23">
        <v>125.7</v>
      </c>
      <c r="F1324" s="23">
        <v>34.76</v>
      </c>
      <c r="G1324" s="23">
        <v>550</v>
      </c>
      <c r="H1324" s="23">
        <v>5.49</v>
      </c>
      <c r="I1324" s="13">
        <f t="shared" si="20"/>
        <v>3.6162255466052939</v>
      </c>
    </row>
    <row r="1325" spans="2:9">
      <c r="C1325" s="33">
        <v>2.6240000000000001</v>
      </c>
      <c r="D1325" s="23">
        <v>133.30000000000001</v>
      </c>
      <c r="E1325" s="23">
        <v>126.2</v>
      </c>
      <c r="F1325" s="23">
        <v>34.36</v>
      </c>
      <c r="G1325" s="23">
        <v>555.70000000000005</v>
      </c>
      <c r="H1325" s="23">
        <v>5.92</v>
      </c>
      <c r="I1325" s="13">
        <f t="shared" si="20"/>
        <v>3.6728754365541327</v>
      </c>
    </row>
    <row r="1326" spans="2:9">
      <c r="C1326" s="33">
        <v>2.577</v>
      </c>
      <c r="D1326" s="23">
        <v>123.5</v>
      </c>
      <c r="E1326" s="23">
        <v>125.9</v>
      </c>
      <c r="F1326" s="23">
        <v>34.39</v>
      </c>
      <c r="G1326" s="23">
        <v>552</v>
      </c>
      <c r="H1326" s="23">
        <v>6.26</v>
      </c>
      <c r="I1326" s="13">
        <f t="shared" si="20"/>
        <v>3.6609479499854611</v>
      </c>
    </row>
    <row r="1327" spans="2:9">
      <c r="C1327" s="33">
        <v>2.57</v>
      </c>
      <c r="D1327" s="23">
        <v>149.9</v>
      </c>
      <c r="E1327" s="23">
        <v>125.8</v>
      </c>
      <c r="F1327" s="23">
        <v>34.65</v>
      </c>
      <c r="G1327" s="23">
        <v>557.5</v>
      </c>
      <c r="H1327" s="23">
        <v>5.35</v>
      </c>
      <c r="I1327" s="13">
        <f t="shared" si="20"/>
        <v>3.6305916305916308</v>
      </c>
    </row>
    <row r="1328" spans="2:9">
      <c r="C1328" s="33">
        <v>2.548</v>
      </c>
      <c r="D1328" s="23">
        <v>166</v>
      </c>
      <c r="E1328" s="23">
        <v>125.7</v>
      </c>
      <c r="F1328" s="23">
        <v>34.619999999999997</v>
      </c>
      <c r="G1328" s="23">
        <v>548.20000000000005</v>
      </c>
      <c r="H1328" s="23">
        <v>5.4</v>
      </c>
      <c r="I1328" s="13">
        <f t="shared" si="20"/>
        <v>3.6308492201039866</v>
      </c>
    </row>
    <row r="1329" spans="2:9">
      <c r="C1329" s="33">
        <v>2.601</v>
      </c>
      <c r="D1329" s="23">
        <v>140.4</v>
      </c>
      <c r="E1329" s="23">
        <v>125.8</v>
      </c>
      <c r="F1329" s="23">
        <v>34.17</v>
      </c>
      <c r="G1329" s="23">
        <v>548.79999999999995</v>
      </c>
      <c r="H1329" s="23">
        <v>5.26</v>
      </c>
      <c r="I1329" s="13">
        <f t="shared" si="20"/>
        <v>3.6815920398009947</v>
      </c>
    </row>
    <row r="1330" spans="2:9">
      <c r="C1330" s="33">
        <v>2.5710000000000002</v>
      </c>
      <c r="D1330" s="23">
        <v>164.6</v>
      </c>
      <c r="E1330" s="23">
        <v>125.9</v>
      </c>
      <c r="F1330" s="23">
        <v>34.54</v>
      </c>
      <c r="G1330" s="23">
        <v>561.6</v>
      </c>
      <c r="H1330" s="23">
        <v>4.8499999999999996</v>
      </c>
      <c r="I1330" s="13">
        <f t="shared" si="20"/>
        <v>3.6450492182976264</v>
      </c>
    </row>
    <row r="1331" spans="2:9">
      <c r="C1331" s="33">
        <v>2.6110000000000002</v>
      </c>
      <c r="D1331" s="23">
        <v>146.30000000000001</v>
      </c>
      <c r="E1331" s="23">
        <v>126</v>
      </c>
      <c r="F1331" s="23">
        <v>34.729999999999997</v>
      </c>
      <c r="G1331" s="23">
        <v>555.70000000000005</v>
      </c>
      <c r="H1331" s="23">
        <v>4.4000000000000004</v>
      </c>
      <c r="I1331" s="13">
        <f t="shared" si="20"/>
        <v>3.6279873308378927</v>
      </c>
    </row>
    <row r="1332" spans="2:9">
      <c r="C1332" s="33">
        <v>2.6429999999999998</v>
      </c>
      <c r="D1332" s="23">
        <v>126</v>
      </c>
      <c r="E1332" s="23">
        <v>126.3</v>
      </c>
      <c r="F1332" s="23">
        <v>34.25</v>
      </c>
      <c r="G1332" s="23">
        <v>556.4</v>
      </c>
      <c r="H1332" s="23">
        <v>4.68</v>
      </c>
      <c r="I1332" s="13">
        <f t="shared" si="20"/>
        <v>3.6875912408759124</v>
      </c>
    </row>
    <row r="1333" spans="2:9">
      <c r="C1333" s="33">
        <v>2.661</v>
      </c>
      <c r="D1333" s="23">
        <v>130</v>
      </c>
      <c r="E1333" s="23">
        <v>126.4</v>
      </c>
      <c r="F1333" s="23">
        <v>34.22</v>
      </c>
      <c r="G1333" s="23">
        <v>558.9</v>
      </c>
      <c r="H1333" s="23">
        <v>4.8099999999999996</v>
      </c>
      <c r="I1333" s="13">
        <f t="shared" si="20"/>
        <v>3.6937463471654008</v>
      </c>
    </row>
    <row r="1334" spans="2:9">
      <c r="C1334" s="33">
        <v>2.6890000000000001</v>
      </c>
      <c r="D1334" s="23">
        <v>130.9</v>
      </c>
      <c r="E1334" s="23">
        <v>126.1</v>
      </c>
      <c r="F1334" s="23">
        <v>34.4</v>
      </c>
      <c r="G1334" s="23">
        <v>564.29999999999995</v>
      </c>
      <c r="H1334" s="23">
        <v>3.87</v>
      </c>
      <c r="I1334" s="13">
        <f t="shared" si="20"/>
        <v>3.6656976744186047</v>
      </c>
    </row>
    <row r="1335" spans="2:9">
      <c r="C1335" s="33">
        <v>2.6789999999999998</v>
      </c>
      <c r="D1335" s="23">
        <v>173.9</v>
      </c>
      <c r="E1335" s="23">
        <v>125.9</v>
      </c>
      <c r="F1335" s="23">
        <v>34.56</v>
      </c>
      <c r="G1335" s="23">
        <v>556.70000000000005</v>
      </c>
      <c r="H1335" s="23">
        <v>3.89</v>
      </c>
      <c r="I1335" s="13">
        <f t="shared" si="20"/>
        <v>3.6429398148148149</v>
      </c>
    </row>
    <row r="1336" spans="2:9">
      <c r="C1336" s="33">
        <v>2.6659999999999999</v>
      </c>
      <c r="D1336" s="23">
        <v>113.2</v>
      </c>
      <c r="E1336" s="23">
        <v>126.1</v>
      </c>
      <c r="F1336" s="23">
        <v>34.75</v>
      </c>
      <c r="G1336" s="23">
        <v>555.79999999999995</v>
      </c>
      <c r="H1336" s="23">
        <v>4.68</v>
      </c>
      <c r="I1336" s="13">
        <f t="shared" si="20"/>
        <v>3.6287769784172661</v>
      </c>
    </row>
    <row r="1337" spans="2:9">
      <c r="C1337" s="33">
        <v>2.6549999999999998</v>
      </c>
      <c r="D1337" s="23">
        <v>131.1</v>
      </c>
      <c r="E1337" s="23">
        <v>126.5</v>
      </c>
      <c r="F1337" s="23">
        <v>34.93</v>
      </c>
      <c r="G1337" s="23">
        <v>554.20000000000005</v>
      </c>
      <c r="H1337" s="23">
        <v>6.14</v>
      </c>
      <c r="I1337" s="13">
        <f t="shared" si="20"/>
        <v>3.6215287718293729</v>
      </c>
    </row>
    <row r="1338" spans="2:9">
      <c r="C1338" s="33">
        <v>2.6280000000000001</v>
      </c>
      <c r="D1338" s="23">
        <v>121.7</v>
      </c>
      <c r="E1338" s="23">
        <v>126.6</v>
      </c>
      <c r="F1338" s="23">
        <v>34.1</v>
      </c>
      <c r="G1338" s="23">
        <v>551.4</v>
      </c>
      <c r="H1338" s="23">
        <v>5.49</v>
      </c>
      <c r="I1338" s="13">
        <f t="shared" si="20"/>
        <v>3.7126099706744866</v>
      </c>
    </row>
    <row r="1339" spans="2:9">
      <c r="C1339" s="33">
        <v>2.629</v>
      </c>
      <c r="D1339" s="23">
        <v>121.5</v>
      </c>
      <c r="E1339" s="23">
        <v>126.7</v>
      </c>
      <c r="F1339" s="23">
        <v>34.81</v>
      </c>
      <c r="G1339" s="23">
        <v>552.6</v>
      </c>
      <c r="H1339" s="23">
        <v>3.89</v>
      </c>
      <c r="I1339" s="13">
        <f t="shared" si="20"/>
        <v>3.6397586900315999</v>
      </c>
    </row>
    <row r="1340" spans="2:9">
      <c r="C1340" s="33">
        <v>2.62</v>
      </c>
      <c r="D1340" s="23">
        <v>126.1</v>
      </c>
      <c r="E1340" s="23">
        <v>125.9</v>
      </c>
      <c r="F1340" s="23">
        <v>34.44</v>
      </c>
      <c r="G1340" s="23">
        <v>559.70000000000005</v>
      </c>
      <c r="H1340" s="23">
        <v>3.87</v>
      </c>
      <c r="I1340" s="13">
        <f t="shared" si="20"/>
        <v>3.6556329849012781</v>
      </c>
    </row>
    <row r="1341" spans="2:9">
      <c r="C1341" s="33">
        <v>2.6110000000000002</v>
      </c>
      <c r="D1341" s="23">
        <v>165.4</v>
      </c>
      <c r="E1341" s="23">
        <v>125.8</v>
      </c>
      <c r="F1341" s="23">
        <v>34.97</v>
      </c>
      <c r="G1341" s="23">
        <v>552.9</v>
      </c>
      <c r="H1341" s="23">
        <v>3.35</v>
      </c>
      <c r="I1341" s="13">
        <f t="shared" si="20"/>
        <v>3.5973691735773521</v>
      </c>
    </row>
    <row r="1342" spans="2:9">
      <c r="B1342" s="35">
        <v>68</v>
      </c>
      <c r="C1342" s="36">
        <v>2.831</v>
      </c>
      <c r="D1342" s="38">
        <v>131.19999999999999</v>
      </c>
      <c r="E1342" s="38">
        <v>97.72</v>
      </c>
      <c r="F1342" s="38">
        <v>28.83</v>
      </c>
      <c r="G1342" s="38">
        <v>527.29999999999995</v>
      </c>
      <c r="H1342" s="38">
        <v>4.6349999999999998</v>
      </c>
      <c r="I1342" s="13">
        <f t="shared" si="20"/>
        <v>3.3895248005549776</v>
      </c>
    </row>
    <row r="1343" spans="2:9">
      <c r="C1343" s="33">
        <v>2.8860000000000001</v>
      </c>
      <c r="D1343" s="23">
        <v>101.4</v>
      </c>
      <c r="E1343" s="23">
        <v>98.1</v>
      </c>
      <c r="F1343" s="23">
        <v>29.22</v>
      </c>
      <c r="G1343" s="23">
        <v>526.4</v>
      </c>
      <c r="H1343" s="23">
        <v>4.8220000000000001</v>
      </c>
      <c r="I1343" s="13">
        <f t="shared" si="20"/>
        <v>3.3572895277207393</v>
      </c>
    </row>
    <row r="1344" spans="2:9">
      <c r="C1344" s="33">
        <v>2.8969999999999998</v>
      </c>
      <c r="D1344" s="23">
        <v>138.30000000000001</v>
      </c>
      <c r="E1344" s="23">
        <v>98.56</v>
      </c>
      <c r="F1344" s="23">
        <v>29.3</v>
      </c>
      <c r="G1344" s="23">
        <v>524.6</v>
      </c>
      <c r="H1344" s="23">
        <v>3.8279999999999998</v>
      </c>
      <c r="I1344" s="13">
        <f t="shared" si="20"/>
        <v>3.3638225255972696</v>
      </c>
    </row>
    <row r="1345" spans="3:9">
      <c r="C1345" s="33">
        <v>2.9</v>
      </c>
      <c r="D1345" s="23">
        <v>111.4</v>
      </c>
      <c r="E1345" s="23">
        <v>99.48</v>
      </c>
      <c r="F1345" s="23">
        <v>29.38</v>
      </c>
      <c r="G1345" s="23">
        <v>521.70000000000005</v>
      </c>
      <c r="H1345" s="23">
        <v>3.7480000000000002</v>
      </c>
      <c r="I1345" s="13">
        <f t="shared" si="20"/>
        <v>3.385976855003404</v>
      </c>
    </row>
    <row r="1346" spans="3:9">
      <c r="C1346" s="33">
        <v>2.9169999999999998</v>
      </c>
      <c r="D1346" s="23">
        <v>144.9</v>
      </c>
      <c r="E1346" s="23">
        <v>99.01</v>
      </c>
      <c r="F1346" s="23">
        <v>29.04</v>
      </c>
      <c r="G1346" s="23">
        <v>527.6</v>
      </c>
      <c r="H1346" s="23">
        <v>3.6579999999999999</v>
      </c>
      <c r="I1346" s="13">
        <f t="shared" si="20"/>
        <v>3.4094352617079893</v>
      </c>
    </row>
    <row r="1347" spans="3:9">
      <c r="C1347" s="33">
        <v>2.9239999999999999</v>
      </c>
      <c r="D1347" s="23">
        <v>121.9</v>
      </c>
      <c r="E1347" s="23">
        <v>99.39</v>
      </c>
      <c r="F1347" s="23">
        <v>28.71</v>
      </c>
      <c r="G1347" s="23">
        <v>523.79999999999995</v>
      </c>
      <c r="H1347" s="23">
        <v>3.7090000000000001</v>
      </c>
      <c r="I1347" s="13">
        <f t="shared" ref="I1347:I1410" si="21">E1347/F1347</f>
        <v>3.4618599791013582</v>
      </c>
    </row>
    <row r="1348" spans="3:9">
      <c r="C1348" s="33">
        <v>2.9319999999999999</v>
      </c>
      <c r="D1348" s="23">
        <v>111.1</v>
      </c>
      <c r="E1348" s="23">
        <v>98.01</v>
      </c>
      <c r="F1348" s="23">
        <v>28.55</v>
      </c>
      <c r="G1348" s="23">
        <v>526</v>
      </c>
      <c r="H1348" s="23">
        <v>3.2320000000000002</v>
      </c>
      <c r="I1348" s="13">
        <f t="shared" si="21"/>
        <v>3.4329246935201403</v>
      </c>
    </row>
    <row r="1349" spans="3:9">
      <c r="C1349" s="33">
        <v>2.9340000000000002</v>
      </c>
      <c r="D1349" s="23">
        <v>105.2</v>
      </c>
      <c r="E1349" s="23">
        <v>99</v>
      </c>
      <c r="F1349" s="23">
        <v>28.56</v>
      </c>
      <c r="G1349" s="23">
        <v>524.70000000000005</v>
      </c>
      <c r="H1349" s="23">
        <v>3.5019999999999998</v>
      </c>
      <c r="I1349" s="13">
        <f t="shared" si="21"/>
        <v>3.4663865546218489</v>
      </c>
    </row>
    <row r="1350" spans="3:9">
      <c r="C1350" s="33">
        <v>2.9140000000000001</v>
      </c>
      <c r="D1350" s="23">
        <v>144.69999999999999</v>
      </c>
      <c r="E1350" s="23">
        <v>98.56</v>
      </c>
      <c r="F1350" s="23">
        <v>28.66</v>
      </c>
      <c r="G1350" s="23">
        <v>524.6</v>
      </c>
      <c r="H1350" s="23">
        <v>3.9569999999999999</v>
      </c>
      <c r="I1350" s="13">
        <f t="shared" si="21"/>
        <v>3.4389392882065599</v>
      </c>
    </row>
    <row r="1351" spans="3:9">
      <c r="C1351" s="33">
        <v>2.8519999999999999</v>
      </c>
      <c r="D1351" s="23">
        <v>109.7</v>
      </c>
      <c r="E1351" s="23">
        <v>98.52</v>
      </c>
      <c r="F1351" s="23">
        <v>29.2</v>
      </c>
      <c r="G1351" s="23">
        <v>530.6</v>
      </c>
      <c r="H1351" s="23">
        <v>3.5019999999999998</v>
      </c>
      <c r="I1351" s="13">
        <f t="shared" si="21"/>
        <v>3.3739726027397259</v>
      </c>
    </row>
    <row r="1352" spans="3:9">
      <c r="C1352" s="33">
        <v>2.8679999999999999</v>
      </c>
      <c r="D1352" s="23">
        <v>149.5</v>
      </c>
      <c r="E1352" s="23">
        <v>99</v>
      </c>
      <c r="F1352" s="23">
        <v>29.31</v>
      </c>
      <c r="G1352" s="23">
        <v>529</v>
      </c>
      <c r="H1352" s="23">
        <v>3.2309999999999999</v>
      </c>
      <c r="I1352" s="13">
        <f t="shared" si="21"/>
        <v>3.3776867963152508</v>
      </c>
    </row>
    <row r="1353" spans="3:9">
      <c r="C1353" s="33">
        <v>2.891</v>
      </c>
      <c r="D1353" s="23">
        <v>93</v>
      </c>
      <c r="E1353" s="23">
        <v>98.68</v>
      </c>
      <c r="F1353" s="23">
        <v>28.82</v>
      </c>
      <c r="G1353" s="23">
        <v>527.6</v>
      </c>
      <c r="H1353" s="23">
        <v>3.7480000000000002</v>
      </c>
      <c r="I1353" s="13">
        <f t="shared" si="21"/>
        <v>3.4240111034004164</v>
      </c>
    </row>
    <row r="1354" spans="3:9">
      <c r="C1354" s="33">
        <v>2.8860000000000001</v>
      </c>
      <c r="D1354" s="23">
        <v>93.3</v>
      </c>
      <c r="E1354" s="23">
        <v>98.52</v>
      </c>
      <c r="F1354" s="23">
        <v>28.88</v>
      </c>
      <c r="G1354" s="23">
        <v>524.6</v>
      </c>
      <c r="H1354" s="23">
        <v>4.09</v>
      </c>
      <c r="I1354" s="13">
        <f t="shared" si="21"/>
        <v>3.4113573407202216</v>
      </c>
    </row>
    <row r="1355" spans="3:9">
      <c r="C1355" s="33">
        <v>2.8769999999999998</v>
      </c>
      <c r="D1355" s="23">
        <v>99.9</v>
      </c>
      <c r="E1355" s="23">
        <v>98.47</v>
      </c>
      <c r="F1355" s="23">
        <v>29.22</v>
      </c>
      <c r="G1355" s="23">
        <v>524.5</v>
      </c>
      <c r="H1355" s="23">
        <v>4.0990000000000002</v>
      </c>
      <c r="I1355" s="13">
        <f t="shared" si="21"/>
        <v>3.3699520876112254</v>
      </c>
    </row>
    <row r="1356" spans="3:9">
      <c r="C1356" s="33">
        <v>2.8690000000000002</v>
      </c>
      <c r="D1356" s="23">
        <v>118.5</v>
      </c>
      <c r="E1356" s="23">
        <v>98.41</v>
      </c>
      <c r="F1356" s="23">
        <v>29.04</v>
      </c>
      <c r="G1356" s="23">
        <v>523.79999999999995</v>
      </c>
      <c r="H1356" s="23">
        <v>3.625</v>
      </c>
      <c r="I1356" s="13">
        <f t="shared" si="21"/>
        <v>3.3887741046831956</v>
      </c>
    </row>
    <row r="1357" spans="3:9">
      <c r="C1357" s="33">
        <v>2.8420000000000001</v>
      </c>
      <c r="D1357" s="23">
        <v>112.5</v>
      </c>
      <c r="E1357" s="23">
        <v>98.3</v>
      </c>
      <c r="F1357" s="23">
        <v>28.2</v>
      </c>
      <c r="G1357" s="23">
        <v>530.20000000000005</v>
      </c>
      <c r="H1357" s="23">
        <v>3.2130000000000001</v>
      </c>
      <c r="I1357" s="13">
        <f t="shared" si="21"/>
        <v>3.4858156028368796</v>
      </c>
    </row>
    <row r="1358" spans="3:9">
      <c r="C1358" s="33">
        <v>2.83</v>
      </c>
      <c r="D1358" s="23">
        <v>104.3</v>
      </c>
      <c r="E1358" s="23">
        <v>98.67</v>
      </c>
      <c r="F1358" s="23">
        <v>28.95</v>
      </c>
      <c r="G1358" s="23">
        <v>527.6</v>
      </c>
      <c r="H1358" s="23">
        <v>3.4089999999999998</v>
      </c>
      <c r="I1358" s="13">
        <f t="shared" si="21"/>
        <v>3.4082901554404148</v>
      </c>
    </row>
    <row r="1359" spans="3:9">
      <c r="C1359" s="33">
        <v>2.7890000000000001</v>
      </c>
      <c r="D1359" s="23">
        <v>107.5</v>
      </c>
      <c r="E1359" s="23">
        <v>98.78</v>
      </c>
      <c r="F1359" s="23">
        <v>28.56</v>
      </c>
      <c r="G1359" s="23">
        <v>533</v>
      </c>
      <c r="H1359" s="23">
        <v>3.9649999999999999</v>
      </c>
      <c r="I1359" s="13">
        <f t="shared" si="21"/>
        <v>3.4586834733893559</v>
      </c>
    </row>
    <row r="1360" spans="3:9">
      <c r="C1360" s="33">
        <v>2.8029999999999999</v>
      </c>
      <c r="D1360" s="23">
        <v>108.7</v>
      </c>
      <c r="E1360" s="23">
        <v>99.27</v>
      </c>
      <c r="F1360" s="23">
        <v>28.91</v>
      </c>
      <c r="G1360" s="23">
        <v>529.1</v>
      </c>
      <c r="H1360" s="23">
        <v>3.9750000000000001</v>
      </c>
      <c r="I1360" s="13">
        <f t="shared" si="21"/>
        <v>3.4337599446558285</v>
      </c>
    </row>
    <row r="1361" spans="2:9">
      <c r="C1361" s="33">
        <v>2.8330000000000002</v>
      </c>
      <c r="D1361" s="23">
        <v>130</v>
      </c>
      <c r="E1361" s="23">
        <v>99.37</v>
      </c>
      <c r="F1361" s="23">
        <v>29.18</v>
      </c>
      <c r="G1361" s="23">
        <v>521.70000000000005</v>
      </c>
      <c r="H1361" s="23">
        <v>4.2789999999999999</v>
      </c>
      <c r="I1361" s="13">
        <f t="shared" si="21"/>
        <v>3.4054146675805348</v>
      </c>
    </row>
    <row r="1362" spans="2:9">
      <c r="B1362" s="35">
        <v>69</v>
      </c>
      <c r="C1362" s="36">
        <v>2.6749999999999998</v>
      </c>
      <c r="D1362" s="38">
        <v>150.30000000000001</v>
      </c>
      <c r="E1362" s="38">
        <v>102.2</v>
      </c>
      <c r="F1362" s="38">
        <v>28.56</v>
      </c>
      <c r="G1362" s="38">
        <v>518.4</v>
      </c>
      <c r="H1362" s="38">
        <v>4.4329999999999998</v>
      </c>
      <c r="I1362" s="13">
        <f t="shared" si="21"/>
        <v>3.5784313725490198</v>
      </c>
    </row>
    <row r="1363" spans="2:9">
      <c r="C1363" s="33">
        <v>2.7050000000000001</v>
      </c>
      <c r="D1363" s="23">
        <v>150.80000000000001</v>
      </c>
      <c r="E1363" s="23">
        <v>101.9</v>
      </c>
      <c r="F1363" s="23">
        <v>28.09</v>
      </c>
      <c r="G1363" s="23">
        <v>522.79999999999995</v>
      </c>
      <c r="H1363" s="23">
        <v>4.5419999999999998</v>
      </c>
      <c r="I1363" s="13">
        <f t="shared" si="21"/>
        <v>3.6276254894980422</v>
      </c>
    </row>
    <row r="1364" spans="2:9">
      <c r="C1364" s="33">
        <v>2.698</v>
      </c>
      <c r="D1364" s="23">
        <v>139.5</v>
      </c>
      <c r="E1364" s="23">
        <v>102</v>
      </c>
      <c r="F1364" s="23">
        <v>28.53</v>
      </c>
      <c r="G1364" s="23">
        <v>521.1</v>
      </c>
      <c r="H1364" s="23">
        <v>5.01</v>
      </c>
      <c r="I1364" s="13">
        <f t="shared" si="21"/>
        <v>3.5751840168243953</v>
      </c>
    </row>
    <row r="1365" spans="2:9">
      <c r="C1365" s="33">
        <v>2.7170000000000001</v>
      </c>
      <c r="D1365" s="23">
        <v>176.7</v>
      </c>
      <c r="E1365" s="23">
        <v>102.2</v>
      </c>
      <c r="F1365" s="23">
        <v>28.76</v>
      </c>
      <c r="G1365" s="23">
        <v>519.5</v>
      </c>
      <c r="H1365" s="23">
        <v>5.2489999999999997</v>
      </c>
      <c r="I1365" s="13">
        <f t="shared" si="21"/>
        <v>3.5535465924895688</v>
      </c>
    </row>
    <row r="1366" spans="2:9">
      <c r="C1366" s="33">
        <v>2.7810000000000001</v>
      </c>
      <c r="D1366" s="23">
        <v>142.69999999999999</v>
      </c>
      <c r="E1366" s="23">
        <v>102.3</v>
      </c>
      <c r="F1366" s="23">
        <v>28.32</v>
      </c>
      <c r="G1366" s="23">
        <v>524.4</v>
      </c>
      <c r="H1366" s="23">
        <v>4.593</v>
      </c>
      <c r="I1366" s="13">
        <f t="shared" si="21"/>
        <v>3.6122881355932202</v>
      </c>
    </row>
    <row r="1367" spans="2:9">
      <c r="C1367" s="33">
        <v>2.766</v>
      </c>
      <c r="D1367" s="23">
        <v>186.5</v>
      </c>
      <c r="E1367" s="23">
        <v>102.6</v>
      </c>
      <c r="F1367" s="23">
        <v>28.21</v>
      </c>
      <c r="G1367" s="23">
        <v>534.20000000000005</v>
      </c>
      <c r="H1367" s="23">
        <v>4.43</v>
      </c>
      <c r="I1367" s="13">
        <f t="shared" si="21"/>
        <v>3.637008153137185</v>
      </c>
    </row>
    <row r="1368" spans="2:9">
      <c r="C1368" s="33">
        <v>2.7930000000000001</v>
      </c>
      <c r="D1368" s="23">
        <v>145.6</v>
      </c>
      <c r="E1368" s="23">
        <v>102.5</v>
      </c>
      <c r="F1368" s="23">
        <v>28.21</v>
      </c>
      <c r="G1368" s="23">
        <v>527.4</v>
      </c>
      <c r="H1368" s="23">
        <v>4.173</v>
      </c>
      <c r="I1368" s="13">
        <f t="shared" si="21"/>
        <v>3.6334633108826657</v>
      </c>
    </row>
    <row r="1369" spans="2:9">
      <c r="C1369" s="33">
        <v>2.7480000000000002</v>
      </c>
      <c r="D1369" s="23">
        <v>160.6</v>
      </c>
      <c r="E1369" s="23">
        <v>102.7</v>
      </c>
      <c r="F1369" s="23">
        <v>28.76</v>
      </c>
      <c r="G1369" s="23">
        <v>523.6</v>
      </c>
      <c r="H1369" s="23">
        <v>3.8650000000000002</v>
      </c>
      <c r="I1369" s="13">
        <f t="shared" si="21"/>
        <v>3.5709318497913767</v>
      </c>
    </row>
    <row r="1370" spans="2:9">
      <c r="C1370" s="33">
        <v>2.7970000000000002</v>
      </c>
      <c r="D1370" s="23">
        <v>171.7</v>
      </c>
      <c r="E1370" s="23">
        <v>102.8</v>
      </c>
      <c r="F1370" s="23">
        <v>28.45</v>
      </c>
      <c r="G1370" s="23">
        <v>517.6</v>
      </c>
      <c r="H1370" s="23">
        <v>4.4039999999999999</v>
      </c>
      <c r="I1370" s="13">
        <f t="shared" si="21"/>
        <v>3.6133567662565906</v>
      </c>
    </row>
    <row r="1371" spans="2:9">
      <c r="C1371" s="33">
        <v>2.7650000000000001</v>
      </c>
      <c r="D1371" s="23">
        <v>135.69999999999999</v>
      </c>
      <c r="E1371" s="23">
        <v>102.9</v>
      </c>
      <c r="F1371" s="23">
        <v>28.7</v>
      </c>
      <c r="G1371" s="23">
        <v>520.6</v>
      </c>
      <c r="H1371" s="23">
        <v>4.3010000000000002</v>
      </c>
      <c r="I1371" s="13">
        <f t="shared" si="21"/>
        <v>3.5853658536585367</v>
      </c>
    </row>
    <row r="1372" spans="2:9">
      <c r="C1372" s="33">
        <v>2.71</v>
      </c>
      <c r="D1372" s="23">
        <v>144.5</v>
      </c>
      <c r="E1372" s="23">
        <v>102.6</v>
      </c>
      <c r="F1372" s="23">
        <v>28.95</v>
      </c>
      <c r="G1372" s="23">
        <v>524.79999999999995</v>
      </c>
      <c r="H1372" s="23">
        <v>4.4009999999999998</v>
      </c>
      <c r="I1372" s="13">
        <f t="shared" si="21"/>
        <v>3.5440414507772018</v>
      </c>
    </row>
    <row r="1373" spans="2:9">
      <c r="C1373" s="33">
        <v>2.6480000000000001</v>
      </c>
      <c r="D1373" s="23">
        <v>206</v>
      </c>
      <c r="E1373" s="23">
        <v>102.4</v>
      </c>
      <c r="F1373" s="23">
        <v>28.94</v>
      </c>
      <c r="G1373" s="23">
        <v>521.6</v>
      </c>
      <c r="H1373" s="23">
        <v>4.8520000000000003</v>
      </c>
      <c r="I1373" s="13">
        <f t="shared" si="21"/>
        <v>3.5383552176917763</v>
      </c>
    </row>
    <row r="1374" spans="2:9">
      <c r="C1374" s="33">
        <v>2.6160000000000001</v>
      </c>
      <c r="D1374" s="23">
        <v>105.7</v>
      </c>
      <c r="E1374" s="23">
        <v>102.3</v>
      </c>
      <c r="F1374" s="23">
        <v>28.63</v>
      </c>
      <c r="G1374" s="23">
        <v>523</v>
      </c>
      <c r="H1374" s="23">
        <v>4.9939999999999998</v>
      </c>
      <c r="I1374" s="13">
        <f t="shared" si="21"/>
        <v>3.5731749912679009</v>
      </c>
    </row>
    <row r="1375" spans="2:9">
      <c r="C1375" s="33">
        <v>2.593</v>
      </c>
      <c r="D1375" s="23">
        <v>164.7</v>
      </c>
      <c r="E1375" s="23">
        <v>101.8</v>
      </c>
      <c r="F1375" s="23">
        <v>28.7</v>
      </c>
      <c r="G1375" s="23">
        <v>527.79999999999995</v>
      </c>
      <c r="H1375" s="23">
        <v>5.5609999999999999</v>
      </c>
      <c r="I1375" s="13">
        <f t="shared" si="21"/>
        <v>3.5470383275261326</v>
      </c>
    </row>
    <row r="1376" spans="2:9">
      <c r="C1376" s="33">
        <v>2.6909999999999998</v>
      </c>
      <c r="D1376" s="23">
        <v>167.6</v>
      </c>
      <c r="E1376" s="23">
        <v>101</v>
      </c>
      <c r="F1376" s="23">
        <v>28.22</v>
      </c>
      <c r="G1376" s="23">
        <v>521.29999999999995</v>
      </c>
      <c r="H1376" s="23">
        <v>5.319</v>
      </c>
      <c r="I1376" s="13">
        <f t="shared" si="21"/>
        <v>3.5790219702338768</v>
      </c>
    </row>
    <row r="1377" spans="2:9">
      <c r="C1377" s="33">
        <v>2.6989999999999998</v>
      </c>
      <c r="D1377" s="23">
        <v>112.3</v>
      </c>
      <c r="E1377" s="23">
        <v>102.2</v>
      </c>
      <c r="F1377" s="23">
        <v>28.52</v>
      </c>
      <c r="G1377" s="23">
        <v>515.1</v>
      </c>
      <c r="H1377" s="23">
        <v>5.0979999999999999</v>
      </c>
      <c r="I1377" s="13">
        <f t="shared" si="21"/>
        <v>3.5834502103786816</v>
      </c>
    </row>
    <row r="1378" spans="2:9">
      <c r="C1378" s="33">
        <v>2.698</v>
      </c>
      <c r="D1378" s="23">
        <v>144.80000000000001</v>
      </c>
      <c r="E1378" s="23">
        <v>102</v>
      </c>
      <c r="F1378" s="23">
        <v>28.29</v>
      </c>
      <c r="G1378" s="23">
        <v>533</v>
      </c>
      <c r="H1378" s="23">
        <v>4.3010000000000002</v>
      </c>
      <c r="I1378" s="13">
        <f t="shared" si="21"/>
        <v>3.6055143160127257</v>
      </c>
    </row>
    <row r="1379" spans="2:9">
      <c r="C1379" s="33">
        <v>2.7170000000000001</v>
      </c>
      <c r="D1379" s="23">
        <v>157.69999999999999</v>
      </c>
      <c r="E1379" s="23">
        <v>101.7</v>
      </c>
      <c r="F1379" s="23">
        <v>28.47</v>
      </c>
      <c r="G1379" s="23">
        <v>521.4</v>
      </c>
      <c r="H1379" s="23">
        <v>5.01</v>
      </c>
      <c r="I1379" s="13">
        <f t="shared" si="21"/>
        <v>3.5721812434141205</v>
      </c>
    </row>
    <row r="1380" spans="2:9">
      <c r="C1380" s="33">
        <v>2.62</v>
      </c>
      <c r="D1380" s="23">
        <v>140.6</v>
      </c>
      <c r="E1380" s="23">
        <v>101.6</v>
      </c>
      <c r="F1380" s="23">
        <v>28.65</v>
      </c>
      <c r="G1380" s="23">
        <v>518.1</v>
      </c>
      <c r="H1380" s="23">
        <v>5.2489999999999997</v>
      </c>
      <c r="I1380" s="13">
        <f t="shared" si="21"/>
        <v>3.5462478184991273</v>
      </c>
    </row>
    <row r="1381" spans="2:9">
      <c r="C1381" s="33">
        <v>2.6160000000000001</v>
      </c>
      <c r="D1381" s="23">
        <v>110.4</v>
      </c>
      <c r="E1381" s="23">
        <v>101.3</v>
      </c>
      <c r="F1381" s="23">
        <v>28.96</v>
      </c>
      <c r="G1381" s="23">
        <v>521.20000000000005</v>
      </c>
      <c r="H1381" s="23">
        <v>5.19</v>
      </c>
      <c r="I1381" s="13">
        <f t="shared" si="21"/>
        <v>3.4979281767955799</v>
      </c>
    </row>
    <row r="1382" spans="2:9">
      <c r="B1382" s="35">
        <v>70</v>
      </c>
      <c r="C1382" s="36">
        <v>2.3239999999999998</v>
      </c>
      <c r="D1382" s="38">
        <v>211.9</v>
      </c>
      <c r="E1382" s="38">
        <v>99.23</v>
      </c>
      <c r="F1382" s="38">
        <v>29.53</v>
      </c>
      <c r="G1382" s="38">
        <v>584.20000000000005</v>
      </c>
      <c r="H1382" s="38">
        <v>4.2190000000000003</v>
      </c>
      <c r="I1382" s="13">
        <f t="shared" si="21"/>
        <v>3.3603115475787333</v>
      </c>
    </row>
    <row r="1383" spans="2:9">
      <c r="C1383" s="33">
        <v>2.278</v>
      </c>
      <c r="D1383" s="23">
        <v>219.8</v>
      </c>
      <c r="E1383" s="23">
        <v>99.69</v>
      </c>
      <c r="F1383" s="23">
        <v>29.72</v>
      </c>
      <c r="G1383" s="23">
        <v>597.4</v>
      </c>
      <c r="H1383" s="23">
        <v>4.0949999999999998</v>
      </c>
      <c r="I1383" s="13">
        <f t="shared" si="21"/>
        <v>3.3543068640646032</v>
      </c>
    </row>
    <row r="1384" spans="2:9">
      <c r="C1384" s="33">
        <v>2.3069999999999999</v>
      </c>
      <c r="D1384" s="23">
        <v>220.2</v>
      </c>
      <c r="E1384" s="23">
        <v>99.51</v>
      </c>
      <c r="F1384" s="23">
        <v>29.85</v>
      </c>
      <c r="G1384" s="23">
        <v>600.6</v>
      </c>
      <c r="H1384" s="23">
        <v>4.1289999999999996</v>
      </c>
      <c r="I1384" s="13">
        <f t="shared" si="21"/>
        <v>3.3336683417085426</v>
      </c>
    </row>
    <row r="1385" spans="2:9">
      <c r="C1385" s="33">
        <v>2.2589999999999999</v>
      </c>
      <c r="D1385" s="23">
        <v>175.8</v>
      </c>
      <c r="E1385" s="23">
        <v>98.96</v>
      </c>
      <c r="F1385" s="23">
        <v>30</v>
      </c>
      <c r="G1385" s="23">
        <v>597.9</v>
      </c>
      <c r="H1385" s="23">
        <v>4.1349999999999998</v>
      </c>
      <c r="I1385" s="13">
        <f t="shared" si="21"/>
        <v>3.2986666666666666</v>
      </c>
    </row>
    <row r="1386" spans="2:9">
      <c r="C1386" s="33">
        <v>2.294</v>
      </c>
      <c r="D1386" s="23">
        <v>300.39999999999998</v>
      </c>
      <c r="E1386" s="23">
        <v>99.14</v>
      </c>
      <c r="F1386" s="23">
        <v>29.19</v>
      </c>
      <c r="G1386" s="23">
        <v>592.20000000000005</v>
      </c>
      <c r="H1386" s="23">
        <v>4.1870000000000003</v>
      </c>
      <c r="I1386" s="13">
        <f t="shared" si="21"/>
        <v>3.3963686193902021</v>
      </c>
    </row>
    <row r="1387" spans="2:9">
      <c r="C1387" s="33">
        <v>2.343</v>
      </c>
      <c r="D1387" s="23">
        <v>139.9</v>
      </c>
      <c r="E1387" s="23">
        <v>99.87</v>
      </c>
      <c r="F1387" s="23">
        <v>29.62</v>
      </c>
      <c r="G1387" s="23">
        <v>586.6</v>
      </c>
      <c r="H1387" s="23">
        <v>4.1479999999999997</v>
      </c>
      <c r="I1387" s="13">
        <f t="shared" si="21"/>
        <v>3.3717083051991898</v>
      </c>
    </row>
    <row r="1388" spans="2:9">
      <c r="C1388" s="33">
        <v>2.37</v>
      </c>
      <c r="D1388" s="23">
        <v>205.8</v>
      </c>
      <c r="E1388" s="23">
        <v>99.51</v>
      </c>
      <c r="F1388" s="23">
        <v>29.43</v>
      </c>
      <c r="G1388" s="23">
        <v>592.70000000000005</v>
      </c>
      <c r="H1388" s="23">
        <v>4.0709999999999997</v>
      </c>
      <c r="I1388" s="13">
        <f t="shared" si="21"/>
        <v>3.3812436289500511</v>
      </c>
    </row>
    <row r="1389" spans="2:9">
      <c r="C1389" s="33">
        <v>2.3839999999999999</v>
      </c>
      <c r="D1389" s="23">
        <v>237.9</v>
      </c>
      <c r="E1389" s="23">
        <v>99.43</v>
      </c>
      <c r="F1389" s="23">
        <v>29.49</v>
      </c>
      <c r="G1389" s="23">
        <v>594.6</v>
      </c>
      <c r="H1389" s="23">
        <v>4.093</v>
      </c>
      <c r="I1389" s="13">
        <f t="shared" si="21"/>
        <v>3.3716514072566977</v>
      </c>
    </row>
    <row r="1390" spans="2:9">
      <c r="C1390" s="33">
        <v>2.39</v>
      </c>
      <c r="D1390" s="23">
        <v>294.7</v>
      </c>
      <c r="E1390" s="23">
        <v>99.27</v>
      </c>
      <c r="F1390" s="23">
        <v>29.28</v>
      </c>
      <c r="G1390" s="23">
        <v>595.9</v>
      </c>
      <c r="H1390" s="23">
        <v>4.0410000000000004</v>
      </c>
      <c r="I1390" s="13">
        <f t="shared" si="21"/>
        <v>3.3903688524590163</v>
      </c>
    </row>
    <row r="1391" spans="2:9">
      <c r="C1391" s="33">
        <v>2.4</v>
      </c>
      <c r="D1391" s="23">
        <v>226.9</v>
      </c>
      <c r="E1391" s="23">
        <v>99.37</v>
      </c>
      <c r="F1391" s="23">
        <v>29.34</v>
      </c>
      <c r="G1391" s="23">
        <v>587.9</v>
      </c>
      <c r="H1391" s="23">
        <v>3.84</v>
      </c>
      <c r="I1391" s="13">
        <f t="shared" si="21"/>
        <v>3.3868438991138379</v>
      </c>
    </row>
    <row r="1392" spans="2:9">
      <c r="C1392" s="33">
        <v>2.3839999999999999</v>
      </c>
      <c r="D1392" s="23">
        <v>246.1</v>
      </c>
      <c r="E1392" s="23">
        <v>99.63</v>
      </c>
      <c r="F1392" s="23">
        <v>29.33</v>
      </c>
      <c r="G1392" s="23">
        <v>590</v>
      </c>
      <c r="H1392" s="23">
        <v>3.992</v>
      </c>
      <c r="I1392" s="13">
        <f t="shared" si="21"/>
        <v>3.3968632799181724</v>
      </c>
    </row>
    <row r="1393" spans="2:9">
      <c r="C1393" s="33">
        <v>2.343</v>
      </c>
      <c r="D1393" s="23">
        <v>231.5</v>
      </c>
      <c r="E1393" s="23">
        <v>99.71</v>
      </c>
      <c r="F1393" s="23">
        <v>29.77</v>
      </c>
      <c r="G1393" s="23">
        <v>587.20000000000005</v>
      </c>
      <c r="H1393" s="23">
        <v>4.0490000000000004</v>
      </c>
      <c r="I1393" s="13">
        <f t="shared" si="21"/>
        <v>3.3493449781659388</v>
      </c>
    </row>
    <row r="1394" spans="2:9">
      <c r="C1394" s="33">
        <v>2.3199999999999998</v>
      </c>
      <c r="D1394" s="23">
        <v>258.10000000000002</v>
      </c>
      <c r="E1394" s="23">
        <v>99.87</v>
      </c>
      <c r="F1394" s="23">
        <v>29.83</v>
      </c>
      <c r="G1394" s="23">
        <v>587.4</v>
      </c>
      <c r="H1394" s="23">
        <v>3.9670000000000001</v>
      </c>
      <c r="I1394" s="13">
        <f t="shared" si="21"/>
        <v>3.3479718404290986</v>
      </c>
    </row>
    <row r="1395" spans="2:9">
      <c r="C1395" s="33">
        <v>2.294</v>
      </c>
      <c r="D1395" s="23">
        <v>246.7</v>
      </c>
      <c r="E1395" s="23">
        <v>99.77</v>
      </c>
      <c r="F1395" s="23">
        <v>29.56</v>
      </c>
      <c r="G1395" s="23">
        <v>591.9</v>
      </c>
      <c r="H1395" s="23">
        <v>3.9260000000000002</v>
      </c>
      <c r="I1395" s="13">
        <f t="shared" si="21"/>
        <v>3.3751691474966172</v>
      </c>
    </row>
    <row r="1396" spans="2:9">
      <c r="C1396" s="33">
        <v>2.1859999999999999</v>
      </c>
      <c r="D1396" s="23">
        <v>311.10000000000002</v>
      </c>
      <c r="E1396" s="23">
        <v>99.85</v>
      </c>
      <c r="F1396" s="23">
        <v>29.79</v>
      </c>
      <c r="G1396" s="23">
        <v>595</v>
      </c>
      <c r="H1396" s="23">
        <v>3.8039999999999998</v>
      </c>
      <c r="I1396" s="13">
        <f t="shared" si="21"/>
        <v>3.3517959046659951</v>
      </c>
    </row>
    <row r="1397" spans="2:9">
      <c r="C1397" s="33">
        <v>2.0939999999999999</v>
      </c>
      <c r="D1397" s="23">
        <v>382.9</v>
      </c>
      <c r="E1397" s="23">
        <v>99.67</v>
      </c>
      <c r="F1397" s="23">
        <v>29.33</v>
      </c>
      <c r="G1397" s="23">
        <v>592.20000000000005</v>
      </c>
      <c r="H1397" s="23">
        <v>3.9849999999999999</v>
      </c>
      <c r="I1397" s="13">
        <f t="shared" si="21"/>
        <v>3.398227071258098</v>
      </c>
    </row>
    <row r="1398" spans="2:9">
      <c r="C1398" s="33">
        <v>2.0779999999999998</v>
      </c>
      <c r="D1398" s="23">
        <v>200.5</v>
      </c>
      <c r="E1398" s="23">
        <v>99.12</v>
      </c>
      <c r="F1398" s="23">
        <v>29.46</v>
      </c>
      <c r="G1398" s="23">
        <v>594.5</v>
      </c>
      <c r="H1398" s="23">
        <v>4.1840000000000002</v>
      </c>
      <c r="I1398" s="13">
        <f t="shared" si="21"/>
        <v>3.364562118126273</v>
      </c>
    </row>
    <row r="1399" spans="2:9">
      <c r="C1399" s="33">
        <v>2.0950000000000002</v>
      </c>
      <c r="D1399" s="23">
        <v>144.4</v>
      </c>
      <c r="E1399" s="23">
        <v>99.04</v>
      </c>
      <c r="F1399" s="23">
        <v>29.28</v>
      </c>
      <c r="G1399" s="23">
        <v>598.1</v>
      </c>
      <c r="H1399" s="23">
        <v>4.2690000000000001</v>
      </c>
      <c r="I1399" s="13">
        <f t="shared" si="21"/>
        <v>3.3825136612021858</v>
      </c>
    </row>
    <row r="1400" spans="2:9">
      <c r="C1400" s="33">
        <v>2.2229999999999999</v>
      </c>
      <c r="D1400" s="23">
        <v>260.89999999999998</v>
      </c>
      <c r="E1400" s="23">
        <v>99.96</v>
      </c>
      <c r="F1400" s="23">
        <v>29.72</v>
      </c>
      <c r="G1400" s="23">
        <v>600</v>
      </c>
      <c r="H1400" s="23">
        <v>4.1440000000000001</v>
      </c>
      <c r="I1400" s="13">
        <f t="shared" si="21"/>
        <v>3.3633916554508749</v>
      </c>
    </row>
    <row r="1401" spans="2:9">
      <c r="C1401" s="33">
        <v>2.3239999999999998</v>
      </c>
      <c r="D1401" s="23">
        <v>161.30000000000001</v>
      </c>
      <c r="E1401" s="23">
        <v>99.14</v>
      </c>
      <c r="F1401" s="23">
        <v>27.71</v>
      </c>
      <c r="G1401" s="23">
        <v>600.4</v>
      </c>
      <c r="H1401" s="23">
        <v>4.157</v>
      </c>
      <c r="I1401" s="13">
        <f t="shared" si="21"/>
        <v>3.5777697582100325</v>
      </c>
    </row>
    <row r="1402" spans="2:9">
      <c r="B1402" s="35">
        <v>71</v>
      </c>
      <c r="C1402" s="36">
        <v>2.1080000000000001</v>
      </c>
      <c r="D1402" s="38">
        <v>126.8</v>
      </c>
      <c r="E1402" s="38">
        <v>122.2</v>
      </c>
      <c r="F1402" s="38">
        <v>34.01</v>
      </c>
      <c r="G1402" s="38">
        <v>551.9</v>
      </c>
      <c r="H1402" s="38">
        <v>5.23</v>
      </c>
      <c r="I1402" s="13">
        <f t="shared" si="21"/>
        <v>3.593060864451632</v>
      </c>
    </row>
    <row r="1403" spans="2:9">
      <c r="C1403" s="33">
        <v>2.2109999999999999</v>
      </c>
      <c r="D1403" s="23">
        <v>104.7</v>
      </c>
      <c r="E1403" s="23">
        <v>121.8</v>
      </c>
      <c r="F1403" s="23">
        <v>34.549999999999997</v>
      </c>
      <c r="G1403" s="23">
        <v>548.20000000000005</v>
      </c>
      <c r="H1403" s="23">
        <v>5.79</v>
      </c>
      <c r="I1403" s="13">
        <f t="shared" si="21"/>
        <v>3.5253256150506513</v>
      </c>
    </row>
    <row r="1404" spans="2:9">
      <c r="C1404" s="33">
        <v>2.169</v>
      </c>
      <c r="D1404" s="23">
        <v>88.2</v>
      </c>
      <c r="E1404" s="23">
        <v>122</v>
      </c>
      <c r="F1404" s="23">
        <v>34.82</v>
      </c>
      <c r="G1404" s="23">
        <v>544.9</v>
      </c>
      <c r="H1404" s="23">
        <v>5.8</v>
      </c>
      <c r="I1404" s="13">
        <f t="shared" si="21"/>
        <v>3.5037334865020102</v>
      </c>
    </row>
    <row r="1405" spans="2:9">
      <c r="C1405" s="33">
        <v>2.109</v>
      </c>
      <c r="D1405" s="23">
        <v>113.7</v>
      </c>
      <c r="E1405" s="23">
        <v>122.5</v>
      </c>
      <c r="F1405" s="23">
        <v>34.49</v>
      </c>
      <c r="G1405" s="23">
        <v>551.79999999999995</v>
      </c>
      <c r="H1405" s="23">
        <v>5.85</v>
      </c>
      <c r="I1405" s="13">
        <f t="shared" si="21"/>
        <v>3.5517541316323569</v>
      </c>
    </row>
    <row r="1406" spans="2:9">
      <c r="C1406" s="33">
        <v>2.1019999999999999</v>
      </c>
      <c r="D1406" s="23">
        <v>70.599999999999994</v>
      </c>
      <c r="E1406" s="23">
        <v>122.3</v>
      </c>
      <c r="F1406" s="23">
        <v>34.93</v>
      </c>
      <c r="G1406" s="23">
        <v>548.29999999999995</v>
      </c>
      <c r="H1406" s="23">
        <v>5.79</v>
      </c>
      <c r="I1406" s="13">
        <f t="shared" si="21"/>
        <v>3.501288290867449</v>
      </c>
    </row>
    <row r="1407" spans="2:9">
      <c r="C1407" s="33">
        <v>2.1259999999999999</v>
      </c>
      <c r="D1407" s="23">
        <v>106.8</v>
      </c>
      <c r="E1407" s="23">
        <v>122.1</v>
      </c>
      <c r="F1407" s="23">
        <v>34.82</v>
      </c>
      <c r="G1407" s="23">
        <v>548.20000000000005</v>
      </c>
      <c r="H1407" s="23">
        <v>5.45</v>
      </c>
      <c r="I1407" s="13">
        <f t="shared" si="21"/>
        <v>3.5066053991958643</v>
      </c>
    </row>
    <row r="1408" spans="2:9">
      <c r="C1408" s="33">
        <v>2.1920000000000002</v>
      </c>
      <c r="D1408" s="23">
        <v>100.5</v>
      </c>
      <c r="E1408" s="23">
        <v>122.2</v>
      </c>
      <c r="F1408" s="23">
        <v>34.72</v>
      </c>
      <c r="G1408" s="23">
        <v>556.29999999999995</v>
      </c>
      <c r="H1408" s="23">
        <v>5.35</v>
      </c>
      <c r="I1408" s="13">
        <f t="shared" si="21"/>
        <v>3.5195852534562215</v>
      </c>
    </row>
    <row r="1409" spans="2:9">
      <c r="C1409" s="33">
        <v>2.1720000000000002</v>
      </c>
      <c r="D1409" s="23">
        <v>48.5</v>
      </c>
      <c r="E1409" s="23">
        <v>122</v>
      </c>
      <c r="F1409" s="23">
        <v>34.979999999999997</v>
      </c>
      <c r="G1409" s="23">
        <v>561.6</v>
      </c>
      <c r="H1409" s="23">
        <v>5.61</v>
      </c>
      <c r="I1409" s="13">
        <f t="shared" si="21"/>
        <v>3.4877072612921673</v>
      </c>
    </row>
    <row r="1410" spans="2:9">
      <c r="C1410" s="33">
        <v>2.1080000000000001</v>
      </c>
      <c r="D1410" s="23">
        <v>90.7</v>
      </c>
      <c r="E1410" s="23">
        <v>122.3</v>
      </c>
      <c r="F1410" s="23">
        <v>34.72</v>
      </c>
      <c r="G1410" s="23">
        <v>548.1</v>
      </c>
      <c r="H1410" s="23">
        <v>5</v>
      </c>
      <c r="I1410" s="13">
        <f t="shared" si="21"/>
        <v>3.5224654377880187</v>
      </c>
    </row>
    <row r="1411" spans="2:9">
      <c r="C1411" s="33">
        <v>2.1720000000000002</v>
      </c>
      <c r="D1411" s="23">
        <v>117.7</v>
      </c>
      <c r="E1411" s="23">
        <v>122.4</v>
      </c>
      <c r="F1411" s="23">
        <v>34.159999999999997</v>
      </c>
      <c r="G1411" s="23">
        <v>532.6</v>
      </c>
      <c r="H1411" s="23">
        <v>4.6070000000000002</v>
      </c>
      <c r="I1411" s="13">
        <f t="shared" ref="I1411:I1474" si="22">E1411/F1411</f>
        <v>3.5831381733021082</v>
      </c>
    </row>
    <row r="1412" spans="2:9">
      <c r="C1412" s="33">
        <v>2.1320000000000001</v>
      </c>
      <c r="D1412" s="23">
        <v>142.9</v>
      </c>
      <c r="E1412" s="23">
        <v>122.6</v>
      </c>
      <c r="F1412" s="23">
        <v>34.380000000000003</v>
      </c>
      <c r="G1412" s="23">
        <v>539.20000000000005</v>
      </c>
      <c r="H1412" s="23">
        <v>4.9320000000000004</v>
      </c>
      <c r="I1412" s="13">
        <f t="shared" si="22"/>
        <v>3.5660267597440369</v>
      </c>
    </row>
    <row r="1413" spans="2:9">
      <c r="C1413" s="33">
        <v>2.153</v>
      </c>
      <c r="D1413" s="23">
        <v>113.1</v>
      </c>
      <c r="E1413" s="23">
        <v>122</v>
      </c>
      <c r="F1413" s="23">
        <v>34.49</v>
      </c>
      <c r="G1413" s="23">
        <v>545.5</v>
      </c>
      <c r="H1413" s="23">
        <v>4.7249999999999996</v>
      </c>
      <c r="I1413" s="13">
        <f t="shared" si="22"/>
        <v>3.5372571759930413</v>
      </c>
    </row>
    <row r="1414" spans="2:9">
      <c r="C1414" s="33">
        <v>2.1680000000000001</v>
      </c>
      <c r="D1414" s="23">
        <v>113.2</v>
      </c>
      <c r="E1414" s="23">
        <v>122.6</v>
      </c>
      <c r="F1414" s="23">
        <v>34.39</v>
      </c>
      <c r="G1414" s="23">
        <v>554.1</v>
      </c>
      <c r="H1414" s="23">
        <v>5.4</v>
      </c>
      <c r="I1414" s="13">
        <f t="shared" si="22"/>
        <v>3.5649898226228554</v>
      </c>
    </row>
    <row r="1415" spans="2:9">
      <c r="C1415" s="33">
        <v>2.1819999999999999</v>
      </c>
      <c r="D1415" s="23">
        <v>140.80000000000001</v>
      </c>
      <c r="E1415" s="23">
        <v>122.7</v>
      </c>
      <c r="F1415" s="23">
        <v>34.72</v>
      </c>
      <c r="G1415" s="23">
        <v>562.6</v>
      </c>
      <c r="H1415" s="23">
        <v>4.9320000000000004</v>
      </c>
      <c r="I1415" s="13">
        <f t="shared" si="22"/>
        <v>3.5339861751152077</v>
      </c>
    </row>
    <row r="1416" spans="2:9">
      <c r="C1416" s="33">
        <v>2.181</v>
      </c>
      <c r="D1416" s="23">
        <v>108.4</v>
      </c>
      <c r="E1416" s="23">
        <v>122</v>
      </c>
      <c r="F1416" s="23">
        <v>34.880000000000003</v>
      </c>
      <c r="G1416" s="23">
        <v>532.4</v>
      </c>
      <c r="H1416" s="23">
        <v>5.35</v>
      </c>
      <c r="I1416" s="13">
        <f t="shared" si="22"/>
        <v>3.4977064220183482</v>
      </c>
    </row>
    <row r="1417" spans="2:9">
      <c r="C1417" s="33">
        <v>2.2080000000000002</v>
      </c>
      <c r="D1417" s="23">
        <v>128.1</v>
      </c>
      <c r="E1417" s="23">
        <v>121.7</v>
      </c>
      <c r="F1417" s="23">
        <v>34.61</v>
      </c>
      <c r="G1417" s="23">
        <v>534.70000000000005</v>
      </c>
      <c r="H1417" s="23">
        <v>5.4</v>
      </c>
      <c r="I1417" s="13">
        <f t="shared" si="22"/>
        <v>3.516324761629587</v>
      </c>
    </row>
    <row r="1418" spans="2:9">
      <c r="C1418" s="33">
        <v>2.2160000000000002</v>
      </c>
      <c r="D1418" s="23">
        <v>106</v>
      </c>
      <c r="E1418" s="23">
        <v>121.6</v>
      </c>
      <c r="F1418" s="23">
        <v>34.25</v>
      </c>
      <c r="G1418" s="23">
        <v>539</v>
      </c>
      <c r="H1418" s="23">
        <v>5.23</v>
      </c>
      <c r="I1418" s="13">
        <f t="shared" si="22"/>
        <v>3.5503649635036494</v>
      </c>
    </row>
    <row r="1419" spans="2:9">
      <c r="C1419" s="33">
        <v>2.1949999999999998</v>
      </c>
      <c r="D1419" s="23">
        <v>126.6</v>
      </c>
      <c r="E1419" s="23">
        <v>121.7</v>
      </c>
      <c r="F1419" s="23">
        <v>34.01</v>
      </c>
      <c r="G1419" s="23">
        <v>533.1</v>
      </c>
      <c r="H1419" s="23">
        <v>5.53</v>
      </c>
      <c r="I1419" s="13">
        <f t="shared" si="22"/>
        <v>3.5783593060864454</v>
      </c>
    </row>
    <row r="1420" spans="2:9">
      <c r="C1420" s="33">
        <v>2.1760000000000002</v>
      </c>
      <c r="D1420" s="23">
        <v>100.6</v>
      </c>
      <c r="E1420" s="23">
        <v>121.9</v>
      </c>
      <c r="F1420" s="23">
        <v>34.11</v>
      </c>
      <c r="G1420" s="23">
        <v>535.6</v>
      </c>
      <c r="H1420" s="23">
        <v>5.42</v>
      </c>
      <c r="I1420" s="13">
        <f t="shared" si="22"/>
        <v>3.5737320433890356</v>
      </c>
    </row>
    <row r="1421" spans="2:9">
      <c r="C1421" s="33">
        <v>2.1190000000000002</v>
      </c>
      <c r="D1421" s="23">
        <v>105.3</v>
      </c>
      <c r="E1421" s="23">
        <v>121.8</v>
      </c>
      <c r="F1421" s="23">
        <v>34.22</v>
      </c>
      <c r="G1421" s="23">
        <v>540.5</v>
      </c>
      <c r="H1421" s="23">
        <v>5.8</v>
      </c>
      <c r="I1421" s="13">
        <f t="shared" si="22"/>
        <v>3.5593220338983049</v>
      </c>
    </row>
    <row r="1422" spans="2:9">
      <c r="B1422" s="35">
        <v>72</v>
      </c>
      <c r="C1422" s="36">
        <v>2.3650000000000002</v>
      </c>
      <c r="D1422" s="38">
        <v>144.5</v>
      </c>
      <c r="E1422" s="38">
        <v>92.16</v>
      </c>
      <c r="F1422" s="38">
        <v>33.1</v>
      </c>
      <c r="G1422" s="38">
        <v>525.79999999999995</v>
      </c>
      <c r="H1422" s="38">
        <v>5.9909999999999997</v>
      </c>
      <c r="I1422" s="13">
        <f t="shared" si="22"/>
        <v>2.7842900302114804</v>
      </c>
    </row>
    <row r="1423" spans="2:9">
      <c r="C1423" s="33">
        <v>2.431</v>
      </c>
      <c r="D1423" s="23">
        <v>157</v>
      </c>
      <c r="E1423" s="23">
        <v>92.05</v>
      </c>
      <c r="F1423" s="23">
        <v>33.22</v>
      </c>
      <c r="G1423" s="23">
        <v>525</v>
      </c>
      <c r="H1423" s="23">
        <v>6.3810000000000002</v>
      </c>
      <c r="I1423" s="13">
        <f t="shared" si="22"/>
        <v>2.7709211318482843</v>
      </c>
    </row>
    <row r="1424" spans="2:9">
      <c r="C1424" s="33">
        <v>2.4460000000000002</v>
      </c>
      <c r="D1424" s="23">
        <v>157.80000000000001</v>
      </c>
      <c r="E1424" s="23">
        <v>92.3</v>
      </c>
      <c r="F1424" s="23">
        <v>33.450000000000003</v>
      </c>
      <c r="G1424" s="23">
        <v>524.4</v>
      </c>
      <c r="H1424" s="23">
        <v>6.4009999999999998</v>
      </c>
      <c r="I1424" s="13">
        <f t="shared" si="22"/>
        <v>2.7593423019431986</v>
      </c>
    </row>
    <row r="1425" spans="3:9">
      <c r="C1425" s="33">
        <v>2.4289999999999998</v>
      </c>
      <c r="D1425" s="23">
        <v>149.5</v>
      </c>
      <c r="E1425" s="23">
        <v>92.46</v>
      </c>
      <c r="F1425" s="23">
        <v>33.270000000000003</v>
      </c>
      <c r="G1425" s="23">
        <v>523.70000000000005</v>
      </c>
      <c r="H1425" s="23">
        <v>6.4029999999999996</v>
      </c>
      <c r="I1425" s="13">
        <f t="shared" si="22"/>
        <v>2.7790802524797109</v>
      </c>
    </row>
    <row r="1426" spans="3:9">
      <c r="C1426" s="33">
        <v>2.4239999999999999</v>
      </c>
      <c r="D1426" s="23">
        <v>154.30000000000001</v>
      </c>
      <c r="E1426" s="23">
        <v>92.51</v>
      </c>
      <c r="F1426" s="23">
        <v>33.22</v>
      </c>
      <c r="G1426" s="23">
        <v>525.5</v>
      </c>
      <c r="H1426" s="23">
        <v>5.5209999999999999</v>
      </c>
      <c r="I1426" s="13">
        <f t="shared" si="22"/>
        <v>2.7847682119205301</v>
      </c>
    </row>
    <row r="1427" spans="3:9">
      <c r="C1427" s="33">
        <v>2.3959999999999999</v>
      </c>
      <c r="D1427" s="23">
        <v>146.6</v>
      </c>
      <c r="E1427" s="23">
        <v>92.33</v>
      </c>
      <c r="F1427" s="23">
        <v>33.11</v>
      </c>
      <c r="G1427" s="23">
        <v>524.79999999999995</v>
      </c>
      <c r="H1427" s="23">
        <v>5.5229999999999997</v>
      </c>
      <c r="I1427" s="13">
        <f t="shared" si="22"/>
        <v>2.7885835095137419</v>
      </c>
    </row>
    <row r="1428" spans="3:9">
      <c r="C1428" s="33">
        <v>2.4079999999999999</v>
      </c>
      <c r="D1428" s="23">
        <v>148.1</v>
      </c>
      <c r="E1428" s="23">
        <v>92.4</v>
      </c>
      <c r="F1428" s="23">
        <v>33.049999999999997</v>
      </c>
      <c r="G1428" s="23">
        <v>525</v>
      </c>
      <c r="H1428" s="23">
        <v>5.577</v>
      </c>
      <c r="I1428" s="13">
        <f t="shared" si="22"/>
        <v>2.795763993948563</v>
      </c>
    </row>
    <row r="1429" spans="3:9">
      <c r="C1429" s="33">
        <v>2.3660000000000001</v>
      </c>
      <c r="D1429" s="23">
        <v>146.6</v>
      </c>
      <c r="E1429" s="23">
        <v>92.46</v>
      </c>
      <c r="F1429" s="23">
        <v>33.28</v>
      </c>
      <c r="G1429" s="23">
        <v>526.1</v>
      </c>
      <c r="H1429" s="23">
        <v>6.2960000000000003</v>
      </c>
      <c r="I1429" s="13">
        <f t="shared" si="22"/>
        <v>2.7782451923076921</v>
      </c>
    </row>
    <row r="1430" spans="3:9">
      <c r="C1430" s="33">
        <v>2.3330000000000002</v>
      </c>
      <c r="D1430" s="23">
        <v>144.5</v>
      </c>
      <c r="E1430" s="23">
        <v>92.87</v>
      </c>
      <c r="F1430" s="23">
        <v>33.369999999999997</v>
      </c>
      <c r="G1430" s="23">
        <v>527.4</v>
      </c>
      <c r="H1430" s="23">
        <v>6.3250000000000002</v>
      </c>
      <c r="I1430" s="13">
        <f t="shared" si="22"/>
        <v>2.783038657476776</v>
      </c>
    </row>
    <row r="1431" spans="3:9">
      <c r="C1431" s="33">
        <v>2.298</v>
      </c>
      <c r="D1431" s="23">
        <v>157.9</v>
      </c>
      <c r="E1431" s="23">
        <v>92.05</v>
      </c>
      <c r="F1431" s="23">
        <v>33.549999999999997</v>
      </c>
      <c r="G1431" s="23">
        <v>528.6</v>
      </c>
      <c r="H1431" s="23">
        <v>5.9820000000000002</v>
      </c>
      <c r="I1431" s="13">
        <f t="shared" si="22"/>
        <v>2.7436661698956781</v>
      </c>
    </row>
    <row r="1432" spans="3:9">
      <c r="C1432" s="33">
        <v>2.327</v>
      </c>
      <c r="D1432" s="23">
        <v>153.4</v>
      </c>
      <c r="E1432" s="23">
        <v>92.15</v>
      </c>
      <c r="F1432" s="23">
        <v>33.049999999999997</v>
      </c>
      <c r="G1432" s="23">
        <v>528.20000000000005</v>
      </c>
      <c r="H1432" s="23">
        <v>5.9749999999999996</v>
      </c>
      <c r="I1432" s="13">
        <f t="shared" si="22"/>
        <v>2.7881996974281398</v>
      </c>
    </row>
    <row r="1433" spans="3:9">
      <c r="C1433" s="33">
        <v>2.3540000000000001</v>
      </c>
      <c r="D1433" s="23">
        <v>149.69999999999999</v>
      </c>
      <c r="E1433" s="23">
        <v>92.96</v>
      </c>
      <c r="F1433" s="23">
        <v>33.24</v>
      </c>
      <c r="G1433" s="23">
        <v>528.9</v>
      </c>
      <c r="H1433" s="23">
        <v>5.89</v>
      </c>
      <c r="I1433" s="13">
        <f t="shared" si="22"/>
        <v>2.7966305655836337</v>
      </c>
    </row>
    <row r="1434" spans="3:9">
      <c r="C1434" s="33">
        <v>2.375</v>
      </c>
      <c r="D1434" s="23">
        <v>157.6</v>
      </c>
      <c r="E1434" s="23">
        <v>92.87</v>
      </c>
      <c r="F1434" s="23">
        <v>33.44</v>
      </c>
      <c r="G1434" s="23">
        <v>532.5</v>
      </c>
      <c r="H1434" s="23">
        <v>5.9909999999999997</v>
      </c>
      <c r="I1434" s="13">
        <f t="shared" si="22"/>
        <v>2.7772129186602874</v>
      </c>
    </row>
    <row r="1435" spans="3:9">
      <c r="C1435" s="33">
        <v>2.3940000000000001</v>
      </c>
      <c r="D1435" s="23">
        <v>149.5</v>
      </c>
      <c r="E1435" s="23">
        <v>92.09</v>
      </c>
      <c r="F1435" s="23">
        <v>33.39</v>
      </c>
      <c r="G1435" s="23">
        <v>533.6</v>
      </c>
      <c r="H1435" s="23">
        <v>5.9749999999999996</v>
      </c>
      <c r="I1435" s="13">
        <f t="shared" si="22"/>
        <v>2.7580113806528903</v>
      </c>
    </row>
    <row r="1436" spans="3:9">
      <c r="C1436" s="33">
        <v>2.4079999999999999</v>
      </c>
      <c r="D1436" s="23">
        <v>144.5</v>
      </c>
      <c r="E1436" s="23">
        <v>92.24</v>
      </c>
      <c r="F1436" s="23">
        <v>33.11</v>
      </c>
      <c r="G1436" s="23">
        <v>532.5</v>
      </c>
      <c r="H1436" s="23">
        <v>6.1980000000000004</v>
      </c>
      <c r="I1436" s="13">
        <f t="shared" si="22"/>
        <v>2.7858652974932046</v>
      </c>
    </row>
    <row r="1437" spans="3:9">
      <c r="C1437" s="33">
        <v>2.3940000000000001</v>
      </c>
      <c r="D1437" s="23">
        <v>146.6</v>
      </c>
      <c r="E1437" s="23">
        <v>92.28</v>
      </c>
      <c r="F1437" s="23">
        <v>33.33</v>
      </c>
      <c r="G1437" s="23">
        <v>529.79999999999995</v>
      </c>
      <c r="H1437" s="23">
        <v>6.5170000000000003</v>
      </c>
      <c r="I1437" s="13">
        <f t="shared" si="22"/>
        <v>2.7686768676867688</v>
      </c>
    </row>
    <row r="1438" spans="3:9">
      <c r="C1438" s="33">
        <v>2.4089999999999998</v>
      </c>
      <c r="D1438" s="23">
        <v>141.69999999999999</v>
      </c>
      <c r="E1438" s="23">
        <v>92.3</v>
      </c>
      <c r="F1438" s="23">
        <v>33.08</v>
      </c>
      <c r="G1438" s="23">
        <v>528.6</v>
      </c>
      <c r="H1438" s="23">
        <v>5.5209999999999999</v>
      </c>
      <c r="I1438" s="13">
        <f t="shared" si="22"/>
        <v>2.7902055622732771</v>
      </c>
    </row>
    <row r="1439" spans="3:9">
      <c r="C1439" s="33">
        <v>2.423</v>
      </c>
      <c r="D1439" s="23">
        <v>142.5</v>
      </c>
      <c r="E1439" s="23">
        <v>92.45</v>
      </c>
      <c r="F1439" s="23">
        <v>33.020000000000003</v>
      </c>
      <c r="G1439" s="23">
        <v>529.4</v>
      </c>
      <c r="H1439" s="23">
        <v>5.5609999999999999</v>
      </c>
      <c r="I1439" s="13">
        <f t="shared" si="22"/>
        <v>2.799818291944276</v>
      </c>
    </row>
    <row r="1440" spans="3:9">
      <c r="C1440" s="33">
        <v>2.4</v>
      </c>
      <c r="D1440" s="23">
        <v>150</v>
      </c>
      <c r="E1440" s="23">
        <v>92.05</v>
      </c>
      <c r="F1440" s="23">
        <v>33.06</v>
      </c>
      <c r="G1440" s="23">
        <v>525.6</v>
      </c>
      <c r="H1440" s="23">
        <v>5.5540000000000003</v>
      </c>
      <c r="I1440" s="13">
        <f t="shared" si="22"/>
        <v>2.7843315184513004</v>
      </c>
    </row>
    <row r="1441" spans="2:9">
      <c r="C1441" s="33">
        <v>2.391</v>
      </c>
      <c r="D1441" s="23">
        <v>159.19999999999999</v>
      </c>
      <c r="E1441" s="23">
        <v>92.38</v>
      </c>
      <c r="F1441" s="23">
        <v>33.76</v>
      </c>
      <c r="G1441" s="23">
        <v>525.79999999999995</v>
      </c>
      <c r="H1441" s="23">
        <v>5.5609999999999999</v>
      </c>
      <c r="I1441" s="13">
        <f t="shared" si="22"/>
        <v>2.7363744075829386</v>
      </c>
    </row>
    <row r="1442" spans="2:9">
      <c r="B1442" s="35">
        <v>73</v>
      </c>
      <c r="C1442" s="36">
        <v>2.15</v>
      </c>
      <c r="D1442" s="38">
        <v>214.2</v>
      </c>
      <c r="E1442" s="38">
        <v>94.35</v>
      </c>
      <c r="F1442" s="38">
        <v>37.479999999999997</v>
      </c>
      <c r="G1442" s="38">
        <v>487.6</v>
      </c>
      <c r="H1442" s="38">
        <v>4.4870000000000001</v>
      </c>
      <c r="I1442" s="13">
        <f t="shared" si="22"/>
        <v>2.5173425827107789</v>
      </c>
    </row>
    <row r="1443" spans="2:9">
      <c r="C1443" s="33">
        <v>2.161</v>
      </c>
      <c r="D1443" s="23">
        <v>203.4</v>
      </c>
      <c r="E1443" s="23">
        <v>93.86</v>
      </c>
      <c r="F1443" s="23">
        <v>37.119999999999997</v>
      </c>
      <c r="G1443" s="23">
        <v>488.9</v>
      </c>
      <c r="H1443" s="23">
        <v>4.7960000000000003</v>
      </c>
      <c r="I1443" s="13">
        <f t="shared" si="22"/>
        <v>2.5285560344827589</v>
      </c>
    </row>
    <row r="1444" spans="2:9">
      <c r="C1444" s="33">
        <v>2.1469999999999998</v>
      </c>
      <c r="D1444" s="23">
        <v>195.4</v>
      </c>
      <c r="E1444" s="23">
        <v>94.17</v>
      </c>
      <c r="F1444" s="23">
        <v>37.06</v>
      </c>
      <c r="G1444" s="23">
        <v>491.8</v>
      </c>
      <c r="H1444" s="23">
        <v>4.984</v>
      </c>
      <c r="I1444" s="13">
        <f t="shared" si="22"/>
        <v>2.5410145709660008</v>
      </c>
    </row>
    <row r="1445" spans="2:9">
      <c r="C1445" s="33">
        <v>2.1549999999999998</v>
      </c>
      <c r="D1445" s="23">
        <v>184.6</v>
      </c>
      <c r="E1445" s="23">
        <v>94.12</v>
      </c>
      <c r="F1445" s="23">
        <v>36.67</v>
      </c>
      <c r="G1445" s="23">
        <v>493.3</v>
      </c>
      <c r="H1445" s="23">
        <v>5.423</v>
      </c>
      <c r="I1445" s="13">
        <f t="shared" si="22"/>
        <v>2.5666757567493863</v>
      </c>
    </row>
    <row r="1446" spans="2:9">
      <c r="C1446" s="33">
        <v>2.1579999999999999</v>
      </c>
      <c r="D1446" s="23">
        <v>136.5</v>
      </c>
      <c r="E1446" s="23">
        <v>94.32</v>
      </c>
      <c r="F1446" s="23">
        <v>36.72</v>
      </c>
      <c r="G1446" s="23">
        <v>487.4</v>
      </c>
      <c r="H1446" s="23">
        <v>5.8380000000000001</v>
      </c>
      <c r="I1446" s="13">
        <f t="shared" si="22"/>
        <v>2.5686274509803919</v>
      </c>
    </row>
    <row r="1447" spans="2:9">
      <c r="C1447" s="33">
        <v>2.1619999999999999</v>
      </c>
      <c r="D1447" s="23">
        <v>184.6</v>
      </c>
      <c r="E1447" s="23">
        <v>94.27</v>
      </c>
      <c r="F1447" s="23">
        <v>37.61</v>
      </c>
      <c r="G1447" s="23">
        <v>480.3</v>
      </c>
      <c r="H1447" s="23">
        <v>5.0759999999999996</v>
      </c>
      <c r="I1447" s="13">
        <f t="shared" si="22"/>
        <v>2.5065142249401755</v>
      </c>
    </row>
    <row r="1448" spans="2:9">
      <c r="C1448" s="33">
        <v>2.1589999999999998</v>
      </c>
      <c r="D1448" s="23">
        <v>193.1</v>
      </c>
      <c r="E1448" s="23">
        <v>94.51</v>
      </c>
      <c r="F1448" s="23">
        <v>37.51</v>
      </c>
      <c r="G1448" s="23">
        <v>485.2</v>
      </c>
      <c r="H1448" s="23">
        <v>5.3550000000000004</v>
      </c>
      <c r="I1448" s="13">
        <f t="shared" si="22"/>
        <v>2.5195947747267398</v>
      </c>
    </row>
    <row r="1449" spans="2:9">
      <c r="C1449" s="33">
        <v>2.1520000000000001</v>
      </c>
      <c r="D1449" s="23">
        <v>214.2</v>
      </c>
      <c r="E1449" s="23">
        <v>94.18</v>
      </c>
      <c r="F1449" s="23">
        <v>37.700000000000003</v>
      </c>
      <c r="G1449" s="23">
        <v>486.9</v>
      </c>
      <c r="H1449" s="23">
        <v>5.423</v>
      </c>
      <c r="I1449" s="13">
        <f t="shared" si="22"/>
        <v>2.4981432360742706</v>
      </c>
    </row>
    <row r="1450" spans="2:9">
      <c r="C1450" s="33">
        <v>2.1560000000000001</v>
      </c>
      <c r="D1450" s="23">
        <v>213</v>
      </c>
      <c r="E1450" s="23">
        <v>94.46</v>
      </c>
      <c r="F1450" s="23">
        <v>37.31</v>
      </c>
      <c r="G1450" s="23">
        <v>485</v>
      </c>
      <c r="H1450" s="23">
        <v>5.601</v>
      </c>
      <c r="I1450" s="13">
        <f t="shared" si="22"/>
        <v>2.5317609220048243</v>
      </c>
    </row>
    <row r="1451" spans="2:9">
      <c r="C1451" s="33">
        <v>2.1469999999999998</v>
      </c>
      <c r="D1451" s="23">
        <v>205.1</v>
      </c>
      <c r="E1451" s="23">
        <v>94.51</v>
      </c>
      <c r="F1451" s="23">
        <v>37.42</v>
      </c>
      <c r="G1451" s="23">
        <v>487.4</v>
      </c>
      <c r="H1451" s="23">
        <v>5.601</v>
      </c>
      <c r="I1451" s="13">
        <f t="shared" si="22"/>
        <v>2.5256547300908605</v>
      </c>
    </row>
    <row r="1452" spans="2:9">
      <c r="C1452" s="33">
        <v>2.137</v>
      </c>
      <c r="D1452" s="23">
        <v>193.1</v>
      </c>
      <c r="E1452" s="23">
        <v>94.55</v>
      </c>
      <c r="F1452" s="23">
        <v>37.17</v>
      </c>
      <c r="G1452" s="23">
        <v>494.4</v>
      </c>
      <c r="H1452" s="23">
        <v>5.2839999999999998</v>
      </c>
      <c r="I1452" s="13">
        <f t="shared" si="22"/>
        <v>2.5437180521926281</v>
      </c>
    </row>
    <row r="1453" spans="2:9">
      <c r="C1453" s="33">
        <v>2.13</v>
      </c>
      <c r="D1453" s="23">
        <v>184.6</v>
      </c>
      <c r="E1453" s="23">
        <v>94.12</v>
      </c>
      <c r="F1453" s="23">
        <v>37.39</v>
      </c>
      <c r="G1453" s="23">
        <v>493.3</v>
      </c>
      <c r="H1453" s="23">
        <v>5.0419999999999998</v>
      </c>
      <c r="I1453" s="13">
        <f t="shared" si="22"/>
        <v>2.5172506017651779</v>
      </c>
    </row>
    <row r="1454" spans="2:9">
      <c r="C1454" s="33">
        <v>2.1619999999999999</v>
      </c>
      <c r="D1454" s="23">
        <v>167.2</v>
      </c>
      <c r="E1454" s="23">
        <v>94.18</v>
      </c>
      <c r="F1454" s="23">
        <v>37.17</v>
      </c>
      <c r="G1454" s="23">
        <v>493.4</v>
      </c>
      <c r="H1454" s="23">
        <v>4.7789999999999999</v>
      </c>
      <c r="I1454" s="13">
        <f t="shared" si="22"/>
        <v>2.5337637880010764</v>
      </c>
    </row>
    <row r="1455" spans="2:9">
      <c r="C1455" s="33">
        <v>2.1259999999999999</v>
      </c>
      <c r="D1455" s="23">
        <v>182.9</v>
      </c>
      <c r="E1455" s="23">
        <v>94.14</v>
      </c>
      <c r="F1455" s="23">
        <v>37.729999999999997</v>
      </c>
      <c r="G1455" s="23">
        <v>484.3</v>
      </c>
      <c r="H1455" s="23">
        <v>4.3129999999999997</v>
      </c>
      <c r="I1455" s="13">
        <f t="shared" si="22"/>
        <v>2.4950967399946995</v>
      </c>
    </row>
    <row r="1456" spans="2:9">
      <c r="C1456" s="33">
        <v>2.1560000000000001</v>
      </c>
      <c r="D1456" s="23">
        <v>192.1</v>
      </c>
      <c r="E1456" s="23">
        <v>94.56</v>
      </c>
      <c r="F1456" s="23">
        <v>37.31</v>
      </c>
      <c r="G1456" s="23">
        <v>479.8</v>
      </c>
      <c r="H1456" s="23">
        <v>4.048</v>
      </c>
      <c r="I1456" s="13">
        <f t="shared" si="22"/>
        <v>2.5344411685875099</v>
      </c>
    </row>
    <row r="1457" spans="2:9">
      <c r="C1457" s="33">
        <v>2.1539999999999999</v>
      </c>
      <c r="D1457" s="23">
        <v>189.1</v>
      </c>
      <c r="E1457" s="23">
        <v>94.61</v>
      </c>
      <c r="F1457" s="23">
        <v>37.93</v>
      </c>
      <c r="G1457" s="23">
        <v>479.4</v>
      </c>
      <c r="H1457" s="23">
        <v>4.6269999999999998</v>
      </c>
      <c r="I1457" s="13">
        <f t="shared" si="22"/>
        <v>2.4943316635908253</v>
      </c>
    </row>
    <row r="1458" spans="2:9">
      <c r="C1458" s="33">
        <v>2.1480000000000001</v>
      </c>
      <c r="D1458" s="23">
        <v>158.6</v>
      </c>
      <c r="E1458" s="23">
        <v>94.17</v>
      </c>
      <c r="F1458" s="23">
        <v>37.119999999999997</v>
      </c>
      <c r="G1458" s="23">
        <v>485.1</v>
      </c>
      <c r="H1458" s="23">
        <v>5.1260000000000003</v>
      </c>
      <c r="I1458" s="13">
        <f t="shared" si="22"/>
        <v>2.5369073275862073</v>
      </c>
    </row>
    <row r="1459" spans="2:9">
      <c r="C1459" s="33">
        <v>2.1549999999999998</v>
      </c>
      <c r="D1459" s="23">
        <v>184.6</v>
      </c>
      <c r="E1459" s="23">
        <v>94.32</v>
      </c>
      <c r="F1459" s="23">
        <v>37.96</v>
      </c>
      <c r="G1459" s="23">
        <v>471.6</v>
      </c>
      <c r="H1459" s="23">
        <v>5.7290000000000001</v>
      </c>
      <c r="I1459" s="13">
        <f t="shared" si="22"/>
        <v>2.4847207586933613</v>
      </c>
    </row>
    <row r="1460" spans="2:9">
      <c r="C1460" s="33">
        <v>2.153</v>
      </c>
      <c r="D1460" s="23">
        <v>181.6</v>
      </c>
      <c r="E1460" s="23">
        <v>94.46</v>
      </c>
      <c r="F1460" s="23">
        <v>37.61</v>
      </c>
      <c r="G1460" s="23">
        <v>484.3</v>
      </c>
      <c r="H1460" s="23">
        <v>5.43</v>
      </c>
      <c r="I1460" s="13">
        <f t="shared" si="22"/>
        <v>2.5115660728529643</v>
      </c>
    </row>
    <row r="1461" spans="2:9">
      <c r="C1461" s="33">
        <v>2.1560000000000001</v>
      </c>
      <c r="D1461" s="23">
        <v>193.1</v>
      </c>
      <c r="E1461" s="23">
        <v>93.93</v>
      </c>
      <c r="F1461" s="23">
        <v>37.409999999999997</v>
      </c>
      <c r="G1461" s="23">
        <v>486.1</v>
      </c>
      <c r="H1461" s="23">
        <v>5.7640000000000002</v>
      </c>
      <c r="I1461" s="13">
        <f t="shared" si="22"/>
        <v>2.5108259823576589</v>
      </c>
    </row>
    <row r="1462" spans="2:9">
      <c r="B1462" s="35">
        <v>74</v>
      </c>
      <c r="C1462" s="36">
        <v>2.633</v>
      </c>
      <c r="D1462" s="38">
        <v>124.4</v>
      </c>
      <c r="E1462" s="38">
        <v>102</v>
      </c>
      <c r="F1462" s="38">
        <v>36.25</v>
      </c>
      <c r="G1462" s="38">
        <v>594.9</v>
      </c>
      <c r="H1462" s="38">
        <v>5.2370000000000001</v>
      </c>
      <c r="I1462" s="13">
        <f t="shared" si="22"/>
        <v>2.8137931034482757</v>
      </c>
    </row>
    <row r="1463" spans="2:9">
      <c r="C1463" s="33">
        <v>2.62</v>
      </c>
      <c r="D1463" s="23">
        <v>123.4</v>
      </c>
      <c r="E1463" s="23">
        <v>102.3</v>
      </c>
      <c r="F1463" s="23">
        <v>36.94</v>
      </c>
      <c r="G1463" s="23">
        <v>595.79999999999995</v>
      </c>
      <c r="H1463" s="23">
        <v>4.984</v>
      </c>
      <c r="I1463" s="13">
        <f t="shared" si="22"/>
        <v>2.7693557119653494</v>
      </c>
    </row>
    <row r="1464" spans="2:9">
      <c r="C1464" s="33">
        <v>2.5059999999999998</v>
      </c>
      <c r="D1464" s="23">
        <v>112.3</v>
      </c>
      <c r="E1464" s="23">
        <v>102.5</v>
      </c>
      <c r="F1464" s="23">
        <v>36.840000000000003</v>
      </c>
      <c r="G1464" s="23">
        <v>596.4</v>
      </c>
      <c r="H1464" s="23">
        <v>5.0330000000000004</v>
      </c>
      <c r="I1464" s="13">
        <f t="shared" si="22"/>
        <v>2.7823018458197608</v>
      </c>
    </row>
    <row r="1465" spans="2:9">
      <c r="C1465" s="33">
        <v>2.589</v>
      </c>
      <c r="D1465" s="23">
        <v>110.5</v>
      </c>
      <c r="E1465" s="23">
        <v>102.8</v>
      </c>
      <c r="F1465" s="23">
        <v>36.67</v>
      </c>
      <c r="G1465" s="23">
        <v>599.9</v>
      </c>
      <c r="H1465" s="23">
        <v>5.3659999999999997</v>
      </c>
      <c r="I1465" s="13">
        <f t="shared" si="22"/>
        <v>2.8033815107717479</v>
      </c>
    </row>
    <row r="1466" spans="2:9">
      <c r="C1466" s="33">
        <v>2.4580000000000002</v>
      </c>
      <c r="D1466" s="23">
        <v>115.8</v>
      </c>
      <c r="E1466" s="23">
        <v>102.9</v>
      </c>
      <c r="F1466" s="23">
        <v>36.49</v>
      </c>
      <c r="G1466" s="23">
        <v>598.29999999999995</v>
      </c>
      <c r="H1466" s="23">
        <v>4.766</v>
      </c>
      <c r="I1466" s="13">
        <f t="shared" si="22"/>
        <v>2.8199506714168265</v>
      </c>
    </row>
    <row r="1467" spans="2:9">
      <c r="C1467" s="33">
        <v>2.5059999999999998</v>
      </c>
      <c r="D1467" s="23">
        <v>127.5</v>
      </c>
      <c r="E1467" s="23">
        <v>103</v>
      </c>
      <c r="F1467" s="23">
        <v>36.31</v>
      </c>
      <c r="G1467" s="23">
        <v>597.29999999999995</v>
      </c>
      <c r="H1467" s="23">
        <v>4.28</v>
      </c>
      <c r="I1467" s="13">
        <f t="shared" si="22"/>
        <v>2.8366841090608648</v>
      </c>
    </row>
    <row r="1468" spans="2:9">
      <c r="C1468" s="33">
        <v>2.3919999999999999</v>
      </c>
      <c r="D1468" s="23">
        <v>115.8</v>
      </c>
      <c r="E1468" s="23">
        <v>103.1</v>
      </c>
      <c r="F1468" s="23">
        <v>36.07</v>
      </c>
      <c r="G1468" s="23">
        <v>598.79999999999995</v>
      </c>
      <c r="H1468" s="23">
        <v>3.843</v>
      </c>
      <c r="I1468" s="13">
        <f t="shared" si="22"/>
        <v>2.8583310230108121</v>
      </c>
    </row>
    <row r="1469" spans="2:9">
      <c r="C1469" s="33">
        <v>2.2629999999999999</v>
      </c>
      <c r="D1469" s="23">
        <v>125.4</v>
      </c>
      <c r="E1469" s="23">
        <v>102.6</v>
      </c>
      <c r="F1469" s="23">
        <v>36.520000000000003</v>
      </c>
      <c r="G1469" s="23">
        <v>597.6</v>
      </c>
      <c r="H1469" s="23">
        <v>3.7290000000000001</v>
      </c>
      <c r="I1469" s="13">
        <f t="shared" si="22"/>
        <v>2.8094194961664836</v>
      </c>
    </row>
    <row r="1470" spans="2:9">
      <c r="C1470" s="33">
        <v>2.27</v>
      </c>
      <c r="D1470" s="23">
        <v>118.6</v>
      </c>
      <c r="E1470" s="23">
        <v>102.4</v>
      </c>
      <c r="F1470" s="23">
        <v>36.619999999999997</v>
      </c>
      <c r="G1470" s="23">
        <v>599.29999999999995</v>
      </c>
      <c r="H1470" s="23">
        <v>3.08</v>
      </c>
      <c r="I1470" s="13">
        <f t="shared" si="22"/>
        <v>2.796286182413982</v>
      </c>
    </row>
    <row r="1471" spans="2:9">
      <c r="C1471" s="33">
        <v>2.5259999999999998</v>
      </c>
      <c r="D1471" s="23">
        <v>106.5</v>
      </c>
      <c r="E1471" s="23">
        <v>102.5</v>
      </c>
      <c r="F1471" s="23">
        <v>36.94</v>
      </c>
      <c r="G1471" s="23">
        <v>597.4</v>
      </c>
      <c r="H1471" s="23">
        <v>2.7490000000000001</v>
      </c>
      <c r="I1471" s="13">
        <f t="shared" si="22"/>
        <v>2.7747698971304819</v>
      </c>
    </row>
    <row r="1472" spans="2:9">
      <c r="C1472" s="33">
        <v>2.5150000000000001</v>
      </c>
      <c r="D1472" s="23">
        <v>115.8</v>
      </c>
      <c r="E1472" s="23">
        <v>102.8</v>
      </c>
      <c r="F1472" s="23">
        <v>36.65</v>
      </c>
      <c r="G1472" s="23">
        <v>595.5</v>
      </c>
      <c r="H1472" s="23">
        <v>3.2959999999999998</v>
      </c>
      <c r="I1472" s="13">
        <f t="shared" si="22"/>
        <v>2.8049113233287857</v>
      </c>
    </row>
    <row r="1473" spans="2:9">
      <c r="C1473" s="33">
        <v>2.5059999999999998</v>
      </c>
      <c r="D1473" s="23">
        <v>110.5</v>
      </c>
      <c r="E1473" s="23">
        <v>102.9</v>
      </c>
      <c r="F1473" s="23">
        <v>36.86</v>
      </c>
      <c r="G1473" s="23">
        <v>598.29999999999995</v>
      </c>
      <c r="H1473" s="23">
        <v>4.1360000000000001</v>
      </c>
      <c r="I1473" s="13">
        <f t="shared" si="22"/>
        <v>2.7916440586001086</v>
      </c>
    </row>
    <row r="1474" spans="2:9">
      <c r="C1474" s="33">
        <v>2.4580000000000002</v>
      </c>
      <c r="D1474" s="23">
        <v>118.9</v>
      </c>
      <c r="E1474" s="23">
        <v>102.7</v>
      </c>
      <c r="F1474" s="23">
        <v>36.99</v>
      </c>
      <c r="G1474" s="23">
        <v>595.1</v>
      </c>
      <c r="H1474" s="23">
        <v>4.28</v>
      </c>
      <c r="I1474" s="13">
        <f t="shared" si="22"/>
        <v>2.7764260610975939</v>
      </c>
    </row>
    <row r="1475" spans="2:9">
      <c r="C1475" s="33">
        <v>2.5539999999999998</v>
      </c>
      <c r="D1475" s="23">
        <v>123.4</v>
      </c>
      <c r="E1475" s="23">
        <v>102.4</v>
      </c>
      <c r="F1475" s="23">
        <v>36.57</v>
      </c>
      <c r="G1475" s="23">
        <v>596.20000000000005</v>
      </c>
      <c r="H1475" s="23">
        <v>4.726</v>
      </c>
      <c r="I1475" s="13">
        <f t="shared" ref="I1475:I1538" si="23">E1475/F1475</f>
        <v>2.8001093792726279</v>
      </c>
    </row>
    <row r="1476" spans="2:9">
      <c r="C1476" s="33">
        <v>2.427</v>
      </c>
      <c r="D1476" s="23">
        <v>127.8</v>
      </c>
      <c r="E1476" s="23">
        <v>102.6</v>
      </c>
      <c r="F1476" s="23">
        <v>36.39</v>
      </c>
      <c r="G1476" s="23">
        <v>596</v>
      </c>
      <c r="H1476" s="23">
        <v>4.88</v>
      </c>
      <c r="I1476" s="13">
        <f t="shared" si="23"/>
        <v>2.8194558944765045</v>
      </c>
    </row>
    <row r="1477" spans="2:9">
      <c r="C1477" s="33">
        <v>2.335</v>
      </c>
      <c r="D1477" s="23">
        <v>124.4</v>
      </c>
      <c r="E1477" s="23">
        <v>102.1</v>
      </c>
      <c r="F1477" s="23">
        <v>36.590000000000003</v>
      </c>
      <c r="G1477" s="23">
        <v>596.70000000000005</v>
      </c>
      <c r="H1477" s="23">
        <v>4.2489999999999997</v>
      </c>
      <c r="I1477" s="13">
        <f t="shared" si="23"/>
        <v>2.7903798852145392</v>
      </c>
    </row>
    <row r="1478" spans="2:9">
      <c r="C1478" s="33">
        <v>2.2290000000000001</v>
      </c>
      <c r="D1478" s="23">
        <v>106.5</v>
      </c>
      <c r="E1478" s="23">
        <v>102.7</v>
      </c>
      <c r="F1478" s="23">
        <v>36.76</v>
      </c>
      <c r="G1478" s="23">
        <v>597.70000000000005</v>
      </c>
      <c r="H1478" s="23">
        <v>4.4640000000000004</v>
      </c>
      <c r="I1478" s="13">
        <f t="shared" si="23"/>
        <v>2.7937976060935803</v>
      </c>
    </row>
    <row r="1479" spans="2:9">
      <c r="C1479" s="33">
        <v>2.1589999999999998</v>
      </c>
      <c r="D1479" s="23">
        <v>118.6</v>
      </c>
      <c r="E1479" s="23">
        <v>102.8</v>
      </c>
      <c r="F1479" s="23">
        <v>36.78</v>
      </c>
      <c r="G1479" s="23">
        <v>598.5</v>
      </c>
      <c r="H1479" s="23">
        <v>3.6419999999999999</v>
      </c>
      <c r="I1479" s="13">
        <f t="shared" si="23"/>
        <v>2.7949972811310495</v>
      </c>
    </row>
    <row r="1480" spans="2:9">
      <c r="C1480" s="33">
        <v>2.2370000000000001</v>
      </c>
      <c r="D1480" s="23">
        <v>125.4</v>
      </c>
      <c r="E1480" s="23">
        <v>103</v>
      </c>
      <c r="F1480" s="23">
        <v>36.6</v>
      </c>
      <c r="G1480" s="23">
        <v>596.6</v>
      </c>
      <c r="H1480" s="23">
        <v>3.41</v>
      </c>
      <c r="I1480" s="13">
        <f t="shared" si="23"/>
        <v>2.8142076502732238</v>
      </c>
    </row>
    <row r="1481" spans="2:9">
      <c r="C1481" s="33">
        <v>2.117</v>
      </c>
      <c r="D1481" s="23">
        <v>110.5</v>
      </c>
      <c r="E1481" s="23">
        <v>103.1</v>
      </c>
      <c r="F1481" s="23">
        <v>36.119999999999997</v>
      </c>
      <c r="G1481" s="23">
        <v>595.1</v>
      </c>
      <c r="H1481" s="23">
        <v>4.2389999999999999</v>
      </c>
      <c r="I1481" s="13">
        <f t="shared" si="23"/>
        <v>2.8543743078626802</v>
      </c>
    </row>
    <row r="1482" spans="2:9">
      <c r="B1482" s="35">
        <v>75</v>
      </c>
      <c r="C1482" s="36">
        <v>2.3570000000000002</v>
      </c>
      <c r="D1482" s="38">
        <v>177.7</v>
      </c>
      <c r="E1482" s="38">
        <v>107.5</v>
      </c>
      <c r="F1482" s="38">
        <v>21.79</v>
      </c>
      <c r="G1482" s="38">
        <v>568.6</v>
      </c>
      <c r="H1482" s="38">
        <v>5.3710000000000004</v>
      </c>
      <c r="I1482" s="13">
        <f t="shared" si="23"/>
        <v>4.9334557136301056</v>
      </c>
    </row>
    <row r="1483" spans="2:9">
      <c r="C1483" s="33">
        <v>2.343</v>
      </c>
      <c r="D1483" s="23">
        <v>147.69999999999999</v>
      </c>
      <c r="E1483" s="23">
        <v>107.6</v>
      </c>
      <c r="F1483" s="23">
        <v>22</v>
      </c>
      <c r="G1483" s="23">
        <v>570.1</v>
      </c>
      <c r="H1483" s="23">
        <v>5.3659999999999997</v>
      </c>
      <c r="I1483" s="13">
        <f t="shared" si="23"/>
        <v>4.8909090909090907</v>
      </c>
    </row>
    <row r="1484" spans="2:9">
      <c r="C1484" s="33">
        <v>2.3410000000000002</v>
      </c>
      <c r="D1484" s="23">
        <v>182.1</v>
      </c>
      <c r="E1484" s="23">
        <v>107.3</v>
      </c>
      <c r="F1484" s="23">
        <v>21.43</v>
      </c>
      <c r="G1484" s="23">
        <v>570.20000000000005</v>
      </c>
      <c r="H1484" s="23">
        <v>6.34</v>
      </c>
      <c r="I1484" s="13">
        <f t="shared" si="23"/>
        <v>5.0069995333644419</v>
      </c>
    </row>
    <row r="1485" spans="2:9">
      <c r="C1485" s="33">
        <v>2.335</v>
      </c>
      <c r="D1485" s="23">
        <v>171.1</v>
      </c>
      <c r="E1485" s="23">
        <v>107.4</v>
      </c>
      <c r="F1485" s="23">
        <v>21.95</v>
      </c>
      <c r="G1485" s="23">
        <v>571.79999999999995</v>
      </c>
      <c r="H1485" s="23">
        <v>6.4470000000000001</v>
      </c>
      <c r="I1485" s="13">
        <f t="shared" si="23"/>
        <v>4.8929384965831435</v>
      </c>
    </row>
    <row r="1486" spans="2:9">
      <c r="C1486" s="33">
        <v>2.355</v>
      </c>
      <c r="D1486" s="23">
        <v>177.7</v>
      </c>
      <c r="E1486" s="23">
        <v>107.3</v>
      </c>
      <c r="F1486" s="23">
        <v>21.9</v>
      </c>
      <c r="G1486" s="23">
        <v>572.1</v>
      </c>
      <c r="H1486" s="23">
        <v>4.5460000000000003</v>
      </c>
      <c r="I1486" s="13">
        <f t="shared" si="23"/>
        <v>4.8995433789954337</v>
      </c>
    </row>
    <row r="1487" spans="2:9">
      <c r="C1487" s="33">
        <v>2.3519999999999999</v>
      </c>
      <c r="D1487" s="23">
        <v>166.5</v>
      </c>
      <c r="E1487" s="23">
        <v>106.8</v>
      </c>
      <c r="F1487" s="23">
        <v>21.12</v>
      </c>
      <c r="G1487" s="23">
        <v>576.29999999999995</v>
      </c>
      <c r="H1487" s="23">
        <v>4.43</v>
      </c>
      <c r="I1487" s="13">
        <f t="shared" si="23"/>
        <v>5.0568181818181817</v>
      </c>
    </row>
    <row r="1488" spans="2:9">
      <c r="C1488" s="33">
        <v>2.343</v>
      </c>
      <c r="D1488" s="23">
        <v>164.7</v>
      </c>
      <c r="E1488" s="23">
        <v>107.6</v>
      </c>
      <c r="F1488" s="23">
        <v>21.34</v>
      </c>
      <c r="G1488" s="23">
        <v>578.1</v>
      </c>
      <c r="H1488" s="23">
        <v>4.3520000000000003</v>
      </c>
      <c r="I1488" s="13">
        <f t="shared" si="23"/>
        <v>5.0421743205248362</v>
      </c>
    </row>
    <row r="1489" spans="2:9">
      <c r="C1489" s="33">
        <v>2.2949999999999999</v>
      </c>
      <c r="D1489" s="23">
        <v>161</v>
      </c>
      <c r="E1489" s="23">
        <v>107.7</v>
      </c>
      <c r="F1489" s="23">
        <v>21.45</v>
      </c>
      <c r="G1489" s="23">
        <v>578.79999999999995</v>
      </c>
      <c r="H1489" s="23">
        <v>5.9020000000000001</v>
      </c>
      <c r="I1489" s="13">
        <f t="shared" si="23"/>
        <v>5.0209790209790217</v>
      </c>
    </row>
    <row r="1490" spans="2:9">
      <c r="C1490" s="33">
        <v>2.181</v>
      </c>
      <c r="D1490" s="23">
        <v>182.1</v>
      </c>
      <c r="E1490" s="23">
        <v>107.2</v>
      </c>
      <c r="F1490" s="23">
        <v>22.06</v>
      </c>
      <c r="G1490" s="23">
        <v>579.6</v>
      </c>
      <c r="H1490" s="23">
        <v>5.7930000000000001</v>
      </c>
      <c r="I1490" s="13">
        <f t="shared" si="23"/>
        <v>4.8594741613780599</v>
      </c>
    </row>
    <row r="1491" spans="2:9">
      <c r="C1491" s="33">
        <v>2.137</v>
      </c>
      <c r="D1491" s="23">
        <v>177.7</v>
      </c>
      <c r="E1491" s="23">
        <v>107.1</v>
      </c>
      <c r="F1491" s="23">
        <v>21.73</v>
      </c>
      <c r="G1491" s="23">
        <v>569.79999999999995</v>
      </c>
      <c r="H1491" s="23">
        <v>5.5579999999999998</v>
      </c>
      <c r="I1491" s="13">
        <f t="shared" si="23"/>
        <v>4.9286700414173952</v>
      </c>
    </row>
    <row r="1492" spans="2:9">
      <c r="C1492" s="33">
        <v>2.157</v>
      </c>
      <c r="D1492" s="23">
        <v>160.80000000000001</v>
      </c>
      <c r="E1492" s="23">
        <v>107.9</v>
      </c>
      <c r="F1492" s="23">
        <v>21.56</v>
      </c>
      <c r="G1492" s="23">
        <v>572.20000000000005</v>
      </c>
      <c r="H1492" s="23">
        <v>5.31</v>
      </c>
      <c r="I1492" s="13">
        <f t="shared" si="23"/>
        <v>5.004638218923934</v>
      </c>
    </row>
    <row r="1493" spans="2:9">
      <c r="C1493" s="33">
        <v>2.1619999999999999</v>
      </c>
      <c r="D1493" s="23">
        <v>149</v>
      </c>
      <c r="E1493" s="23">
        <v>107.5</v>
      </c>
      <c r="F1493" s="23">
        <v>21.62</v>
      </c>
      <c r="G1493" s="23">
        <v>571.79999999999995</v>
      </c>
      <c r="H1493" s="23">
        <v>4.2110000000000003</v>
      </c>
      <c r="I1493" s="13">
        <f t="shared" si="23"/>
        <v>4.9722479185938946</v>
      </c>
    </row>
    <row r="1494" spans="2:9">
      <c r="C1494" s="33">
        <v>2.3130000000000002</v>
      </c>
      <c r="D1494" s="23">
        <v>155</v>
      </c>
      <c r="E1494" s="23">
        <v>107.1</v>
      </c>
      <c r="F1494" s="23">
        <v>21.84</v>
      </c>
      <c r="G1494" s="23">
        <v>580.9</v>
      </c>
      <c r="H1494" s="23">
        <v>4.1189999999999998</v>
      </c>
      <c r="I1494" s="13">
        <f t="shared" si="23"/>
        <v>4.9038461538461533</v>
      </c>
    </row>
    <row r="1495" spans="2:9">
      <c r="C1495" s="33">
        <v>2.355</v>
      </c>
      <c r="D1495" s="23">
        <v>148.4</v>
      </c>
      <c r="E1495" s="23">
        <v>107.1</v>
      </c>
      <c r="F1495" s="23">
        <v>21.79</v>
      </c>
      <c r="G1495" s="23">
        <v>578.20000000000005</v>
      </c>
      <c r="H1495" s="23">
        <v>4.0140000000000002</v>
      </c>
      <c r="I1495" s="13">
        <f t="shared" si="23"/>
        <v>4.9150986691142728</v>
      </c>
    </row>
    <row r="1496" spans="2:9">
      <c r="C1496" s="33">
        <v>2.2999999999999998</v>
      </c>
      <c r="D1496" s="23">
        <v>158.30000000000001</v>
      </c>
      <c r="E1496" s="23">
        <v>107</v>
      </c>
      <c r="F1496" s="23">
        <v>22</v>
      </c>
      <c r="G1496" s="23">
        <v>581.9</v>
      </c>
      <c r="H1496" s="23">
        <v>6.8680000000000003</v>
      </c>
      <c r="I1496" s="13">
        <f t="shared" si="23"/>
        <v>4.8636363636363633</v>
      </c>
    </row>
    <row r="1497" spans="2:9">
      <c r="C1497" s="33">
        <v>2.3410000000000002</v>
      </c>
      <c r="D1497" s="23">
        <v>159.6</v>
      </c>
      <c r="E1497" s="23">
        <v>107.9</v>
      </c>
      <c r="F1497" s="23">
        <v>21.43</v>
      </c>
      <c r="G1497" s="23">
        <v>577.20000000000005</v>
      </c>
      <c r="H1497" s="23">
        <v>6.4420000000000002</v>
      </c>
      <c r="I1497" s="13">
        <f t="shared" si="23"/>
        <v>5.0349976668222123</v>
      </c>
    </row>
    <row r="1498" spans="2:9">
      <c r="C1498" s="33">
        <v>2.343</v>
      </c>
      <c r="D1498" s="23">
        <v>160.69999999999999</v>
      </c>
      <c r="E1498" s="23">
        <v>107.7</v>
      </c>
      <c r="F1498" s="23">
        <v>21.67</v>
      </c>
      <c r="G1498" s="23">
        <v>586.5</v>
      </c>
      <c r="H1498" s="23">
        <v>5.5579999999999998</v>
      </c>
      <c r="I1498" s="13">
        <f t="shared" si="23"/>
        <v>4.9700046146746653</v>
      </c>
    </row>
    <row r="1499" spans="2:9">
      <c r="C1499" s="33">
        <v>2.2949999999999999</v>
      </c>
      <c r="D1499" s="23">
        <v>147.6</v>
      </c>
      <c r="E1499" s="23">
        <v>107.6</v>
      </c>
      <c r="F1499" s="23">
        <v>21.95</v>
      </c>
      <c r="G1499" s="23">
        <v>577.79999999999995</v>
      </c>
      <c r="H1499" s="23">
        <v>6.6859999999999999</v>
      </c>
      <c r="I1499" s="13">
        <f t="shared" si="23"/>
        <v>4.9020501138952159</v>
      </c>
    </row>
    <row r="1500" spans="2:9">
      <c r="C1500" s="33">
        <v>2.181</v>
      </c>
      <c r="D1500" s="23">
        <v>149.19999999999999</v>
      </c>
      <c r="E1500" s="23">
        <v>108</v>
      </c>
      <c r="F1500" s="23">
        <v>21.2</v>
      </c>
      <c r="G1500" s="23">
        <v>579.70000000000005</v>
      </c>
      <c r="H1500" s="23">
        <v>6.165</v>
      </c>
      <c r="I1500" s="13">
        <f t="shared" si="23"/>
        <v>5.0943396226415096</v>
      </c>
    </row>
    <row r="1501" spans="2:9">
      <c r="C1501" s="33">
        <v>2.35</v>
      </c>
      <c r="D1501" s="23">
        <v>159.6</v>
      </c>
      <c r="E1501" s="23">
        <v>107.7</v>
      </c>
      <c r="F1501" s="23">
        <v>21.74</v>
      </c>
      <c r="G1501" s="23">
        <v>572.70000000000005</v>
      </c>
      <c r="H1501" s="23">
        <v>4.3520000000000003</v>
      </c>
      <c r="I1501" s="13">
        <f t="shared" si="23"/>
        <v>4.9540018399264039</v>
      </c>
    </row>
    <row r="1502" spans="2:9">
      <c r="B1502" s="35">
        <v>76</v>
      </c>
      <c r="C1502" s="36">
        <v>2.4649999999999999</v>
      </c>
      <c r="D1502" s="38">
        <v>181.8</v>
      </c>
      <c r="E1502" s="38">
        <v>113.9</v>
      </c>
      <c r="F1502" s="38">
        <v>27.41</v>
      </c>
      <c r="G1502" s="38">
        <v>569.20000000000005</v>
      </c>
      <c r="H1502" s="38">
        <v>5.8150000000000004</v>
      </c>
      <c r="I1502" s="13">
        <f t="shared" si="23"/>
        <v>4.1554177307551994</v>
      </c>
    </row>
    <row r="1503" spans="2:9">
      <c r="C1503" s="33">
        <v>2.5070000000000001</v>
      </c>
      <c r="D1503" s="23">
        <v>206.4</v>
      </c>
      <c r="E1503" s="23">
        <v>113.1</v>
      </c>
      <c r="F1503" s="23">
        <v>28.32</v>
      </c>
      <c r="G1503" s="23">
        <v>595.6</v>
      </c>
      <c r="H1503" s="23">
        <v>6.27</v>
      </c>
      <c r="I1503" s="13">
        <f t="shared" si="23"/>
        <v>3.9936440677966099</v>
      </c>
    </row>
    <row r="1504" spans="2:9">
      <c r="C1504" s="33">
        <v>2.504</v>
      </c>
      <c r="D1504" s="23">
        <v>232</v>
      </c>
      <c r="E1504" s="23">
        <v>113.6</v>
      </c>
      <c r="F1504" s="23">
        <v>27.37</v>
      </c>
      <c r="G1504" s="23">
        <v>598.6</v>
      </c>
      <c r="H1504" s="23">
        <v>6.3369999999999997</v>
      </c>
      <c r="I1504" s="13">
        <f t="shared" si="23"/>
        <v>4.1505297771282423</v>
      </c>
    </row>
    <row r="1505" spans="3:9">
      <c r="C1505" s="33">
        <v>2.472</v>
      </c>
      <c r="D1505" s="23">
        <v>171.9</v>
      </c>
      <c r="E1505" s="23">
        <v>113.8</v>
      </c>
      <c r="F1505" s="23">
        <v>27.52</v>
      </c>
      <c r="G1505" s="23">
        <v>592.1</v>
      </c>
      <c r="H1505" s="23">
        <v>5.9429999999999996</v>
      </c>
      <c r="I1505" s="13">
        <f t="shared" si="23"/>
        <v>4.1351744186046515</v>
      </c>
    </row>
    <row r="1506" spans="3:9">
      <c r="C1506" s="33">
        <v>2.5299999999999998</v>
      </c>
      <c r="D1506" s="23">
        <v>160.80000000000001</v>
      </c>
      <c r="E1506" s="23">
        <v>113.6</v>
      </c>
      <c r="F1506" s="23">
        <v>27.76</v>
      </c>
      <c r="G1506" s="23">
        <v>590.5</v>
      </c>
      <c r="H1506" s="23">
        <v>5.56</v>
      </c>
      <c r="I1506" s="13">
        <f t="shared" si="23"/>
        <v>4.0922190201729105</v>
      </c>
    </row>
    <row r="1507" spans="3:9">
      <c r="C1507" s="33">
        <v>2.54</v>
      </c>
      <c r="D1507" s="23">
        <v>140.80000000000001</v>
      </c>
      <c r="E1507" s="23">
        <v>113.4</v>
      </c>
      <c r="F1507" s="23">
        <v>27.89</v>
      </c>
      <c r="G1507" s="23">
        <v>589.20000000000005</v>
      </c>
      <c r="H1507" s="23">
        <v>6.1340000000000003</v>
      </c>
      <c r="I1507" s="13">
        <f t="shared" si="23"/>
        <v>4.065973467192542</v>
      </c>
    </row>
    <row r="1508" spans="3:9">
      <c r="C1508" s="33">
        <v>2.544</v>
      </c>
      <c r="D1508" s="23">
        <v>166.7</v>
      </c>
      <c r="E1508" s="23">
        <v>113.6</v>
      </c>
      <c r="F1508" s="23">
        <v>27.86</v>
      </c>
      <c r="G1508" s="23">
        <v>585</v>
      </c>
      <c r="H1508" s="23">
        <v>5.7930000000000001</v>
      </c>
      <c r="I1508" s="13">
        <f t="shared" si="23"/>
        <v>4.0775305096913135</v>
      </c>
    </row>
    <row r="1509" spans="3:9">
      <c r="C1509" s="33">
        <v>2.5179999999999998</v>
      </c>
      <c r="D1509" s="23">
        <v>163.80000000000001</v>
      </c>
      <c r="E1509" s="23">
        <v>113.8</v>
      </c>
      <c r="F1509" s="23">
        <v>27.41</v>
      </c>
      <c r="G1509" s="23">
        <v>582.9</v>
      </c>
      <c r="H1509" s="23">
        <v>5.8049999999999997</v>
      </c>
      <c r="I1509" s="13">
        <f t="shared" si="23"/>
        <v>4.1517694272163439</v>
      </c>
    </row>
    <row r="1510" spans="3:9">
      <c r="C1510" s="33">
        <v>2.4670000000000001</v>
      </c>
      <c r="D1510" s="23">
        <v>156.69999999999999</v>
      </c>
      <c r="E1510" s="23">
        <v>113</v>
      </c>
      <c r="F1510" s="23">
        <v>27.94</v>
      </c>
      <c r="G1510" s="23">
        <v>568</v>
      </c>
      <c r="H1510" s="23">
        <v>6.0540000000000003</v>
      </c>
      <c r="I1510" s="13">
        <f t="shared" si="23"/>
        <v>4.0443808160343595</v>
      </c>
    </row>
    <row r="1511" spans="3:9">
      <c r="C1511" s="33">
        <v>2.4279999999999999</v>
      </c>
      <c r="D1511" s="23">
        <v>186.4</v>
      </c>
      <c r="E1511" s="23">
        <v>113.8</v>
      </c>
      <c r="F1511" s="23">
        <v>28.22</v>
      </c>
      <c r="G1511" s="23">
        <v>591.79999999999995</v>
      </c>
      <c r="H1511" s="23">
        <v>6.032</v>
      </c>
      <c r="I1511" s="13">
        <f t="shared" si="23"/>
        <v>4.0326009922041104</v>
      </c>
    </row>
    <row r="1512" spans="3:9">
      <c r="C1512" s="33">
        <v>2.37</v>
      </c>
      <c r="D1512" s="23">
        <v>160.4</v>
      </c>
      <c r="E1512" s="23">
        <v>113.1</v>
      </c>
      <c r="F1512" s="23">
        <v>27.54</v>
      </c>
      <c r="G1512" s="23">
        <v>597</v>
      </c>
      <c r="H1512" s="23">
        <v>6.1340000000000003</v>
      </c>
      <c r="I1512" s="13">
        <f t="shared" si="23"/>
        <v>4.1067538126361658</v>
      </c>
    </row>
    <row r="1513" spans="3:9">
      <c r="C1513" s="33">
        <v>2.2970000000000002</v>
      </c>
      <c r="D1513" s="23">
        <v>171</v>
      </c>
      <c r="E1513" s="23">
        <v>113.6</v>
      </c>
      <c r="F1513" s="23">
        <v>27.79</v>
      </c>
      <c r="G1513" s="23">
        <v>601</v>
      </c>
      <c r="H1513" s="23">
        <v>6.194</v>
      </c>
      <c r="I1513" s="13">
        <f t="shared" si="23"/>
        <v>4.0878013673983444</v>
      </c>
    </row>
    <row r="1514" spans="3:9">
      <c r="C1514" s="33">
        <v>2.363</v>
      </c>
      <c r="D1514" s="23">
        <v>185</v>
      </c>
      <c r="E1514" s="23">
        <v>113.8</v>
      </c>
      <c r="F1514" s="23">
        <v>27.35</v>
      </c>
      <c r="G1514" s="23">
        <v>600.20000000000005</v>
      </c>
      <c r="H1514" s="23">
        <v>5.7930000000000001</v>
      </c>
      <c r="I1514" s="13">
        <f t="shared" si="23"/>
        <v>4.1608775137111511</v>
      </c>
    </row>
    <row r="1515" spans="3:9">
      <c r="C1515" s="33">
        <v>2.2610000000000001</v>
      </c>
      <c r="D1515" s="23">
        <v>185.5</v>
      </c>
      <c r="E1515" s="23">
        <v>113.1</v>
      </c>
      <c r="F1515" s="23">
        <v>27.65</v>
      </c>
      <c r="G1515" s="23">
        <v>592.1</v>
      </c>
      <c r="H1515" s="23">
        <v>5.9429999999999996</v>
      </c>
      <c r="I1515" s="13">
        <f t="shared" si="23"/>
        <v>4.0904159132007232</v>
      </c>
    </row>
    <row r="1516" spans="3:9">
      <c r="C1516" s="33">
        <v>2.3359999999999999</v>
      </c>
      <c r="D1516" s="23">
        <v>178.7</v>
      </c>
      <c r="E1516" s="23">
        <v>113.6</v>
      </c>
      <c r="F1516" s="23">
        <v>27.8</v>
      </c>
      <c r="G1516" s="23">
        <v>594.4</v>
      </c>
      <c r="H1516" s="23">
        <v>5.56</v>
      </c>
      <c r="I1516" s="13">
        <f t="shared" si="23"/>
        <v>4.086330935251798</v>
      </c>
    </row>
    <row r="1517" spans="3:9">
      <c r="C1517" s="33">
        <v>2.387</v>
      </c>
      <c r="D1517" s="23">
        <v>172.8</v>
      </c>
      <c r="E1517" s="23">
        <v>113.8</v>
      </c>
      <c r="F1517" s="23">
        <v>27.51</v>
      </c>
      <c r="G1517" s="23">
        <v>588.1</v>
      </c>
      <c r="H1517" s="23">
        <v>5.9960000000000004</v>
      </c>
      <c r="I1517" s="13">
        <f t="shared" si="23"/>
        <v>4.1366775717920756</v>
      </c>
    </row>
    <row r="1518" spans="3:9">
      <c r="C1518" s="33">
        <v>2.359</v>
      </c>
      <c r="D1518" s="23">
        <v>149.6</v>
      </c>
      <c r="E1518" s="23">
        <v>114.1</v>
      </c>
      <c r="F1518" s="23">
        <v>27.66</v>
      </c>
      <c r="G1518" s="23">
        <v>584</v>
      </c>
      <c r="H1518" s="23">
        <v>6.0519999999999996</v>
      </c>
      <c r="I1518" s="13">
        <f t="shared" si="23"/>
        <v>4.1250903832248733</v>
      </c>
    </row>
    <row r="1519" spans="3:9">
      <c r="C1519" s="33">
        <v>2.4079999999999999</v>
      </c>
      <c r="D1519" s="23">
        <v>137.6</v>
      </c>
      <c r="E1519" s="23">
        <v>113.8</v>
      </c>
      <c r="F1519" s="23">
        <v>27.51</v>
      </c>
      <c r="G1519" s="23">
        <v>567.20000000000005</v>
      </c>
      <c r="H1519" s="23">
        <v>6.1340000000000003</v>
      </c>
      <c r="I1519" s="13">
        <f t="shared" si="23"/>
        <v>4.1366775717920756</v>
      </c>
    </row>
    <row r="1520" spans="3:9">
      <c r="C1520" s="33">
        <v>2.4350000000000001</v>
      </c>
      <c r="D1520" s="23">
        <v>146.6</v>
      </c>
      <c r="E1520" s="23">
        <v>113.6</v>
      </c>
      <c r="F1520" s="23">
        <v>27.65</v>
      </c>
      <c r="G1520" s="23">
        <v>577.29999999999995</v>
      </c>
      <c r="H1520" s="23">
        <v>5.6840000000000002</v>
      </c>
      <c r="I1520" s="13">
        <f t="shared" si="23"/>
        <v>4.1084990958408678</v>
      </c>
    </row>
    <row r="1521" spans="2:9">
      <c r="C1521" s="33">
        <v>2.472</v>
      </c>
      <c r="D1521" s="23">
        <v>191.4</v>
      </c>
      <c r="E1521" s="23">
        <v>113.4</v>
      </c>
      <c r="F1521" s="23">
        <v>27.5</v>
      </c>
      <c r="G1521" s="23">
        <v>589.4</v>
      </c>
      <c r="H1521" s="23">
        <v>5.7729999999999997</v>
      </c>
      <c r="I1521" s="13">
        <f t="shared" si="23"/>
        <v>4.123636363636364</v>
      </c>
    </row>
    <row r="1522" spans="2:9">
      <c r="B1522" s="35">
        <v>77</v>
      </c>
      <c r="C1522" s="36">
        <v>2.4620000000000002</v>
      </c>
      <c r="D1522" s="38">
        <v>123</v>
      </c>
      <c r="E1522" s="38">
        <v>80.47</v>
      </c>
      <c r="F1522" s="38">
        <v>35.17</v>
      </c>
      <c r="G1522" s="38">
        <v>585.4</v>
      </c>
      <c r="H1522" s="38">
        <v>4.6950000000000003</v>
      </c>
      <c r="I1522" s="13">
        <f t="shared" si="23"/>
        <v>2.2880295706568097</v>
      </c>
    </row>
    <row r="1523" spans="2:9">
      <c r="C1523" s="33">
        <v>2.4729999999999999</v>
      </c>
      <c r="D1523" s="23">
        <v>110.5</v>
      </c>
      <c r="E1523" s="23">
        <v>80.28</v>
      </c>
      <c r="F1523" s="23">
        <v>35.56</v>
      </c>
      <c r="G1523" s="23">
        <v>586.20000000000005</v>
      </c>
      <c r="H1523" s="23">
        <v>4.7060000000000004</v>
      </c>
      <c r="I1523" s="13">
        <f t="shared" si="23"/>
        <v>2.2575928008998876</v>
      </c>
    </row>
    <row r="1524" spans="2:9">
      <c r="C1524" s="33">
        <v>2.4740000000000002</v>
      </c>
      <c r="D1524" s="23">
        <v>137.6</v>
      </c>
      <c r="E1524" s="23">
        <v>80.09</v>
      </c>
      <c r="F1524" s="23">
        <v>35.369999999999997</v>
      </c>
      <c r="G1524" s="23">
        <v>587.70000000000005</v>
      </c>
      <c r="H1524" s="23">
        <v>4.7759999999999998</v>
      </c>
      <c r="I1524" s="13">
        <f t="shared" si="23"/>
        <v>2.2643483177834325</v>
      </c>
    </row>
    <row r="1525" spans="2:9">
      <c r="C1525" s="33">
        <v>2.5179999999999998</v>
      </c>
      <c r="D1525" s="23">
        <v>151.9</v>
      </c>
      <c r="E1525" s="23">
        <v>80.86</v>
      </c>
      <c r="F1525" s="23">
        <v>35.75</v>
      </c>
      <c r="G1525" s="23">
        <v>587.5</v>
      </c>
      <c r="H1525" s="23">
        <v>4.6230000000000002</v>
      </c>
      <c r="I1525" s="13">
        <f t="shared" si="23"/>
        <v>2.2618181818181817</v>
      </c>
    </row>
    <row r="1526" spans="2:9">
      <c r="C1526" s="33">
        <v>2.532</v>
      </c>
      <c r="D1526" s="23">
        <v>144.30000000000001</v>
      </c>
      <c r="E1526" s="23">
        <v>80.66</v>
      </c>
      <c r="F1526" s="23">
        <v>35.36</v>
      </c>
      <c r="G1526" s="23">
        <v>587.4</v>
      </c>
      <c r="H1526" s="23">
        <v>4.4749999999999996</v>
      </c>
      <c r="I1526" s="13">
        <f t="shared" si="23"/>
        <v>2.2811085972850678</v>
      </c>
    </row>
    <row r="1527" spans="2:9">
      <c r="C1527" s="33">
        <v>2.5539999999999998</v>
      </c>
      <c r="D1527" s="23">
        <v>125.6</v>
      </c>
      <c r="E1527" s="23">
        <v>80.849999999999994</v>
      </c>
      <c r="F1527" s="23">
        <v>35.369999999999997</v>
      </c>
      <c r="G1527" s="23">
        <v>587.6</v>
      </c>
      <c r="H1527" s="23">
        <v>4.6509999999999998</v>
      </c>
      <c r="I1527" s="13">
        <f t="shared" si="23"/>
        <v>2.2858354537743852</v>
      </c>
    </row>
    <row r="1528" spans="2:9">
      <c r="C1528" s="33">
        <v>2.5640000000000001</v>
      </c>
      <c r="D1528" s="23">
        <v>137.6</v>
      </c>
      <c r="E1528" s="23">
        <v>80.67</v>
      </c>
      <c r="F1528" s="23">
        <v>34.99</v>
      </c>
      <c r="G1528" s="23">
        <v>588.5</v>
      </c>
      <c r="H1528" s="23">
        <v>4.7480000000000002</v>
      </c>
      <c r="I1528" s="13">
        <f t="shared" si="23"/>
        <v>2.3055158616747642</v>
      </c>
    </row>
    <row r="1529" spans="2:9">
      <c r="C1529" s="33">
        <v>2.5459999999999998</v>
      </c>
      <c r="D1529" s="23">
        <v>110.5</v>
      </c>
      <c r="E1529" s="23">
        <v>80.48</v>
      </c>
      <c r="F1529" s="23">
        <v>35.950000000000003</v>
      </c>
      <c r="G1529" s="23">
        <v>586.9</v>
      </c>
      <c r="H1529" s="23">
        <v>4.8550000000000004</v>
      </c>
      <c r="I1529" s="13">
        <f t="shared" si="23"/>
        <v>2.2386648122392212</v>
      </c>
    </row>
    <row r="1530" spans="2:9">
      <c r="C1530" s="33">
        <v>2.5030000000000001</v>
      </c>
      <c r="D1530" s="23">
        <v>124</v>
      </c>
      <c r="E1530" s="23">
        <v>80.489999999999995</v>
      </c>
      <c r="F1530" s="23">
        <v>35.97</v>
      </c>
      <c r="G1530" s="23">
        <v>586.6</v>
      </c>
      <c r="H1530" s="23">
        <v>4.9089999999999998</v>
      </c>
      <c r="I1530" s="13">
        <f t="shared" si="23"/>
        <v>2.2376980817347789</v>
      </c>
    </row>
    <row r="1531" spans="2:9">
      <c r="C1531" s="33">
        <v>2.4870000000000001</v>
      </c>
      <c r="D1531" s="23">
        <v>108</v>
      </c>
      <c r="E1531" s="23">
        <v>80.19</v>
      </c>
      <c r="F1531" s="23">
        <v>35.770000000000003</v>
      </c>
      <c r="G1531" s="23">
        <v>585.79999999999995</v>
      </c>
      <c r="H1531" s="23">
        <v>5.01</v>
      </c>
      <c r="I1531" s="13">
        <f t="shared" si="23"/>
        <v>2.2418227564998601</v>
      </c>
    </row>
    <row r="1532" spans="2:9">
      <c r="C1532" s="33">
        <v>2.4239999999999999</v>
      </c>
      <c r="D1532" s="23">
        <v>90.2</v>
      </c>
      <c r="E1532" s="23">
        <v>80.290000000000006</v>
      </c>
      <c r="F1532" s="23">
        <v>35.78</v>
      </c>
      <c r="G1532" s="23">
        <v>586.20000000000005</v>
      </c>
      <c r="H1532" s="23">
        <v>4.9249999999999998</v>
      </c>
      <c r="I1532" s="13">
        <f t="shared" si="23"/>
        <v>2.243991056456121</v>
      </c>
    </row>
    <row r="1533" spans="2:9">
      <c r="C1533" s="33">
        <v>2.5030000000000001</v>
      </c>
      <c r="D1533" s="23">
        <v>131.6</v>
      </c>
      <c r="E1533" s="23">
        <v>80.48</v>
      </c>
      <c r="F1533" s="23">
        <v>35.56</v>
      </c>
      <c r="G1533" s="23">
        <v>587.6</v>
      </c>
      <c r="H1533" s="23">
        <v>4.41</v>
      </c>
      <c r="I1533" s="13">
        <f t="shared" si="23"/>
        <v>2.2632170978627673</v>
      </c>
    </row>
    <row r="1534" spans="2:9">
      <c r="C1534" s="33">
        <v>2.5289999999999999</v>
      </c>
      <c r="D1534" s="23">
        <v>138.6</v>
      </c>
      <c r="E1534" s="23">
        <v>80.67</v>
      </c>
      <c r="F1534" s="23">
        <v>35.42</v>
      </c>
      <c r="G1534" s="23">
        <v>585.20000000000005</v>
      </c>
      <c r="H1534" s="23">
        <v>4.33</v>
      </c>
      <c r="I1534" s="13">
        <f t="shared" si="23"/>
        <v>2.2775268210050816</v>
      </c>
    </row>
    <row r="1535" spans="2:9">
      <c r="C1535" s="33">
        <v>2.5459999999999998</v>
      </c>
      <c r="D1535" s="23">
        <v>157.19999999999999</v>
      </c>
      <c r="E1535" s="23">
        <v>80.680000000000007</v>
      </c>
      <c r="F1535" s="23">
        <v>35.409999999999997</v>
      </c>
      <c r="G1535" s="23">
        <v>586</v>
      </c>
      <c r="H1535" s="23">
        <v>4.6399999999999997</v>
      </c>
      <c r="I1535" s="13">
        <f t="shared" si="23"/>
        <v>2.278452414572155</v>
      </c>
    </row>
    <row r="1536" spans="2:9">
      <c r="C1536" s="33">
        <v>2.5510000000000002</v>
      </c>
      <c r="D1536" s="23">
        <v>165.3</v>
      </c>
      <c r="E1536" s="23">
        <v>80.86</v>
      </c>
      <c r="F1536" s="23">
        <v>35.35</v>
      </c>
      <c r="G1536" s="23">
        <v>585.4</v>
      </c>
      <c r="H1536" s="23">
        <v>4.9000000000000004</v>
      </c>
      <c r="I1536" s="13">
        <f t="shared" si="23"/>
        <v>2.2874115983026875</v>
      </c>
    </row>
    <row r="1537" spans="2:9">
      <c r="C1537" s="33">
        <v>2.532</v>
      </c>
      <c r="D1537" s="23">
        <v>134.9</v>
      </c>
      <c r="E1537" s="23">
        <v>80.3</v>
      </c>
      <c r="F1537" s="23">
        <v>35.75</v>
      </c>
      <c r="G1537" s="23">
        <v>586.20000000000005</v>
      </c>
      <c r="H1537" s="23">
        <v>4.702</v>
      </c>
      <c r="I1537" s="13">
        <f t="shared" si="23"/>
        <v>2.2461538461538462</v>
      </c>
    </row>
    <row r="1538" spans="2:9">
      <c r="C1538" s="33">
        <v>2.4980000000000002</v>
      </c>
      <c r="D1538" s="23">
        <v>123</v>
      </c>
      <c r="E1538" s="23">
        <v>80.11</v>
      </c>
      <c r="F1538" s="23">
        <v>35.56</v>
      </c>
      <c r="G1538" s="23">
        <v>586.1</v>
      </c>
      <c r="H1538" s="23">
        <v>4.5140000000000002</v>
      </c>
      <c r="I1538" s="13">
        <f t="shared" si="23"/>
        <v>2.2528121484814396</v>
      </c>
    </row>
    <row r="1539" spans="2:9">
      <c r="C1539" s="33">
        <v>2.4969999999999999</v>
      </c>
      <c r="D1539" s="23">
        <v>165.3</v>
      </c>
      <c r="E1539" s="23">
        <v>80.3</v>
      </c>
      <c r="F1539" s="23">
        <v>35.57</v>
      </c>
      <c r="G1539" s="23">
        <v>589.6</v>
      </c>
      <c r="H1539" s="23">
        <v>4.3650000000000002</v>
      </c>
      <c r="I1539" s="13">
        <f t="shared" ref="I1539:I1602" si="24">E1539/F1539</f>
        <v>2.2575203823446723</v>
      </c>
    </row>
    <row r="1540" spans="2:9">
      <c r="C1540" s="33">
        <v>2.42</v>
      </c>
      <c r="D1540" s="23">
        <v>154.19999999999999</v>
      </c>
      <c r="E1540" s="23">
        <v>80.28</v>
      </c>
      <c r="F1540" s="23">
        <v>35.380000000000003</v>
      </c>
      <c r="G1540" s="23">
        <v>591.4</v>
      </c>
      <c r="H1540" s="23">
        <v>4.3330000000000002</v>
      </c>
      <c r="I1540" s="13">
        <f t="shared" si="24"/>
        <v>2.2690785754663652</v>
      </c>
    </row>
    <row r="1541" spans="2:9">
      <c r="C1541" s="33">
        <v>2.3759999999999999</v>
      </c>
      <c r="D1541" s="23">
        <v>131.6</v>
      </c>
      <c r="E1541" s="23">
        <v>80.47</v>
      </c>
      <c r="F1541" s="23">
        <v>35.58</v>
      </c>
      <c r="G1541" s="23">
        <v>591</v>
      </c>
      <c r="H1541" s="23">
        <v>4.5650000000000004</v>
      </c>
      <c r="I1541" s="13">
        <f t="shared" si="24"/>
        <v>2.2616638560989322</v>
      </c>
    </row>
    <row r="1542" spans="2:9">
      <c r="B1542" s="35">
        <v>78</v>
      </c>
      <c r="C1542" s="36">
        <v>2.4430000000000001</v>
      </c>
      <c r="D1542" s="38">
        <v>120.9</v>
      </c>
      <c r="E1542" s="38">
        <v>104.1</v>
      </c>
      <c r="F1542" s="38">
        <v>32.67</v>
      </c>
      <c r="G1542" s="38">
        <v>533.29999999999995</v>
      </c>
      <c r="H1542" s="38">
        <v>3.9180000000000001</v>
      </c>
      <c r="I1542" s="13">
        <f t="shared" si="24"/>
        <v>3.1864095500459135</v>
      </c>
    </row>
    <row r="1543" spans="2:9">
      <c r="C1543" s="33">
        <v>2.4750000000000001</v>
      </c>
      <c r="D1543" s="23">
        <v>117.4</v>
      </c>
      <c r="E1543" s="23">
        <v>104.5</v>
      </c>
      <c r="F1543" s="23">
        <v>32.83</v>
      </c>
      <c r="G1543" s="23">
        <v>532.29999999999995</v>
      </c>
      <c r="H1543" s="23">
        <v>4.0289999999999999</v>
      </c>
      <c r="I1543" s="13">
        <f t="shared" si="24"/>
        <v>3.1830642704843135</v>
      </c>
    </row>
    <row r="1544" spans="2:9">
      <c r="C1544" s="33">
        <v>2.4870000000000001</v>
      </c>
      <c r="D1544" s="23">
        <v>117.3</v>
      </c>
      <c r="E1544" s="23">
        <v>105.2</v>
      </c>
      <c r="F1544" s="23">
        <v>33.21</v>
      </c>
      <c r="G1544" s="23">
        <v>535.5</v>
      </c>
      <c r="H1544" s="23">
        <v>4.1660000000000004</v>
      </c>
      <c r="I1544" s="13">
        <f t="shared" si="24"/>
        <v>3.16772056609455</v>
      </c>
    </row>
    <row r="1545" spans="2:9">
      <c r="C1545" s="33">
        <v>2.4980000000000002</v>
      </c>
      <c r="D1545" s="23">
        <v>115.1</v>
      </c>
      <c r="E1545" s="23">
        <v>104.6</v>
      </c>
      <c r="F1545" s="23">
        <v>33.35</v>
      </c>
      <c r="G1545" s="23">
        <v>533.20000000000005</v>
      </c>
      <c r="H1545" s="23">
        <v>4.5439999999999996</v>
      </c>
      <c r="I1545" s="13">
        <f t="shared" si="24"/>
        <v>3.1364317841079457</v>
      </c>
    </row>
    <row r="1546" spans="2:9">
      <c r="C1546" s="33">
        <v>2.464</v>
      </c>
      <c r="D1546" s="23">
        <v>115.9</v>
      </c>
      <c r="E1546" s="23">
        <v>104.5</v>
      </c>
      <c r="F1546" s="23">
        <v>33.159999999999997</v>
      </c>
      <c r="G1546" s="23">
        <v>529.29999999999995</v>
      </c>
      <c r="H1546" s="23">
        <v>4.6500000000000004</v>
      </c>
      <c r="I1546" s="13">
        <f t="shared" si="24"/>
        <v>3.1513872135102536</v>
      </c>
    </row>
    <row r="1547" spans="2:9">
      <c r="C1547" s="33">
        <v>2.4390000000000001</v>
      </c>
      <c r="D1547" s="23">
        <v>115.7</v>
      </c>
      <c r="E1547" s="23">
        <v>105.2</v>
      </c>
      <c r="F1547" s="23">
        <v>32.97</v>
      </c>
      <c r="G1547" s="23">
        <v>531.1</v>
      </c>
      <c r="H1547" s="23">
        <v>4.4550000000000001</v>
      </c>
      <c r="I1547" s="13">
        <f t="shared" si="24"/>
        <v>3.1907794965119809</v>
      </c>
    </row>
    <row r="1548" spans="2:9">
      <c r="C1548" s="33">
        <v>2.4340000000000002</v>
      </c>
      <c r="D1548" s="23">
        <v>111.7</v>
      </c>
      <c r="E1548" s="23">
        <v>104.5</v>
      </c>
      <c r="F1548" s="23">
        <v>32.78</v>
      </c>
      <c r="G1548" s="23">
        <v>532.9</v>
      </c>
      <c r="H1548" s="23">
        <v>4.181</v>
      </c>
      <c r="I1548" s="13">
        <f t="shared" si="24"/>
        <v>3.1879194630872481</v>
      </c>
    </row>
    <row r="1549" spans="2:9">
      <c r="C1549" s="33">
        <v>2.4820000000000002</v>
      </c>
      <c r="D1549" s="23">
        <v>116.5</v>
      </c>
      <c r="E1549" s="23">
        <v>104.4</v>
      </c>
      <c r="F1549" s="23">
        <v>32.5</v>
      </c>
      <c r="G1549" s="23">
        <v>534.6</v>
      </c>
      <c r="H1549" s="23">
        <v>4.1660000000000004</v>
      </c>
      <c r="I1549" s="13">
        <f t="shared" si="24"/>
        <v>3.2123076923076925</v>
      </c>
    </row>
    <row r="1550" spans="2:9">
      <c r="C1550" s="33">
        <v>2.4550000000000001</v>
      </c>
      <c r="D1550" s="23">
        <v>128.9</v>
      </c>
      <c r="E1550" s="23">
        <v>104.6</v>
      </c>
      <c r="F1550" s="23">
        <v>32.36</v>
      </c>
      <c r="G1550" s="23">
        <v>536.70000000000005</v>
      </c>
      <c r="H1550" s="23">
        <v>4.2140000000000004</v>
      </c>
      <c r="I1550" s="13">
        <f t="shared" si="24"/>
        <v>3.2323856613102593</v>
      </c>
    </row>
    <row r="1551" spans="2:9">
      <c r="C1551" s="33">
        <v>2.4569999999999999</v>
      </c>
      <c r="D1551" s="23">
        <v>123.4</v>
      </c>
      <c r="E1551" s="23">
        <v>105</v>
      </c>
      <c r="F1551" s="23">
        <v>32.33</v>
      </c>
      <c r="G1551" s="23">
        <v>537</v>
      </c>
      <c r="H1551" s="23">
        <v>4.306</v>
      </c>
      <c r="I1551" s="13">
        <f t="shared" si="24"/>
        <v>3.2477575007732757</v>
      </c>
    </row>
    <row r="1552" spans="2:9">
      <c r="C1552" s="33">
        <v>2.375</v>
      </c>
      <c r="D1552" s="23">
        <v>111.9</v>
      </c>
      <c r="E1552" s="23">
        <v>105.7</v>
      </c>
      <c r="F1552" s="23">
        <v>32.36</v>
      </c>
      <c r="G1552" s="23">
        <v>536.4</v>
      </c>
      <c r="H1552" s="23">
        <v>4.1230000000000002</v>
      </c>
      <c r="I1552" s="13">
        <f t="shared" si="24"/>
        <v>3.2663782447466008</v>
      </c>
    </row>
    <row r="1553" spans="2:9">
      <c r="C1553" s="33">
        <v>2.84</v>
      </c>
      <c r="D1553" s="23">
        <v>119.8</v>
      </c>
      <c r="E1553" s="23">
        <v>104.8</v>
      </c>
      <c r="F1553" s="23">
        <v>32.53</v>
      </c>
      <c r="G1553" s="23">
        <v>531.4</v>
      </c>
      <c r="H1553" s="23">
        <v>3.9289999999999998</v>
      </c>
      <c r="I1553" s="13">
        <f t="shared" si="24"/>
        <v>3.2216415616354133</v>
      </c>
    </row>
    <row r="1554" spans="2:9">
      <c r="C1554" s="33">
        <v>2.8530000000000002</v>
      </c>
      <c r="D1554" s="23">
        <v>116.1</v>
      </c>
      <c r="E1554" s="23">
        <v>105.5</v>
      </c>
      <c r="F1554" s="23">
        <v>32.799999999999997</v>
      </c>
      <c r="G1554" s="23">
        <v>528.29999999999995</v>
      </c>
      <c r="H1554" s="23">
        <v>4.0540000000000003</v>
      </c>
      <c r="I1554" s="13">
        <f t="shared" si="24"/>
        <v>3.2164634146341466</v>
      </c>
    </row>
    <row r="1555" spans="2:9">
      <c r="C1555" s="33">
        <v>2.7930000000000001</v>
      </c>
      <c r="D1555" s="23">
        <v>115.9</v>
      </c>
      <c r="E1555" s="23">
        <v>105.2</v>
      </c>
      <c r="F1555" s="23">
        <v>33.1</v>
      </c>
      <c r="G1555" s="23">
        <v>527.5</v>
      </c>
      <c r="H1555" s="23">
        <v>3.9350000000000001</v>
      </c>
      <c r="I1555" s="13">
        <f t="shared" si="24"/>
        <v>3.1782477341389725</v>
      </c>
    </row>
    <row r="1556" spans="2:9">
      <c r="C1556" s="33">
        <v>2.7690000000000001</v>
      </c>
      <c r="D1556" s="23">
        <v>115.1</v>
      </c>
      <c r="E1556" s="23">
        <v>105.6</v>
      </c>
      <c r="F1556" s="23">
        <v>32.99</v>
      </c>
      <c r="G1556" s="23">
        <v>526.70000000000005</v>
      </c>
      <c r="H1556" s="23">
        <v>4.1100000000000003</v>
      </c>
      <c r="I1556" s="13">
        <f t="shared" si="24"/>
        <v>3.2009699909063349</v>
      </c>
    </row>
    <row r="1557" spans="2:9">
      <c r="C1557" s="33">
        <v>2.891</v>
      </c>
      <c r="D1557" s="23">
        <v>117.3</v>
      </c>
      <c r="E1557" s="23">
        <v>105</v>
      </c>
      <c r="F1557" s="23">
        <v>32.659999999999997</v>
      </c>
      <c r="G1557" s="23">
        <v>525.79999999999995</v>
      </c>
      <c r="H1557" s="23">
        <v>4.5110000000000001</v>
      </c>
      <c r="I1557" s="13">
        <f t="shared" si="24"/>
        <v>3.2149418248622172</v>
      </c>
    </row>
    <row r="1558" spans="2:9">
      <c r="C1558" s="33">
        <v>2.8940000000000001</v>
      </c>
      <c r="D1558" s="23">
        <v>130.80000000000001</v>
      </c>
      <c r="E1558" s="23">
        <v>104.5</v>
      </c>
      <c r="F1558" s="23">
        <v>32.86</v>
      </c>
      <c r="G1558" s="23">
        <v>523.5</v>
      </c>
      <c r="H1558" s="23">
        <v>3.9180000000000001</v>
      </c>
      <c r="I1558" s="13">
        <f t="shared" si="24"/>
        <v>3.1801582471089471</v>
      </c>
    </row>
    <row r="1559" spans="2:9">
      <c r="C1559" s="33">
        <v>2.859</v>
      </c>
      <c r="D1559" s="23">
        <v>100.1</v>
      </c>
      <c r="E1559" s="23">
        <v>104.3</v>
      </c>
      <c r="F1559" s="23">
        <v>32.53</v>
      </c>
      <c r="G1559" s="23">
        <v>530</v>
      </c>
      <c r="H1559" s="23">
        <v>3.97</v>
      </c>
      <c r="I1559" s="13">
        <f t="shared" si="24"/>
        <v>3.2062711343375345</v>
      </c>
    </row>
    <row r="1560" spans="2:9">
      <c r="C1560" s="33">
        <v>2.85</v>
      </c>
      <c r="D1560" s="23">
        <v>117.4</v>
      </c>
      <c r="E1560" s="23">
        <v>104.1</v>
      </c>
      <c r="F1560" s="23">
        <v>32.799999999999997</v>
      </c>
      <c r="G1560" s="23">
        <v>531.29999999999995</v>
      </c>
      <c r="H1560" s="23">
        <v>4.0759999999999996</v>
      </c>
      <c r="I1560" s="13">
        <f t="shared" si="24"/>
        <v>3.1737804878048781</v>
      </c>
    </row>
    <row r="1561" spans="2:9">
      <c r="C1561" s="33">
        <v>2.8690000000000002</v>
      </c>
      <c r="D1561" s="23">
        <v>117</v>
      </c>
      <c r="E1561" s="23">
        <v>104.6</v>
      </c>
      <c r="F1561" s="23">
        <v>32.659999999999997</v>
      </c>
      <c r="G1561" s="23">
        <v>532.79999999999995</v>
      </c>
      <c r="H1561" s="23">
        <v>4.2140000000000004</v>
      </c>
      <c r="I1561" s="13">
        <f t="shared" si="24"/>
        <v>3.2026944274341704</v>
      </c>
    </row>
    <row r="1562" spans="2:9">
      <c r="B1562" s="35">
        <v>79</v>
      </c>
      <c r="C1562" s="36">
        <v>2.65</v>
      </c>
      <c r="D1562" s="38">
        <v>141.5</v>
      </c>
      <c r="E1562" s="38">
        <v>92.28</v>
      </c>
      <c r="F1562" s="38">
        <v>38.04</v>
      </c>
      <c r="G1562" s="38">
        <v>516.70000000000005</v>
      </c>
      <c r="H1562" s="38">
        <v>4.4260000000000002</v>
      </c>
      <c r="I1562" s="13">
        <f t="shared" si="24"/>
        <v>2.4258675078864353</v>
      </c>
    </row>
    <row r="1563" spans="2:9">
      <c r="C1563" s="33">
        <v>2.323</v>
      </c>
      <c r="D1563" s="23">
        <v>171</v>
      </c>
      <c r="E1563" s="23">
        <v>92.09</v>
      </c>
      <c r="F1563" s="23">
        <v>37.72</v>
      </c>
      <c r="G1563" s="23">
        <v>517.29999999999995</v>
      </c>
      <c r="H1563" s="23">
        <v>4.181</v>
      </c>
      <c r="I1563" s="13">
        <f t="shared" si="24"/>
        <v>2.4414103923647934</v>
      </c>
    </row>
    <row r="1564" spans="2:9">
      <c r="C1564" s="33">
        <v>2.331</v>
      </c>
      <c r="D1564" s="23">
        <v>146.6</v>
      </c>
      <c r="E1564" s="23">
        <v>92.47</v>
      </c>
      <c r="F1564" s="23">
        <v>37.94</v>
      </c>
      <c r="G1564" s="23">
        <v>508.4</v>
      </c>
      <c r="H1564" s="23">
        <v>4.3659999999999997</v>
      </c>
      <c r="I1564" s="13">
        <f t="shared" si="24"/>
        <v>2.4372693726937271</v>
      </c>
    </row>
    <row r="1565" spans="2:9">
      <c r="C1565" s="33">
        <v>2.343</v>
      </c>
      <c r="D1565" s="23">
        <v>115.3</v>
      </c>
      <c r="E1565" s="23">
        <v>92.46</v>
      </c>
      <c r="F1565" s="23">
        <v>38.56</v>
      </c>
      <c r="G1565" s="23">
        <v>511.6</v>
      </c>
      <c r="H1565" s="23">
        <v>4.9130000000000003</v>
      </c>
      <c r="I1565" s="13">
        <f t="shared" si="24"/>
        <v>2.397821576763485</v>
      </c>
    </row>
    <row r="1566" spans="2:9">
      <c r="C1566" s="33">
        <v>2.2610000000000001</v>
      </c>
      <c r="D1566" s="23">
        <v>135.1</v>
      </c>
      <c r="E1566" s="23">
        <v>92.65</v>
      </c>
      <c r="F1566" s="23">
        <v>38.380000000000003</v>
      </c>
      <c r="G1566" s="23">
        <v>512.1</v>
      </c>
      <c r="H1566" s="23">
        <v>5.0259999999999998</v>
      </c>
      <c r="I1566" s="13">
        <f t="shared" si="24"/>
        <v>2.4140177175612298</v>
      </c>
    </row>
    <row r="1567" spans="2:9">
      <c r="C1567" s="33">
        <v>2.323</v>
      </c>
      <c r="D1567" s="23">
        <v>122.7</v>
      </c>
      <c r="E1567" s="23">
        <v>92.43</v>
      </c>
      <c r="F1567" s="23">
        <v>38.409999999999997</v>
      </c>
      <c r="G1567" s="23">
        <v>510.8</v>
      </c>
      <c r="H1567" s="23">
        <v>5.5590000000000002</v>
      </c>
      <c r="I1567" s="13">
        <f t="shared" si="24"/>
        <v>2.4064045821400679</v>
      </c>
    </row>
    <row r="1568" spans="2:9">
      <c r="C1568" s="33">
        <v>2.355</v>
      </c>
      <c r="D1568" s="23">
        <v>146.69999999999999</v>
      </c>
      <c r="E1568" s="23">
        <v>92.46</v>
      </c>
      <c r="F1568" s="23">
        <v>38.22</v>
      </c>
      <c r="G1568" s="23">
        <v>513.1</v>
      </c>
      <c r="H1568" s="23">
        <v>5.6040000000000001</v>
      </c>
      <c r="I1568" s="13">
        <f t="shared" si="24"/>
        <v>2.4191522762951334</v>
      </c>
    </row>
    <row r="1569" spans="2:9">
      <c r="C1569" s="33">
        <v>2.2349999999999999</v>
      </c>
      <c r="D1569" s="23">
        <v>170.2</v>
      </c>
      <c r="E1569" s="23">
        <v>92.25</v>
      </c>
      <c r="F1569" s="23">
        <v>38.19</v>
      </c>
      <c r="G1569" s="23">
        <v>519.6</v>
      </c>
      <c r="H1569" s="23">
        <v>4.8979999999999997</v>
      </c>
      <c r="I1569" s="13">
        <f t="shared" si="24"/>
        <v>2.415553809897879</v>
      </c>
    </row>
    <row r="1570" spans="2:9">
      <c r="C1570" s="33">
        <v>2.3519999999999999</v>
      </c>
      <c r="D1570" s="23">
        <v>141.5</v>
      </c>
      <c r="E1570" s="23">
        <v>92.83</v>
      </c>
      <c r="F1570" s="23">
        <v>38.14</v>
      </c>
      <c r="G1570" s="23">
        <v>517.4</v>
      </c>
      <c r="H1570" s="23">
        <v>4.4560000000000004</v>
      </c>
      <c r="I1570" s="13">
        <f t="shared" si="24"/>
        <v>2.4339276350288412</v>
      </c>
    </row>
    <row r="1571" spans="2:9">
      <c r="C1571" s="33">
        <v>2.343</v>
      </c>
      <c r="D1571" s="23">
        <v>124.3</v>
      </c>
      <c r="E1571" s="23">
        <v>92.83</v>
      </c>
      <c r="F1571" s="23">
        <v>38.53</v>
      </c>
      <c r="G1571" s="23">
        <v>517.29999999999995</v>
      </c>
      <c r="H1571" s="23">
        <v>4.54</v>
      </c>
      <c r="I1571" s="13">
        <f t="shared" si="24"/>
        <v>2.4092914611990657</v>
      </c>
    </row>
    <row r="1572" spans="2:9">
      <c r="C1572" s="33">
        <v>2.3239999999999998</v>
      </c>
      <c r="D1572" s="23">
        <v>115.3</v>
      </c>
      <c r="E1572" s="23">
        <v>92.45</v>
      </c>
      <c r="F1572" s="23">
        <v>38.89</v>
      </c>
      <c r="G1572" s="23">
        <v>517.1</v>
      </c>
      <c r="H1572" s="23">
        <v>4.8550000000000004</v>
      </c>
      <c r="I1572" s="13">
        <f t="shared" si="24"/>
        <v>2.3772177937773207</v>
      </c>
    </row>
    <row r="1573" spans="2:9">
      <c r="C1573" s="33">
        <v>2.2690000000000001</v>
      </c>
      <c r="D1573" s="23">
        <v>123.1</v>
      </c>
      <c r="E1573" s="23">
        <v>92.46</v>
      </c>
      <c r="F1573" s="23">
        <v>38.53</v>
      </c>
      <c r="G1573" s="23">
        <v>519.6</v>
      </c>
      <c r="H1573" s="23">
        <v>4.6550000000000002</v>
      </c>
      <c r="I1573" s="13">
        <f t="shared" si="24"/>
        <v>2.3996885543732156</v>
      </c>
    </row>
    <row r="1574" spans="2:9">
      <c r="C1574" s="33">
        <v>2.2000000000000002</v>
      </c>
      <c r="D1574" s="23">
        <v>118.9</v>
      </c>
      <c r="E1574" s="23">
        <v>92.27</v>
      </c>
      <c r="F1574" s="23">
        <v>38.33</v>
      </c>
      <c r="G1574" s="23">
        <v>513.1</v>
      </c>
      <c r="H1574" s="23">
        <v>4.4859999999999998</v>
      </c>
      <c r="I1574" s="13">
        <f t="shared" si="24"/>
        <v>2.4072528045917037</v>
      </c>
    </row>
    <row r="1575" spans="2:9">
      <c r="C1575" s="33">
        <v>2.125</v>
      </c>
      <c r="D1575" s="23">
        <v>153.30000000000001</v>
      </c>
      <c r="E1575" s="23">
        <v>92.83</v>
      </c>
      <c r="F1575" s="23">
        <v>38.549999999999997</v>
      </c>
      <c r="G1575" s="23">
        <v>511.2</v>
      </c>
      <c r="H1575" s="23">
        <v>4.298</v>
      </c>
      <c r="I1575" s="13">
        <f t="shared" si="24"/>
        <v>2.4080415045395593</v>
      </c>
    </row>
    <row r="1576" spans="2:9">
      <c r="C1576" s="33">
        <v>2.1469999999999998</v>
      </c>
      <c r="D1576" s="23">
        <v>153.4</v>
      </c>
      <c r="E1576" s="23">
        <v>92.65</v>
      </c>
      <c r="F1576" s="23">
        <v>38.36</v>
      </c>
      <c r="G1576" s="23">
        <v>510.4</v>
      </c>
      <c r="H1576" s="23">
        <v>4.3680000000000003</v>
      </c>
      <c r="I1576" s="13">
        <f t="shared" si="24"/>
        <v>2.4152763295099064</v>
      </c>
    </row>
    <row r="1577" spans="2:9">
      <c r="C1577" s="33">
        <v>2.165</v>
      </c>
      <c r="D1577" s="23">
        <v>139.5</v>
      </c>
      <c r="E1577" s="23">
        <v>92.47</v>
      </c>
      <c r="F1577" s="23">
        <v>38.61</v>
      </c>
      <c r="G1577" s="23">
        <v>508.1</v>
      </c>
      <c r="H1577" s="23">
        <v>4.2859999999999996</v>
      </c>
      <c r="I1577" s="13">
        <f t="shared" si="24"/>
        <v>2.3949753949753951</v>
      </c>
    </row>
    <row r="1578" spans="2:9">
      <c r="C1578" s="33">
        <v>2.2090000000000001</v>
      </c>
      <c r="D1578" s="23">
        <v>135</v>
      </c>
      <c r="E1578" s="23">
        <v>92.26</v>
      </c>
      <c r="F1578" s="23">
        <v>38.42</v>
      </c>
      <c r="G1578" s="23">
        <v>506.7</v>
      </c>
      <c r="H1578" s="23">
        <v>4.125</v>
      </c>
      <c r="I1578" s="13">
        <f t="shared" si="24"/>
        <v>2.4013534617386778</v>
      </c>
    </row>
    <row r="1579" spans="2:9">
      <c r="C1579" s="33">
        <v>2.2330000000000001</v>
      </c>
      <c r="D1579" s="23">
        <v>135.1</v>
      </c>
      <c r="E1579" s="23">
        <v>92.83</v>
      </c>
      <c r="F1579" s="23">
        <v>38.229999999999997</v>
      </c>
      <c r="G1579" s="23">
        <v>508.9</v>
      </c>
      <c r="H1579" s="23">
        <v>4.226</v>
      </c>
      <c r="I1579" s="13">
        <f t="shared" si="24"/>
        <v>2.4281977504577559</v>
      </c>
    </row>
    <row r="1580" spans="2:9">
      <c r="C1580" s="33">
        <v>2.2690000000000001</v>
      </c>
      <c r="D1580" s="23">
        <v>131.30000000000001</v>
      </c>
      <c r="E1580" s="23">
        <v>93.03</v>
      </c>
      <c r="F1580" s="23">
        <v>38.799999999999997</v>
      </c>
      <c r="G1580" s="23">
        <v>514.1</v>
      </c>
      <c r="H1580" s="23">
        <v>4.8550000000000004</v>
      </c>
      <c r="I1580" s="13">
        <f t="shared" si="24"/>
        <v>2.3976804123711344</v>
      </c>
    </row>
    <row r="1581" spans="2:9">
      <c r="C1581" s="33">
        <v>2.34</v>
      </c>
      <c r="D1581" s="23">
        <v>146.6</v>
      </c>
      <c r="E1581" s="23">
        <v>92.85</v>
      </c>
      <c r="F1581" s="23">
        <v>38.590000000000003</v>
      </c>
      <c r="G1581" s="23">
        <v>514.29999999999995</v>
      </c>
      <c r="H1581" s="23">
        <v>5.41</v>
      </c>
      <c r="I1581" s="13">
        <f t="shared" si="24"/>
        <v>2.4060637470847368</v>
      </c>
    </row>
    <row r="1582" spans="2:9">
      <c r="B1582" s="35">
        <v>80</v>
      </c>
      <c r="C1582" s="36">
        <v>3.1709999999999998</v>
      </c>
      <c r="D1582" s="38">
        <v>108.3</v>
      </c>
      <c r="E1582" s="38">
        <v>91.75</v>
      </c>
      <c r="F1582" s="38">
        <v>32.51</v>
      </c>
      <c r="G1582" s="38">
        <v>506.9</v>
      </c>
      <c r="H1582" s="38">
        <v>4.3410000000000002</v>
      </c>
      <c r="I1582" s="13">
        <f t="shared" si="24"/>
        <v>2.8222085512150108</v>
      </c>
    </row>
    <row r="1583" spans="2:9">
      <c r="C1583" s="33">
        <v>3.169</v>
      </c>
      <c r="D1583" s="23">
        <v>105.8</v>
      </c>
      <c r="E1583" s="23">
        <v>92.05</v>
      </c>
      <c r="F1583" s="23">
        <v>32.700000000000003</v>
      </c>
      <c r="G1583" s="23">
        <v>508.7</v>
      </c>
      <c r="H1583" s="23">
        <v>4.3159999999999998</v>
      </c>
      <c r="I1583" s="13">
        <f t="shared" si="24"/>
        <v>2.8149847094801221</v>
      </c>
    </row>
    <row r="1584" spans="2:9">
      <c r="C1584" s="33">
        <v>3.14</v>
      </c>
      <c r="D1584" s="23">
        <v>107</v>
      </c>
      <c r="E1584" s="23">
        <v>92.74</v>
      </c>
      <c r="F1584" s="23">
        <v>32.6</v>
      </c>
      <c r="G1584" s="23">
        <v>511.8</v>
      </c>
      <c r="H1584" s="23">
        <v>4.3</v>
      </c>
      <c r="I1584" s="13">
        <f t="shared" si="24"/>
        <v>2.8447852760736194</v>
      </c>
    </row>
    <row r="1585" spans="3:9">
      <c r="C1585" s="33">
        <v>3.1349999999999998</v>
      </c>
      <c r="D1585" s="23">
        <v>107.9</v>
      </c>
      <c r="E1585" s="23">
        <v>92.35</v>
      </c>
      <c r="F1585" s="23">
        <v>32.17</v>
      </c>
      <c r="G1585" s="23">
        <v>510.2</v>
      </c>
      <c r="H1585" s="23">
        <v>4.3230000000000004</v>
      </c>
      <c r="I1585" s="13">
        <f t="shared" si="24"/>
        <v>2.8706869754429589</v>
      </c>
    </row>
    <row r="1586" spans="3:9">
      <c r="C1586" s="33">
        <v>3.14</v>
      </c>
      <c r="D1586" s="23">
        <v>123</v>
      </c>
      <c r="E1586" s="23">
        <v>92.21</v>
      </c>
      <c r="F1586" s="23">
        <v>32.549999999999997</v>
      </c>
      <c r="G1586" s="23">
        <v>510.6</v>
      </c>
      <c r="H1586" s="23">
        <v>4.3559999999999999</v>
      </c>
      <c r="I1586" s="13">
        <f t="shared" si="24"/>
        <v>2.832872503840246</v>
      </c>
    </row>
    <row r="1587" spans="3:9">
      <c r="C1587" s="33">
        <v>3.165</v>
      </c>
      <c r="D1587" s="23">
        <v>108.3</v>
      </c>
      <c r="E1587" s="23">
        <v>92.6</v>
      </c>
      <c r="F1587" s="23">
        <v>32.68</v>
      </c>
      <c r="G1587" s="23">
        <v>528.79999999999995</v>
      </c>
      <c r="H1587" s="23">
        <v>4.3710000000000004</v>
      </c>
      <c r="I1587" s="13">
        <f t="shared" si="24"/>
        <v>2.8335373317013461</v>
      </c>
    </row>
    <row r="1588" spans="3:9">
      <c r="C1588" s="33">
        <v>3.1539999999999999</v>
      </c>
      <c r="D1588" s="23">
        <v>112.9</v>
      </c>
      <c r="E1588" s="23">
        <v>92.78</v>
      </c>
      <c r="F1588" s="23">
        <v>32.64</v>
      </c>
      <c r="G1588" s="23">
        <v>510.6</v>
      </c>
      <c r="H1588" s="23">
        <v>4.4009999999999998</v>
      </c>
      <c r="I1588" s="13">
        <f t="shared" si="24"/>
        <v>2.8425245098039214</v>
      </c>
    </row>
    <row r="1589" spans="3:9">
      <c r="C1589" s="33">
        <v>3.181</v>
      </c>
      <c r="D1589" s="23">
        <v>111</v>
      </c>
      <c r="E1589" s="23">
        <v>92.88</v>
      </c>
      <c r="F1589" s="23">
        <v>32.549999999999997</v>
      </c>
      <c r="G1589" s="23">
        <v>510.5</v>
      </c>
      <c r="H1589" s="23">
        <v>4.399</v>
      </c>
      <c r="I1589" s="13">
        <f t="shared" si="24"/>
        <v>2.8534562211981567</v>
      </c>
    </row>
    <row r="1590" spans="3:9">
      <c r="C1590" s="33">
        <v>3.1949999999999998</v>
      </c>
      <c r="D1590" s="23">
        <v>125.5</v>
      </c>
      <c r="E1590" s="23">
        <v>92.76</v>
      </c>
      <c r="F1590" s="23">
        <v>32.5</v>
      </c>
      <c r="G1590" s="23">
        <v>513.70000000000005</v>
      </c>
      <c r="H1590" s="23">
        <v>4.3949999999999996</v>
      </c>
      <c r="I1590" s="13">
        <f t="shared" si="24"/>
        <v>2.8541538461538463</v>
      </c>
    </row>
    <row r="1591" spans="3:9">
      <c r="C1591" s="33">
        <v>3.2120000000000002</v>
      </c>
      <c r="D1591" s="23">
        <v>127.3</v>
      </c>
      <c r="E1591" s="23">
        <v>92.45</v>
      </c>
      <c r="F1591" s="23">
        <v>32.46</v>
      </c>
      <c r="G1591" s="23">
        <v>493.8</v>
      </c>
      <c r="H1591" s="23">
        <v>4.3840000000000003</v>
      </c>
      <c r="I1591" s="13">
        <f t="shared" si="24"/>
        <v>2.8481207640172519</v>
      </c>
    </row>
    <row r="1592" spans="3:9">
      <c r="C1592" s="33">
        <v>3.1509999999999998</v>
      </c>
      <c r="D1592" s="23">
        <v>140</v>
      </c>
      <c r="E1592" s="23">
        <v>92.49</v>
      </c>
      <c r="F1592" s="23">
        <v>32.92</v>
      </c>
      <c r="G1592" s="23">
        <v>529.70000000000005</v>
      </c>
      <c r="H1592" s="23">
        <v>4.3440000000000003</v>
      </c>
      <c r="I1592" s="13">
        <f t="shared" si="24"/>
        <v>2.809538274605103</v>
      </c>
    </row>
    <row r="1593" spans="3:9">
      <c r="C1593" s="33">
        <v>3.1560000000000001</v>
      </c>
      <c r="D1593" s="23">
        <v>125.8</v>
      </c>
      <c r="E1593" s="23">
        <v>92.46</v>
      </c>
      <c r="F1593" s="23">
        <v>32.54</v>
      </c>
      <c r="G1593" s="23">
        <v>529.1</v>
      </c>
      <c r="H1593" s="23">
        <v>4.3899999999999997</v>
      </c>
      <c r="I1593" s="13">
        <f t="shared" si="24"/>
        <v>2.8414259373079287</v>
      </c>
    </row>
    <row r="1594" spans="3:9">
      <c r="C1594" s="33">
        <v>3.1469999999999998</v>
      </c>
      <c r="D1594" s="23">
        <v>109.4</v>
      </c>
      <c r="E1594" s="23">
        <v>92.34</v>
      </c>
      <c r="F1594" s="23">
        <v>32.08</v>
      </c>
      <c r="G1594" s="23">
        <v>544.70000000000005</v>
      </c>
      <c r="H1594" s="23">
        <v>4.3710000000000004</v>
      </c>
      <c r="I1594" s="13">
        <f t="shared" si="24"/>
        <v>2.8784289276807984</v>
      </c>
    </row>
    <row r="1595" spans="3:9">
      <c r="C1595" s="33">
        <v>3.1320000000000001</v>
      </c>
      <c r="D1595" s="23">
        <v>111</v>
      </c>
      <c r="E1595" s="23">
        <v>92.19</v>
      </c>
      <c r="F1595" s="23">
        <v>32.19</v>
      </c>
      <c r="G1595" s="23">
        <v>552.29999999999995</v>
      </c>
      <c r="H1595" s="23">
        <v>4.3559999999999999</v>
      </c>
      <c r="I1595" s="13">
        <f t="shared" si="24"/>
        <v>2.8639328984156571</v>
      </c>
    </row>
    <row r="1596" spans="3:9">
      <c r="C1596" s="33">
        <v>3.1560000000000001</v>
      </c>
      <c r="D1596" s="23">
        <v>124.7</v>
      </c>
      <c r="E1596" s="23">
        <v>92.12</v>
      </c>
      <c r="F1596" s="23">
        <v>32.17</v>
      </c>
      <c r="G1596" s="23">
        <v>518.4</v>
      </c>
      <c r="H1596" s="23">
        <v>4.3410000000000002</v>
      </c>
      <c r="I1596" s="13">
        <f t="shared" si="24"/>
        <v>2.8635374572583152</v>
      </c>
    </row>
    <row r="1597" spans="3:9">
      <c r="C1597" s="33">
        <v>3.1760000000000002</v>
      </c>
      <c r="D1597" s="23">
        <v>127.3</v>
      </c>
      <c r="E1597" s="23">
        <v>92.87</v>
      </c>
      <c r="F1597" s="23">
        <v>32.68</v>
      </c>
      <c r="G1597" s="23">
        <v>509.7</v>
      </c>
      <c r="H1597" s="23">
        <v>4.3780000000000001</v>
      </c>
      <c r="I1597" s="13">
        <f t="shared" si="24"/>
        <v>2.8417992656058755</v>
      </c>
    </row>
    <row r="1598" spans="3:9">
      <c r="C1598" s="33">
        <v>3.1850000000000001</v>
      </c>
      <c r="D1598" s="23">
        <v>125.5</v>
      </c>
      <c r="E1598" s="23">
        <v>93.05</v>
      </c>
      <c r="F1598" s="23">
        <v>32.94</v>
      </c>
      <c r="G1598" s="23">
        <v>503.6</v>
      </c>
      <c r="H1598" s="23">
        <v>4.3840000000000003</v>
      </c>
      <c r="I1598" s="13">
        <f t="shared" si="24"/>
        <v>2.8248330297510624</v>
      </c>
    </row>
    <row r="1599" spans="3:9">
      <c r="C1599" s="33">
        <v>3.1459999999999999</v>
      </c>
      <c r="D1599" s="23">
        <v>109</v>
      </c>
      <c r="E1599" s="23">
        <v>92.94</v>
      </c>
      <c r="F1599" s="23">
        <v>32.92</v>
      </c>
      <c r="G1599" s="23">
        <v>505.4</v>
      </c>
      <c r="H1599" s="23">
        <v>4.3280000000000003</v>
      </c>
      <c r="I1599" s="13">
        <f t="shared" si="24"/>
        <v>2.8232077764277035</v>
      </c>
    </row>
    <row r="1600" spans="3:9">
      <c r="C1600" s="33">
        <v>3.0870000000000002</v>
      </c>
      <c r="D1600" s="23">
        <v>107</v>
      </c>
      <c r="E1600" s="23">
        <v>92.72</v>
      </c>
      <c r="F1600" s="23">
        <v>32.590000000000003</v>
      </c>
      <c r="G1600" s="23">
        <v>511.7</v>
      </c>
      <c r="H1600" s="23">
        <v>4.3479999999999999</v>
      </c>
      <c r="I1600" s="13">
        <f t="shared" si="24"/>
        <v>2.8450444921755138</v>
      </c>
    </row>
    <row r="1601" spans="2:9">
      <c r="C1601" s="33">
        <v>3.129</v>
      </c>
      <c r="D1601" s="23">
        <v>111</v>
      </c>
      <c r="E1601" s="23">
        <v>92.76</v>
      </c>
      <c r="F1601" s="23">
        <v>32.4</v>
      </c>
      <c r="G1601" s="23">
        <v>517.6</v>
      </c>
      <c r="H1601" s="23">
        <v>4.3330000000000002</v>
      </c>
      <c r="I1601" s="13">
        <f t="shared" si="24"/>
        <v>2.8629629629629632</v>
      </c>
    </row>
    <row r="1602" spans="2:9">
      <c r="B1602" s="35">
        <v>81</v>
      </c>
      <c r="C1602" s="36">
        <v>2.5059999999999998</v>
      </c>
      <c r="D1602" s="38">
        <v>155.69999999999999</v>
      </c>
      <c r="E1602" s="38">
        <v>92.46</v>
      </c>
      <c r="F1602" s="38">
        <v>38.200000000000003</v>
      </c>
      <c r="G1602" s="38">
        <v>511.5</v>
      </c>
      <c r="H1602" s="38">
        <v>6.2370000000000001</v>
      </c>
      <c r="I1602" s="13">
        <f t="shared" si="24"/>
        <v>2.420418848167539</v>
      </c>
    </row>
    <row r="1603" spans="2:9">
      <c r="C1603" s="33">
        <v>2.5099999999999998</v>
      </c>
      <c r="D1603" s="23">
        <v>141.4</v>
      </c>
      <c r="E1603" s="23">
        <v>91.88</v>
      </c>
      <c r="F1603" s="23">
        <v>38.24</v>
      </c>
      <c r="G1603" s="23">
        <v>525.29999999999995</v>
      </c>
      <c r="H1603" s="23">
        <v>6.1269999999999998</v>
      </c>
      <c r="I1603" s="13">
        <f t="shared" ref="I1603:I1666" si="25">E1603/F1603</f>
        <v>2.4027196652719662</v>
      </c>
    </row>
    <row r="1604" spans="2:9">
      <c r="C1604" s="33">
        <v>2.4929999999999999</v>
      </c>
      <c r="D1604" s="23">
        <v>151.19999999999999</v>
      </c>
      <c r="E1604" s="23">
        <v>91.69</v>
      </c>
      <c r="F1604" s="23">
        <v>38.619999999999997</v>
      </c>
      <c r="G1604" s="23">
        <v>519.6</v>
      </c>
      <c r="H1604" s="23">
        <v>6.1689999999999996</v>
      </c>
      <c r="I1604" s="13">
        <f t="shared" si="25"/>
        <v>2.3741584671154845</v>
      </c>
    </row>
    <row r="1605" spans="2:9">
      <c r="C1605" s="33">
        <v>2.5059999999999998</v>
      </c>
      <c r="D1605" s="23">
        <v>155.69999999999999</v>
      </c>
      <c r="E1605" s="23">
        <v>92.08</v>
      </c>
      <c r="F1605" s="23">
        <v>38.33</v>
      </c>
      <c r="G1605" s="23">
        <v>510.3</v>
      </c>
      <c r="H1605" s="23">
        <v>5.8890000000000002</v>
      </c>
      <c r="I1605" s="13">
        <f t="shared" si="25"/>
        <v>2.4022958518132014</v>
      </c>
    </row>
    <row r="1606" spans="2:9">
      <c r="C1606" s="33">
        <v>2.5030000000000001</v>
      </c>
      <c r="D1606" s="23">
        <v>176.6</v>
      </c>
      <c r="E1606" s="23">
        <v>91.96</v>
      </c>
      <c r="F1606" s="23">
        <v>38.43</v>
      </c>
      <c r="G1606" s="23">
        <v>519.5</v>
      </c>
      <c r="H1606" s="23">
        <v>5.71</v>
      </c>
      <c r="I1606" s="13">
        <f t="shared" si="25"/>
        <v>2.3929221962008844</v>
      </c>
    </row>
    <row r="1607" spans="2:9">
      <c r="C1607" s="33">
        <v>2.5059999999999998</v>
      </c>
      <c r="D1607" s="23">
        <v>145.69999999999999</v>
      </c>
      <c r="E1607" s="23">
        <v>91.3</v>
      </c>
      <c r="F1607" s="23">
        <v>38.08</v>
      </c>
      <c r="G1607" s="23">
        <v>515.6</v>
      </c>
      <c r="H1607" s="23">
        <v>5.9580000000000002</v>
      </c>
      <c r="I1607" s="13">
        <f t="shared" si="25"/>
        <v>2.3975840336134455</v>
      </c>
    </row>
    <row r="1608" spans="2:9">
      <c r="C1608" s="33">
        <v>2.5099999999999998</v>
      </c>
      <c r="D1608" s="23">
        <v>167.4</v>
      </c>
      <c r="E1608" s="23">
        <v>91.67</v>
      </c>
      <c r="F1608" s="23">
        <v>38.01</v>
      </c>
      <c r="G1608" s="23">
        <v>517.70000000000005</v>
      </c>
      <c r="H1608" s="23">
        <v>5.9909999999999997</v>
      </c>
      <c r="I1608" s="13">
        <f t="shared" si="25"/>
        <v>2.4117337542751911</v>
      </c>
    </row>
    <row r="1609" spans="2:9">
      <c r="C1609" s="33">
        <v>2.4929999999999999</v>
      </c>
      <c r="D1609" s="23">
        <v>138.19999999999999</v>
      </c>
      <c r="E1609" s="23">
        <v>91.48</v>
      </c>
      <c r="F1609" s="23">
        <v>38.24</v>
      </c>
      <c r="G1609" s="23">
        <v>515.9</v>
      </c>
      <c r="H1609" s="23">
        <v>6.0540000000000003</v>
      </c>
      <c r="I1609" s="13">
        <f t="shared" si="25"/>
        <v>2.3922594142259412</v>
      </c>
    </row>
    <row r="1610" spans="2:9">
      <c r="C1610" s="33">
        <v>2.5019999999999998</v>
      </c>
      <c r="D1610" s="23">
        <v>145.69999999999999</v>
      </c>
      <c r="E1610" s="23">
        <v>91.29</v>
      </c>
      <c r="F1610" s="23">
        <v>38.619999999999997</v>
      </c>
      <c r="G1610" s="23">
        <v>515.1</v>
      </c>
      <c r="H1610" s="23">
        <v>6.0640000000000001</v>
      </c>
      <c r="I1610" s="13">
        <f t="shared" si="25"/>
        <v>2.3638011393060592</v>
      </c>
    </row>
    <row r="1611" spans="2:9">
      <c r="C1611" s="33">
        <v>2.4969999999999999</v>
      </c>
      <c r="D1611" s="23">
        <v>176.6</v>
      </c>
      <c r="E1611" s="23">
        <v>91.28</v>
      </c>
      <c r="F1611" s="23">
        <v>38.049999999999997</v>
      </c>
      <c r="G1611" s="23">
        <v>514.6</v>
      </c>
      <c r="H1611" s="23">
        <v>6.1509999999999998</v>
      </c>
      <c r="I1611" s="13">
        <f t="shared" si="25"/>
        <v>2.3989487516425756</v>
      </c>
    </row>
    <row r="1612" spans="2:9">
      <c r="C1612" s="33">
        <v>2.5030000000000001</v>
      </c>
      <c r="D1612" s="23">
        <v>126.2</v>
      </c>
      <c r="E1612" s="23">
        <v>91.67</v>
      </c>
      <c r="F1612" s="23">
        <v>38.42</v>
      </c>
      <c r="G1612" s="23">
        <v>513.4</v>
      </c>
      <c r="H1612" s="23">
        <v>6.24</v>
      </c>
      <c r="I1612" s="13">
        <f t="shared" si="25"/>
        <v>2.385996876626757</v>
      </c>
    </row>
    <row r="1613" spans="2:9">
      <c r="C1613" s="33">
        <v>2.5099999999999998</v>
      </c>
      <c r="D1613" s="23">
        <v>138.19999999999999</v>
      </c>
      <c r="E1613" s="23">
        <v>91.86</v>
      </c>
      <c r="F1613" s="23">
        <v>38.43</v>
      </c>
      <c r="G1613" s="23">
        <v>521.6</v>
      </c>
      <c r="H1613" s="23">
        <v>6.2370000000000001</v>
      </c>
      <c r="I1613" s="13">
        <f t="shared" si="25"/>
        <v>2.39032006245121</v>
      </c>
    </row>
    <row r="1614" spans="2:9">
      <c r="C1614" s="33">
        <v>2.4830000000000001</v>
      </c>
      <c r="D1614" s="23">
        <v>130.5</v>
      </c>
      <c r="E1614" s="23">
        <v>91.87</v>
      </c>
      <c r="F1614" s="23">
        <v>38.47</v>
      </c>
      <c r="G1614" s="23">
        <v>519.20000000000005</v>
      </c>
      <c r="H1614" s="23">
        <v>5.782</v>
      </c>
      <c r="I1614" s="13">
        <f t="shared" si="25"/>
        <v>2.38809461918378</v>
      </c>
    </row>
    <row r="1615" spans="2:9">
      <c r="C1615" s="33">
        <v>2.4780000000000002</v>
      </c>
      <c r="D1615" s="23">
        <v>155.69999999999999</v>
      </c>
      <c r="E1615" s="23">
        <v>91.51</v>
      </c>
      <c r="F1615" s="23">
        <v>38.28</v>
      </c>
      <c r="G1615" s="23">
        <v>522.20000000000005</v>
      </c>
      <c r="H1615" s="23">
        <v>5.5540000000000003</v>
      </c>
      <c r="I1615" s="13">
        <f t="shared" si="25"/>
        <v>2.3905433646812959</v>
      </c>
    </row>
    <row r="1616" spans="2:9">
      <c r="C1616" s="33">
        <v>2.5030000000000001</v>
      </c>
      <c r="D1616" s="23">
        <v>141.4</v>
      </c>
      <c r="E1616" s="23">
        <v>91.37</v>
      </c>
      <c r="F1616" s="23">
        <v>37.94</v>
      </c>
      <c r="G1616" s="23">
        <v>510.7</v>
      </c>
      <c r="H1616" s="23">
        <v>6.1040000000000001</v>
      </c>
      <c r="I1616" s="13">
        <f t="shared" si="25"/>
        <v>2.4082762256193995</v>
      </c>
    </row>
    <row r="1617" spans="2:9">
      <c r="C1617" s="33">
        <v>2.4969999999999999</v>
      </c>
      <c r="D1617" s="23">
        <v>161</v>
      </c>
      <c r="E1617" s="23">
        <v>91.5</v>
      </c>
      <c r="F1617" s="23">
        <v>38.450000000000003</v>
      </c>
      <c r="G1617" s="23">
        <v>510.9</v>
      </c>
      <c r="H1617" s="23">
        <v>6.2370000000000001</v>
      </c>
      <c r="I1617" s="13">
        <f t="shared" si="25"/>
        <v>2.379713914174252</v>
      </c>
    </row>
    <row r="1618" spans="2:9">
      <c r="C1618" s="33">
        <v>2.5030000000000001</v>
      </c>
      <c r="D1618" s="23">
        <v>154.30000000000001</v>
      </c>
      <c r="E1618" s="23">
        <v>91.86</v>
      </c>
      <c r="F1618" s="23">
        <v>38.409999999999997</v>
      </c>
      <c r="G1618" s="23">
        <v>511.6</v>
      </c>
      <c r="H1618" s="23">
        <v>6.1920000000000002</v>
      </c>
      <c r="I1618" s="13">
        <f t="shared" si="25"/>
        <v>2.3915646966935697</v>
      </c>
    </row>
    <row r="1619" spans="2:9">
      <c r="C1619" s="33">
        <v>2.4969999999999999</v>
      </c>
      <c r="D1619" s="23">
        <v>157.5</v>
      </c>
      <c r="E1619" s="23">
        <v>91.48</v>
      </c>
      <c r="F1619" s="23">
        <v>38.549999999999997</v>
      </c>
      <c r="G1619" s="23">
        <v>512</v>
      </c>
      <c r="H1619" s="23">
        <v>6.1689999999999996</v>
      </c>
      <c r="I1619" s="13">
        <f t="shared" si="25"/>
        <v>2.3730220492866412</v>
      </c>
    </row>
    <row r="1620" spans="2:9">
      <c r="C1620" s="33">
        <v>2.488</v>
      </c>
      <c r="D1620" s="23">
        <v>153.1</v>
      </c>
      <c r="E1620" s="23">
        <v>91.5</v>
      </c>
      <c r="F1620" s="23">
        <v>38.35</v>
      </c>
      <c r="G1620" s="23">
        <v>510.4</v>
      </c>
      <c r="H1620" s="23">
        <v>6.1269999999999998</v>
      </c>
      <c r="I1620" s="13">
        <f t="shared" si="25"/>
        <v>2.3859191655801824</v>
      </c>
    </row>
    <row r="1621" spans="2:9">
      <c r="C1621" s="33">
        <v>2.4980000000000002</v>
      </c>
      <c r="D1621" s="23">
        <v>154.1</v>
      </c>
      <c r="E1621" s="23">
        <v>91.49</v>
      </c>
      <c r="F1621" s="23">
        <v>38.74</v>
      </c>
      <c r="G1621" s="23">
        <v>516.6</v>
      </c>
      <c r="H1621" s="23">
        <v>5.5540000000000003</v>
      </c>
      <c r="I1621" s="13">
        <f t="shared" si="25"/>
        <v>2.3616417139907071</v>
      </c>
    </row>
    <row r="1622" spans="2:9">
      <c r="B1622" s="35">
        <v>82</v>
      </c>
      <c r="C1622" s="36">
        <v>2.218</v>
      </c>
      <c r="D1622" s="38">
        <v>106.1</v>
      </c>
      <c r="E1622" s="38">
        <v>85.92</v>
      </c>
      <c r="F1622" s="38">
        <v>20.82</v>
      </c>
      <c r="G1622" s="38">
        <v>496.5</v>
      </c>
      <c r="H1622" s="39">
        <v>5.56</v>
      </c>
      <c r="I1622" s="13">
        <f t="shared" si="25"/>
        <v>4.1268011527377526</v>
      </c>
    </row>
    <row r="1623" spans="2:9">
      <c r="C1623" s="33">
        <v>2.194</v>
      </c>
      <c r="D1623" s="23">
        <v>116.3</v>
      </c>
      <c r="E1623" s="23">
        <v>85.66</v>
      </c>
      <c r="F1623" s="23">
        <v>20.89</v>
      </c>
      <c r="G1623" s="23">
        <v>496.3</v>
      </c>
      <c r="H1623" s="40">
        <v>5.43</v>
      </c>
      <c r="I1623" s="13">
        <f t="shared" si="25"/>
        <v>4.1005265677357583</v>
      </c>
    </row>
    <row r="1624" spans="2:9">
      <c r="C1624" s="33">
        <v>2.2109999999999999</v>
      </c>
      <c r="D1624" s="23">
        <v>89.82</v>
      </c>
      <c r="E1624" s="23">
        <v>85.46</v>
      </c>
      <c r="F1624" s="23">
        <v>20.58</v>
      </c>
      <c r="G1624" s="23">
        <v>497.1</v>
      </c>
      <c r="H1624" s="40">
        <v>6.12</v>
      </c>
      <c r="I1624" s="13">
        <f t="shared" si="25"/>
        <v>4.1525753158406218</v>
      </c>
    </row>
    <row r="1625" spans="2:9">
      <c r="C1625" s="33">
        <v>2.1949999999999998</v>
      </c>
      <c r="D1625" s="23">
        <v>82.99</v>
      </c>
      <c r="E1625" s="23">
        <v>85.34</v>
      </c>
      <c r="F1625" s="23">
        <v>21.05</v>
      </c>
      <c r="G1625" s="23">
        <v>497.4</v>
      </c>
      <c r="H1625" s="40">
        <v>5.97</v>
      </c>
      <c r="I1625" s="13">
        <f t="shared" si="25"/>
        <v>4.0541567695962</v>
      </c>
    </row>
    <row r="1626" spans="2:9">
      <c r="C1626" s="33">
        <v>2.19</v>
      </c>
      <c r="D1626" s="23">
        <v>74.819999999999993</v>
      </c>
      <c r="E1626" s="23">
        <v>85.51</v>
      </c>
      <c r="F1626" s="23">
        <v>21.5</v>
      </c>
      <c r="G1626" s="23">
        <v>497.7</v>
      </c>
      <c r="H1626" s="40">
        <v>6.17</v>
      </c>
      <c r="I1626" s="13">
        <f t="shared" si="25"/>
        <v>3.9772093023255817</v>
      </c>
    </row>
    <row r="1627" spans="2:9">
      <c r="C1627" s="33">
        <v>2.169</v>
      </c>
      <c r="D1627" s="23">
        <v>168.6</v>
      </c>
      <c r="E1627" s="23">
        <v>85.2</v>
      </c>
      <c r="F1627" s="23">
        <v>20.93</v>
      </c>
      <c r="G1627" s="23">
        <v>498.8</v>
      </c>
      <c r="H1627" s="40">
        <v>5.93</v>
      </c>
      <c r="I1627" s="13">
        <f t="shared" si="25"/>
        <v>4.0707118967988531</v>
      </c>
    </row>
    <row r="1628" spans="2:9">
      <c r="C1628" s="33">
        <v>2.1850000000000001</v>
      </c>
      <c r="D1628" s="23">
        <v>240.2</v>
      </c>
      <c r="E1628" s="23">
        <v>85.46</v>
      </c>
      <c r="F1628" s="23">
        <v>20.78</v>
      </c>
      <c r="G1628" s="23">
        <v>497.1</v>
      </c>
      <c r="H1628" s="40">
        <v>5.63</v>
      </c>
      <c r="I1628" s="13">
        <f t="shared" si="25"/>
        <v>4.1126082771896044</v>
      </c>
    </row>
    <row r="1629" spans="2:9">
      <c r="C1629" s="33">
        <v>2.2109999999999999</v>
      </c>
      <c r="D1629" s="23">
        <v>241.3</v>
      </c>
      <c r="E1629" s="23">
        <v>85.8</v>
      </c>
      <c r="F1629" s="23">
        <v>20.16</v>
      </c>
      <c r="G1629" s="23">
        <v>497.2</v>
      </c>
      <c r="H1629" s="40">
        <v>6.19</v>
      </c>
      <c r="I1629" s="13">
        <f t="shared" si="25"/>
        <v>4.2559523809523805</v>
      </c>
    </row>
    <row r="1630" spans="2:9">
      <c r="C1630" s="33">
        <v>2.2069999999999999</v>
      </c>
      <c r="D1630" s="23">
        <v>236.4</v>
      </c>
      <c r="E1630" s="23">
        <v>85.41</v>
      </c>
      <c r="F1630" s="23">
        <v>20.34</v>
      </c>
      <c r="G1630" s="23">
        <v>499.3</v>
      </c>
      <c r="H1630" s="40">
        <v>6.43</v>
      </c>
      <c r="I1630" s="13">
        <f t="shared" si="25"/>
        <v>4.1991150442477876</v>
      </c>
    </row>
    <row r="1631" spans="2:9">
      <c r="C1631" s="33">
        <v>2.1749999999999998</v>
      </c>
      <c r="D1631" s="23">
        <v>284</v>
      </c>
      <c r="E1631" s="23">
        <v>85.24</v>
      </c>
      <c r="F1631" s="23">
        <v>20.74</v>
      </c>
      <c r="G1631" s="23">
        <v>498.3</v>
      </c>
      <c r="H1631" s="40">
        <v>5.8</v>
      </c>
      <c r="I1631" s="13">
        <f t="shared" si="25"/>
        <v>4.1099324975891998</v>
      </c>
    </row>
    <row r="1632" spans="2:9">
      <c r="C1632" s="33">
        <v>2.1909999999999998</v>
      </c>
      <c r="D1632" s="23">
        <v>135.5</v>
      </c>
      <c r="E1632" s="23">
        <v>85.08</v>
      </c>
      <c r="F1632" s="23">
        <v>20.12</v>
      </c>
      <c r="G1632" s="23">
        <v>498.9</v>
      </c>
      <c r="H1632" s="40">
        <v>5.91</v>
      </c>
      <c r="I1632" s="13">
        <f t="shared" si="25"/>
        <v>4.2286282306163017</v>
      </c>
    </row>
    <row r="1633" spans="2:9">
      <c r="C1633" s="33">
        <v>2.1579999999999999</v>
      </c>
      <c r="D1633" s="23">
        <v>135.9</v>
      </c>
      <c r="E1633" s="23">
        <v>85.2</v>
      </c>
      <c r="F1633" s="23">
        <v>20.22</v>
      </c>
      <c r="G1633" s="23">
        <v>499.6</v>
      </c>
      <c r="H1633" s="40">
        <v>5.63</v>
      </c>
      <c r="I1633" s="13">
        <f t="shared" si="25"/>
        <v>4.2136498516320477</v>
      </c>
    </row>
    <row r="1634" spans="2:9">
      <c r="C1634" s="33">
        <v>2.194</v>
      </c>
      <c r="D1634" s="23">
        <v>131.30000000000001</v>
      </c>
      <c r="E1634" s="23">
        <v>85.53</v>
      </c>
      <c r="F1634" s="23">
        <v>20.45</v>
      </c>
      <c r="G1634" s="23">
        <v>487.7</v>
      </c>
      <c r="H1634" s="40">
        <v>6.37</v>
      </c>
      <c r="I1634" s="13">
        <f t="shared" si="25"/>
        <v>4.1823960880195603</v>
      </c>
    </row>
    <row r="1635" spans="2:9">
      <c r="C1635" s="33">
        <v>2.1949999999999998</v>
      </c>
      <c r="D1635" s="23">
        <v>116.3</v>
      </c>
      <c r="E1635" s="23">
        <v>85.44</v>
      </c>
      <c r="F1635" s="23">
        <v>20.64</v>
      </c>
      <c r="G1635" s="23">
        <v>490.9</v>
      </c>
      <c r="H1635" s="40">
        <v>6.29</v>
      </c>
      <c r="I1635" s="13">
        <f t="shared" si="25"/>
        <v>4.1395348837209296</v>
      </c>
    </row>
    <row r="1636" spans="2:9">
      <c r="C1636" s="33">
        <v>2.169</v>
      </c>
      <c r="D1636" s="23">
        <v>176.9</v>
      </c>
      <c r="E1636" s="23">
        <v>85.1</v>
      </c>
      <c r="F1636" s="23">
        <v>20.43</v>
      </c>
      <c r="G1636" s="23">
        <v>492.2</v>
      </c>
      <c r="H1636" s="40">
        <v>6.03</v>
      </c>
      <c r="I1636" s="13">
        <f t="shared" si="25"/>
        <v>4.1654429760156626</v>
      </c>
    </row>
    <row r="1637" spans="2:9">
      <c r="C1637" s="33">
        <v>2.19</v>
      </c>
      <c r="D1637" s="23">
        <v>184</v>
      </c>
      <c r="E1637" s="23">
        <v>85</v>
      </c>
      <c r="F1637" s="23">
        <v>20.170000000000002</v>
      </c>
      <c r="G1637" s="23">
        <v>492</v>
      </c>
      <c r="H1637" s="40">
        <v>5.97</v>
      </c>
      <c r="I1637" s="13">
        <f t="shared" si="25"/>
        <v>4.2141794744670298</v>
      </c>
    </row>
    <row r="1638" spans="2:9">
      <c r="C1638" s="33">
        <v>2.1920000000000002</v>
      </c>
      <c r="D1638" s="23">
        <v>135.5</v>
      </c>
      <c r="E1638" s="23">
        <v>85.17</v>
      </c>
      <c r="F1638" s="23">
        <v>20.329999999999998</v>
      </c>
      <c r="G1638" s="23">
        <v>497.1</v>
      </c>
      <c r="H1638" s="40">
        <v>5.92</v>
      </c>
      <c r="I1638" s="13">
        <f t="shared" si="25"/>
        <v>4.1893753074274471</v>
      </c>
    </row>
    <row r="1639" spans="2:9">
      <c r="C1639" s="33">
        <v>2.1520000000000001</v>
      </c>
      <c r="D1639" s="23">
        <v>135.9</v>
      </c>
      <c r="E1639" s="23">
        <v>85.34</v>
      </c>
      <c r="F1639" s="23">
        <v>20.18</v>
      </c>
      <c r="G1639" s="23">
        <v>495.4</v>
      </c>
      <c r="H1639" s="40">
        <v>5.56</v>
      </c>
      <c r="I1639" s="13">
        <f t="shared" si="25"/>
        <v>4.2289395441030724</v>
      </c>
    </row>
    <row r="1640" spans="2:9">
      <c r="C1640" s="33">
        <v>2.2130000000000001</v>
      </c>
      <c r="D1640" s="23">
        <v>131.30000000000001</v>
      </c>
      <c r="E1640" s="23">
        <v>58.51</v>
      </c>
      <c r="F1640" s="23">
        <v>20.5</v>
      </c>
      <c r="G1640" s="23">
        <v>496.5</v>
      </c>
      <c r="H1640" s="40">
        <v>5.86</v>
      </c>
      <c r="I1640" s="13">
        <f t="shared" si="25"/>
        <v>2.8541463414634145</v>
      </c>
    </row>
    <row r="1641" spans="2:9">
      <c r="C1641" s="33">
        <v>2.1579999999999999</v>
      </c>
      <c r="D1641" s="23">
        <v>182</v>
      </c>
      <c r="E1641" s="23">
        <v>85.75</v>
      </c>
      <c r="F1641" s="23">
        <v>20.67</v>
      </c>
      <c r="G1641" s="23">
        <v>498.8</v>
      </c>
      <c r="H1641" s="40">
        <v>6.02</v>
      </c>
      <c r="I1641" s="13">
        <f t="shared" si="25"/>
        <v>4.148524431543299</v>
      </c>
    </row>
    <row r="1642" spans="2:9">
      <c r="B1642" s="35">
        <v>83</v>
      </c>
      <c r="C1642" s="36">
        <v>2.4119999999999999</v>
      </c>
      <c r="D1642" s="38">
        <v>139</v>
      </c>
      <c r="E1642" s="38">
        <v>112</v>
      </c>
      <c r="F1642" s="38">
        <v>30.47</v>
      </c>
      <c r="G1642" s="38">
        <v>528.1</v>
      </c>
      <c r="H1642" s="38">
        <v>4.4489999999999998</v>
      </c>
      <c r="I1642" s="13">
        <f t="shared" si="25"/>
        <v>3.6757466360354449</v>
      </c>
    </row>
    <row r="1643" spans="2:9">
      <c r="C1643" s="33">
        <v>2.4140000000000001</v>
      </c>
      <c r="D1643" s="23">
        <v>142.19999999999999</v>
      </c>
      <c r="E1643" s="23">
        <v>111.8</v>
      </c>
      <c r="F1643" s="23">
        <v>30.73</v>
      </c>
      <c r="G1643" s="23">
        <v>529.29999999999995</v>
      </c>
      <c r="H1643" s="23">
        <v>4.84</v>
      </c>
      <c r="I1643" s="13">
        <f t="shared" si="25"/>
        <v>3.6381386267491052</v>
      </c>
    </row>
    <row r="1644" spans="2:9">
      <c r="C1644" s="33">
        <v>2.4079999999999999</v>
      </c>
      <c r="D1644" s="23">
        <v>136.9</v>
      </c>
      <c r="E1644" s="23">
        <v>112.1</v>
      </c>
      <c r="F1644" s="23">
        <v>30.54</v>
      </c>
      <c r="G1644" s="23">
        <v>530.5</v>
      </c>
      <c r="H1644" s="23">
        <v>4.9320000000000004</v>
      </c>
      <c r="I1644" s="13">
        <f t="shared" si="25"/>
        <v>3.6705959397511458</v>
      </c>
    </row>
    <row r="1645" spans="2:9">
      <c r="C1645" s="33">
        <v>2.3730000000000002</v>
      </c>
      <c r="D1645" s="23">
        <v>129.80000000000001</v>
      </c>
      <c r="E1645" s="23">
        <v>112.5</v>
      </c>
      <c r="F1645" s="23">
        <v>30.75</v>
      </c>
      <c r="G1645" s="23">
        <v>523.20000000000005</v>
      </c>
      <c r="H1645" s="23">
        <v>4.7949999999999999</v>
      </c>
      <c r="I1645" s="13">
        <f t="shared" si="25"/>
        <v>3.6585365853658538</v>
      </c>
    </row>
    <row r="1646" spans="2:9">
      <c r="C1646" s="33">
        <v>2.391</v>
      </c>
      <c r="D1646" s="23">
        <v>123.4</v>
      </c>
      <c r="E1646" s="23">
        <v>112.7</v>
      </c>
      <c r="F1646" s="23">
        <v>31</v>
      </c>
      <c r="G1646" s="23">
        <v>523.5</v>
      </c>
      <c r="H1646" s="23">
        <v>4.7469999999999999</v>
      </c>
      <c r="I1646" s="13">
        <f t="shared" si="25"/>
        <v>3.6354838709677422</v>
      </c>
    </row>
    <row r="1647" spans="2:9">
      <c r="C1647" s="33">
        <v>2.3940000000000001</v>
      </c>
      <c r="D1647" s="23">
        <v>112.2</v>
      </c>
      <c r="E1647" s="23">
        <v>112.1</v>
      </c>
      <c r="F1647" s="23">
        <v>30.72</v>
      </c>
      <c r="G1647" s="23">
        <v>524.4</v>
      </c>
      <c r="H1647" s="23">
        <v>5.0140000000000002</v>
      </c>
      <c r="I1647" s="13">
        <f t="shared" si="25"/>
        <v>3.6490885416666665</v>
      </c>
    </row>
    <row r="1648" spans="2:9">
      <c r="C1648" s="33">
        <v>2.4020000000000001</v>
      </c>
      <c r="D1648" s="23">
        <v>128</v>
      </c>
      <c r="E1648" s="23">
        <v>112.3</v>
      </c>
      <c r="F1648" s="23">
        <v>30.83</v>
      </c>
      <c r="G1648" s="23">
        <v>525.79999999999995</v>
      </c>
      <c r="H1648" s="23">
        <v>5.2910000000000004</v>
      </c>
      <c r="I1648" s="13">
        <f t="shared" si="25"/>
        <v>3.6425559519948103</v>
      </c>
    </row>
    <row r="1649" spans="2:9">
      <c r="C1649" s="33">
        <v>2.415</v>
      </c>
      <c r="D1649" s="23">
        <v>123.4</v>
      </c>
      <c r="E1649" s="23">
        <v>111.7</v>
      </c>
      <c r="F1649" s="23">
        <v>30.72</v>
      </c>
      <c r="G1649" s="23">
        <v>524.79999999999995</v>
      </c>
      <c r="H1649" s="23">
        <v>5.3550000000000004</v>
      </c>
      <c r="I1649" s="13">
        <f t="shared" si="25"/>
        <v>3.6360677083333335</v>
      </c>
    </row>
    <row r="1650" spans="2:9">
      <c r="C1650" s="33">
        <v>2.4209999999999998</v>
      </c>
      <c r="D1650" s="23">
        <v>131.6</v>
      </c>
      <c r="E1650" s="23">
        <v>111.4</v>
      </c>
      <c r="F1650" s="23">
        <v>30.78</v>
      </c>
      <c r="G1650" s="23">
        <v>525.1</v>
      </c>
      <c r="H1650" s="23">
        <v>4.9649999999999999</v>
      </c>
      <c r="I1650" s="13">
        <f t="shared" si="25"/>
        <v>3.6192332683560755</v>
      </c>
    </row>
    <row r="1651" spans="2:9">
      <c r="C1651" s="33">
        <v>2.44</v>
      </c>
      <c r="D1651" s="23">
        <v>112.6</v>
      </c>
      <c r="E1651" s="23">
        <v>111.2</v>
      </c>
      <c r="F1651" s="23">
        <v>30.83</v>
      </c>
      <c r="G1651" s="23">
        <v>524</v>
      </c>
      <c r="H1651" s="23">
        <v>4.9569999999999999</v>
      </c>
      <c r="I1651" s="13">
        <f t="shared" si="25"/>
        <v>3.6068764190723326</v>
      </c>
    </row>
    <row r="1652" spans="2:9">
      <c r="C1652" s="33">
        <v>2.4420000000000002</v>
      </c>
      <c r="D1652" s="23">
        <v>120.2</v>
      </c>
      <c r="E1652" s="23">
        <v>111.3</v>
      </c>
      <c r="F1652" s="23">
        <v>30.56</v>
      </c>
      <c r="G1652" s="23">
        <v>522.6</v>
      </c>
      <c r="H1652" s="23">
        <v>5.335</v>
      </c>
      <c r="I1652" s="13">
        <f t="shared" si="25"/>
        <v>3.6420157068062826</v>
      </c>
    </row>
    <row r="1653" spans="2:9">
      <c r="C1653" s="33">
        <v>2.4460000000000002</v>
      </c>
      <c r="D1653" s="23">
        <v>136.30000000000001</v>
      </c>
      <c r="E1653" s="23">
        <v>112.1</v>
      </c>
      <c r="F1653" s="23">
        <v>30.75</v>
      </c>
      <c r="G1653" s="23">
        <v>524</v>
      </c>
      <c r="H1653" s="23">
        <v>5.3170000000000002</v>
      </c>
      <c r="I1653" s="13">
        <f t="shared" si="25"/>
        <v>3.6455284552845528</v>
      </c>
    </row>
    <row r="1654" spans="2:9">
      <c r="C1654" s="33">
        <v>2.448</v>
      </c>
      <c r="D1654" s="23">
        <v>147.80000000000001</v>
      </c>
      <c r="E1654" s="23">
        <v>112.2</v>
      </c>
      <c r="F1654" s="23">
        <v>30.9</v>
      </c>
      <c r="G1654" s="23">
        <v>529.29999999999995</v>
      </c>
      <c r="H1654" s="23">
        <v>5.3780000000000001</v>
      </c>
      <c r="I1654" s="13">
        <f t="shared" si="25"/>
        <v>3.6310679611650487</v>
      </c>
    </row>
    <row r="1655" spans="2:9">
      <c r="C1655" s="33">
        <v>2.4329999999999998</v>
      </c>
      <c r="D1655" s="23">
        <v>162.30000000000001</v>
      </c>
      <c r="E1655" s="23">
        <v>111.8</v>
      </c>
      <c r="F1655" s="23">
        <v>31.06</v>
      </c>
      <c r="G1655" s="23">
        <v>528.1</v>
      </c>
      <c r="H1655" s="23">
        <v>5.2910000000000004</v>
      </c>
      <c r="I1655" s="13">
        <f t="shared" si="25"/>
        <v>3.5994848679974245</v>
      </c>
    </row>
    <row r="1656" spans="2:9">
      <c r="C1656" s="33">
        <v>2.2400000000000002</v>
      </c>
      <c r="D1656" s="23">
        <v>175</v>
      </c>
      <c r="E1656" s="23">
        <v>112.3</v>
      </c>
      <c r="F1656" s="23">
        <v>31.04</v>
      </c>
      <c r="G1656" s="23">
        <v>524.9</v>
      </c>
      <c r="H1656" s="23">
        <v>4.9249999999999998</v>
      </c>
      <c r="I1656" s="13">
        <f t="shared" si="25"/>
        <v>3.6179123711340204</v>
      </c>
    </row>
    <row r="1657" spans="2:9">
      <c r="C1657" s="33">
        <v>2.4140000000000001</v>
      </c>
      <c r="D1657" s="23">
        <v>142.6</v>
      </c>
      <c r="E1657" s="23">
        <v>111.7</v>
      </c>
      <c r="F1657" s="23">
        <v>31.15</v>
      </c>
      <c r="G1657" s="23">
        <v>523.4</v>
      </c>
      <c r="H1657" s="23">
        <v>4.4740000000000002</v>
      </c>
      <c r="I1657" s="13">
        <f t="shared" si="25"/>
        <v>3.5858747993579456</v>
      </c>
    </row>
    <row r="1658" spans="2:9">
      <c r="C1658" s="33">
        <v>2.3980000000000001</v>
      </c>
      <c r="D1658" s="23">
        <v>120.2</v>
      </c>
      <c r="E1658" s="23">
        <v>112.4</v>
      </c>
      <c r="F1658" s="23">
        <v>31.25</v>
      </c>
      <c r="G1658" s="23">
        <v>525.70000000000005</v>
      </c>
      <c r="H1658" s="23">
        <v>4.9569999999999999</v>
      </c>
      <c r="I1658" s="13">
        <f t="shared" si="25"/>
        <v>3.5968</v>
      </c>
    </row>
    <row r="1659" spans="2:9">
      <c r="C1659" s="33">
        <v>2.3730000000000002</v>
      </c>
      <c r="D1659" s="23">
        <v>142.19999999999999</v>
      </c>
      <c r="E1659" s="23">
        <v>112.6</v>
      </c>
      <c r="F1659" s="23">
        <v>30.82</v>
      </c>
      <c r="G1659" s="23">
        <v>523.29999999999995</v>
      </c>
      <c r="H1659" s="23">
        <v>4.9649999999999999</v>
      </c>
      <c r="I1659" s="13">
        <f t="shared" si="25"/>
        <v>3.6534717715768981</v>
      </c>
    </row>
    <row r="1660" spans="2:9">
      <c r="C1660" s="33">
        <v>2.3879999999999999</v>
      </c>
      <c r="D1660" s="23">
        <v>164.9</v>
      </c>
      <c r="E1660" s="23">
        <v>112.3</v>
      </c>
      <c r="F1660" s="23">
        <v>30.88</v>
      </c>
      <c r="G1660" s="23">
        <v>523</v>
      </c>
      <c r="H1660" s="23">
        <v>4.907</v>
      </c>
      <c r="I1660" s="13">
        <f t="shared" si="25"/>
        <v>3.6366580310880829</v>
      </c>
    </row>
    <row r="1661" spans="2:9">
      <c r="C1661" s="33">
        <v>2.3980000000000001</v>
      </c>
      <c r="D1661" s="23">
        <v>115</v>
      </c>
      <c r="E1661" s="23">
        <v>112</v>
      </c>
      <c r="F1661" s="23">
        <v>30.71</v>
      </c>
      <c r="G1661" s="23">
        <v>526.4</v>
      </c>
      <c r="H1661" s="23">
        <v>4.6529999999999996</v>
      </c>
      <c r="I1661" s="13">
        <f t="shared" si="25"/>
        <v>3.6470205144903938</v>
      </c>
    </row>
    <row r="1662" spans="2:9">
      <c r="B1662" s="35">
        <v>84</v>
      </c>
      <c r="C1662" s="36">
        <v>2.7930000000000001</v>
      </c>
      <c r="D1662" s="38">
        <v>137.69999999999999</v>
      </c>
      <c r="E1662" s="38">
        <v>104.4</v>
      </c>
      <c r="F1662" s="38">
        <v>31.46</v>
      </c>
      <c r="G1662" s="38">
        <v>519.79999999999995</v>
      </c>
      <c r="H1662" s="38">
        <v>5.03</v>
      </c>
      <c r="I1662" s="13">
        <f t="shared" si="25"/>
        <v>3.318499682136046</v>
      </c>
    </row>
    <row r="1663" spans="2:9">
      <c r="C1663" s="33">
        <v>2.7879999999999998</v>
      </c>
      <c r="D1663" s="23">
        <v>149.30000000000001</v>
      </c>
      <c r="E1663" s="23">
        <v>104.5</v>
      </c>
      <c r="F1663" s="23">
        <v>31.62</v>
      </c>
      <c r="G1663" s="23">
        <v>518.70000000000005</v>
      </c>
      <c r="H1663" s="23">
        <v>5.2990000000000004</v>
      </c>
      <c r="I1663" s="13">
        <f t="shared" si="25"/>
        <v>3.3048703352308664</v>
      </c>
    </row>
    <row r="1664" spans="2:9">
      <c r="C1664" s="33">
        <v>2.8029999999999999</v>
      </c>
      <c r="D1664" s="23">
        <v>102.5</v>
      </c>
      <c r="E1664" s="23">
        <v>105.3</v>
      </c>
      <c r="F1664" s="23">
        <v>31.49</v>
      </c>
      <c r="G1664" s="23">
        <v>520.70000000000005</v>
      </c>
      <c r="H1664" s="23">
        <v>4.9370000000000003</v>
      </c>
      <c r="I1664" s="13">
        <f t="shared" si="25"/>
        <v>3.3439187043505876</v>
      </c>
    </row>
    <row r="1665" spans="3:9">
      <c r="C1665" s="33">
        <v>2.8010000000000002</v>
      </c>
      <c r="D1665" s="23">
        <v>159.9</v>
      </c>
      <c r="E1665" s="23">
        <v>104.9</v>
      </c>
      <c r="F1665" s="23">
        <v>31.35</v>
      </c>
      <c r="G1665" s="23">
        <v>518.29999999999995</v>
      </c>
      <c r="H1665" s="23">
        <v>4.3529999999999998</v>
      </c>
      <c r="I1665" s="13">
        <f t="shared" si="25"/>
        <v>3.3460925039872409</v>
      </c>
    </row>
    <row r="1666" spans="3:9">
      <c r="C1666" s="33">
        <v>2.786</v>
      </c>
      <c r="D1666" s="23">
        <v>176.8</v>
      </c>
      <c r="E1666" s="23">
        <v>104.8</v>
      </c>
      <c r="F1666" s="23">
        <v>31.91</v>
      </c>
      <c r="G1666" s="23">
        <v>521</v>
      </c>
      <c r="H1666" s="23">
        <v>4.4039999999999999</v>
      </c>
      <c r="I1666" s="13">
        <f t="shared" si="25"/>
        <v>3.2842369163271701</v>
      </c>
    </row>
    <row r="1667" spans="3:9">
      <c r="C1667" s="33">
        <v>2.7970000000000002</v>
      </c>
      <c r="D1667" s="23">
        <v>185.1</v>
      </c>
      <c r="E1667" s="23">
        <v>104.7</v>
      </c>
      <c r="F1667" s="23">
        <v>31.78</v>
      </c>
      <c r="G1667" s="23">
        <v>523.1</v>
      </c>
      <c r="H1667" s="23">
        <v>4.875</v>
      </c>
      <c r="I1667" s="13">
        <f t="shared" ref="I1667:I1730" si="26">E1667/F1667</f>
        <v>3.2945248584015103</v>
      </c>
    </row>
    <row r="1668" spans="3:9">
      <c r="C1668" s="33">
        <v>2.7949999999999999</v>
      </c>
      <c r="D1668" s="23">
        <v>125.9</v>
      </c>
      <c r="E1668" s="23">
        <v>104.9</v>
      </c>
      <c r="F1668" s="23">
        <v>31.52</v>
      </c>
      <c r="G1668" s="23">
        <v>524.79999999999995</v>
      </c>
      <c r="H1668" s="23">
        <v>4.7949999999999999</v>
      </c>
      <c r="I1668" s="13">
        <f t="shared" si="26"/>
        <v>3.328045685279188</v>
      </c>
    </row>
    <row r="1669" spans="3:9">
      <c r="C1669" s="33">
        <v>2.7930000000000001</v>
      </c>
      <c r="D1669" s="23">
        <v>137.69999999999999</v>
      </c>
      <c r="E1669" s="23">
        <v>104.4</v>
      </c>
      <c r="F1669" s="23">
        <v>31.25</v>
      </c>
      <c r="G1669" s="23">
        <v>520.9</v>
      </c>
      <c r="H1669" s="23">
        <v>5.1289999999999996</v>
      </c>
      <c r="I1669" s="13">
        <f t="shared" si="26"/>
        <v>3.3408000000000002</v>
      </c>
    </row>
    <row r="1670" spans="3:9">
      <c r="C1670" s="33">
        <v>2.778</v>
      </c>
      <c r="D1670" s="23">
        <v>128.1</v>
      </c>
      <c r="E1670" s="23">
        <v>103.9</v>
      </c>
      <c r="F1670" s="23">
        <v>31.82</v>
      </c>
      <c r="G1670" s="23">
        <v>521.5</v>
      </c>
      <c r="H1670" s="23">
        <v>5.3780000000000001</v>
      </c>
      <c r="I1670" s="13">
        <f t="shared" si="26"/>
        <v>3.2652419861722191</v>
      </c>
    </row>
    <row r="1671" spans="3:9">
      <c r="C1671" s="33">
        <v>2.786</v>
      </c>
      <c r="D1671" s="23">
        <v>130.80000000000001</v>
      </c>
      <c r="E1671" s="23">
        <v>105</v>
      </c>
      <c r="F1671" s="23">
        <v>31.92</v>
      </c>
      <c r="G1671" s="23">
        <v>522.79999999999995</v>
      </c>
      <c r="H1671" s="23">
        <v>5.1459999999999999</v>
      </c>
      <c r="I1671" s="13">
        <f t="shared" si="26"/>
        <v>3.2894736842105261</v>
      </c>
    </row>
    <row r="1672" spans="3:9">
      <c r="C1672" s="33">
        <v>2.7570000000000001</v>
      </c>
      <c r="D1672" s="23">
        <v>121</v>
      </c>
      <c r="E1672" s="23">
        <v>105.3</v>
      </c>
      <c r="F1672" s="23">
        <v>31.79</v>
      </c>
      <c r="G1672" s="23">
        <v>521.5</v>
      </c>
      <c r="H1672" s="23">
        <v>4.9219999999999997</v>
      </c>
      <c r="I1672" s="13">
        <f t="shared" si="26"/>
        <v>3.3123623781063229</v>
      </c>
    </row>
    <row r="1673" spans="3:9">
      <c r="C1673" s="33">
        <v>2.734</v>
      </c>
      <c r="D1673" s="23">
        <v>101.1</v>
      </c>
      <c r="E1673" s="23">
        <v>105.5</v>
      </c>
      <c r="F1673" s="23">
        <v>31.8</v>
      </c>
      <c r="G1673" s="23">
        <v>522.79999999999995</v>
      </c>
      <c r="H1673" s="23">
        <v>4.024</v>
      </c>
      <c r="I1673" s="13">
        <f t="shared" si="26"/>
        <v>3.3176100628930816</v>
      </c>
    </row>
    <row r="1674" spans="3:9">
      <c r="C1674" s="33">
        <v>2.7290000000000001</v>
      </c>
      <c r="D1674" s="23">
        <v>96.86</v>
      </c>
      <c r="E1674" s="23">
        <v>104.8</v>
      </c>
      <c r="F1674" s="23">
        <v>31.94</v>
      </c>
      <c r="G1674" s="23">
        <v>517.70000000000005</v>
      </c>
      <c r="H1674" s="23">
        <v>4.0030000000000001</v>
      </c>
      <c r="I1674" s="13">
        <f t="shared" si="26"/>
        <v>3.2811521603005636</v>
      </c>
    </row>
    <row r="1675" spans="3:9">
      <c r="C1675" s="33">
        <v>2.75</v>
      </c>
      <c r="D1675" s="23">
        <v>114.3</v>
      </c>
      <c r="E1675" s="23">
        <v>105</v>
      </c>
      <c r="F1675" s="23">
        <v>31.58</v>
      </c>
      <c r="G1675" s="23">
        <v>516.5</v>
      </c>
      <c r="H1675" s="23">
        <v>3.8980000000000001</v>
      </c>
      <c r="I1675" s="13">
        <f t="shared" si="26"/>
        <v>3.3248891703609882</v>
      </c>
    </row>
    <row r="1676" spans="3:9">
      <c r="C1676" s="33">
        <v>2.7370000000000001</v>
      </c>
      <c r="D1676" s="23">
        <v>97</v>
      </c>
      <c r="E1676" s="23">
        <v>105.6</v>
      </c>
      <c r="F1676" s="23">
        <v>31.29</v>
      </c>
      <c r="G1676" s="23">
        <v>516</v>
      </c>
      <c r="H1676" s="23">
        <v>4.101</v>
      </c>
      <c r="I1676" s="13">
        <f t="shared" si="26"/>
        <v>3.3748801534036432</v>
      </c>
    </row>
    <row r="1677" spans="3:9">
      <c r="C1677" s="33">
        <v>2.7930000000000001</v>
      </c>
      <c r="D1677" s="23">
        <v>89.66</v>
      </c>
      <c r="E1677" s="23">
        <v>104.9</v>
      </c>
      <c r="F1677" s="23">
        <v>31.39</v>
      </c>
      <c r="G1677" s="23">
        <v>515.9</v>
      </c>
      <c r="H1677" s="23">
        <v>4.1150000000000002</v>
      </c>
      <c r="I1677" s="13">
        <f t="shared" si="26"/>
        <v>3.3418286078368911</v>
      </c>
    </row>
    <row r="1678" spans="3:9">
      <c r="C1678" s="33">
        <v>2.8</v>
      </c>
      <c r="D1678" s="23">
        <v>84.32</v>
      </c>
      <c r="E1678" s="23">
        <v>105</v>
      </c>
      <c r="F1678" s="23">
        <v>31.82</v>
      </c>
      <c r="G1678" s="23">
        <v>518.1</v>
      </c>
      <c r="H1678" s="23">
        <v>4.4039999999999999</v>
      </c>
      <c r="I1678" s="13">
        <f t="shared" si="26"/>
        <v>3.2998114393463229</v>
      </c>
    </row>
    <row r="1679" spans="3:9">
      <c r="C1679" s="33">
        <v>2.7879999999999998</v>
      </c>
      <c r="D1679" s="23">
        <v>97.72</v>
      </c>
      <c r="E1679" s="23">
        <v>104.9</v>
      </c>
      <c r="F1679" s="23">
        <v>31.67</v>
      </c>
      <c r="G1679" s="23">
        <v>523.1</v>
      </c>
      <c r="H1679" s="23">
        <v>4.53</v>
      </c>
      <c r="I1679" s="13">
        <f t="shared" si="26"/>
        <v>3.3122829175876225</v>
      </c>
    </row>
    <row r="1680" spans="3:9">
      <c r="C1680" s="33">
        <v>2.7719999999999998</v>
      </c>
      <c r="D1680" s="23">
        <v>96.4</v>
      </c>
      <c r="E1680" s="23">
        <v>104.6</v>
      </c>
      <c r="F1680" s="23">
        <v>31.53</v>
      </c>
      <c r="G1680" s="23">
        <v>520.9</v>
      </c>
      <c r="H1680" s="23">
        <v>4.6420000000000003</v>
      </c>
      <c r="I1680" s="13">
        <f t="shared" si="26"/>
        <v>3.3174754202346968</v>
      </c>
    </row>
    <row r="1681" spans="2:9">
      <c r="C1681" s="33">
        <v>2.758</v>
      </c>
      <c r="D1681" s="23">
        <v>127.5</v>
      </c>
      <c r="E1681" s="23">
        <v>104.3</v>
      </c>
      <c r="F1681" s="23">
        <v>31.26</v>
      </c>
      <c r="G1681" s="23">
        <v>520.79999999999995</v>
      </c>
      <c r="H1681" s="23">
        <v>4.9509999999999996</v>
      </c>
      <c r="I1681" s="13">
        <f t="shared" si="26"/>
        <v>3.3365323096609081</v>
      </c>
    </row>
    <row r="1682" spans="2:9">
      <c r="B1682" s="35">
        <v>85</v>
      </c>
      <c r="C1682" s="36">
        <v>2.5779999999999998</v>
      </c>
      <c r="D1682" s="38">
        <v>113.6</v>
      </c>
      <c r="E1682" s="38">
        <v>97.33</v>
      </c>
      <c r="F1682" s="38">
        <v>26.67</v>
      </c>
      <c r="G1682" s="38">
        <v>573.5</v>
      </c>
      <c r="H1682" s="38">
        <v>5.68</v>
      </c>
      <c r="I1682" s="13">
        <f t="shared" si="26"/>
        <v>3.6494188226471689</v>
      </c>
    </row>
    <row r="1683" spans="2:9">
      <c r="C1683" s="33">
        <v>2.5859999999999999</v>
      </c>
      <c r="D1683" s="23">
        <v>120.5</v>
      </c>
      <c r="E1683" s="23">
        <v>97.22</v>
      </c>
      <c r="F1683" s="23">
        <v>26.63</v>
      </c>
      <c r="G1683" s="23">
        <v>573.4</v>
      </c>
      <c r="H1683" s="23">
        <v>5.29</v>
      </c>
      <c r="I1683" s="13">
        <f t="shared" si="26"/>
        <v>3.6507698084866691</v>
      </c>
    </row>
    <row r="1684" spans="2:9">
      <c r="C1684" s="33">
        <v>2.569</v>
      </c>
      <c r="D1684" s="23">
        <v>146.6</v>
      </c>
      <c r="E1684" s="23">
        <v>97.25</v>
      </c>
      <c r="F1684" s="23">
        <v>26.65</v>
      </c>
      <c r="G1684" s="23">
        <v>570.79999999999995</v>
      </c>
      <c r="H1684" s="23">
        <v>5.74</v>
      </c>
      <c r="I1684" s="13">
        <f t="shared" si="26"/>
        <v>3.6491557223264541</v>
      </c>
    </row>
    <row r="1685" spans="2:9">
      <c r="C1685" s="33">
        <v>2.5550000000000002</v>
      </c>
      <c r="D1685" s="23">
        <v>123.4</v>
      </c>
      <c r="E1685" s="23">
        <v>97.69</v>
      </c>
      <c r="F1685" s="23">
        <v>26.62</v>
      </c>
      <c r="G1685" s="23">
        <v>571</v>
      </c>
      <c r="H1685" s="23">
        <v>5.68</v>
      </c>
      <c r="I1685" s="13">
        <f t="shared" si="26"/>
        <v>3.6697971450037565</v>
      </c>
    </row>
    <row r="1686" spans="2:9">
      <c r="C1686" s="33">
        <v>2.536</v>
      </c>
      <c r="D1686" s="23">
        <v>134.69999999999999</v>
      </c>
      <c r="E1686" s="23">
        <v>97.43</v>
      </c>
      <c r="F1686" s="23">
        <v>26.26</v>
      </c>
      <c r="G1686" s="23">
        <v>571.6</v>
      </c>
      <c r="H1686" s="23">
        <v>5.79</v>
      </c>
      <c r="I1686" s="13">
        <f t="shared" si="26"/>
        <v>3.7102056359482103</v>
      </c>
    </row>
    <row r="1687" spans="2:9">
      <c r="C1687" s="33">
        <v>2.528</v>
      </c>
      <c r="D1687" s="23">
        <v>123.4</v>
      </c>
      <c r="E1687" s="23">
        <v>97.79</v>
      </c>
      <c r="F1687" s="23">
        <v>26.44</v>
      </c>
      <c r="G1687" s="23">
        <v>572.20000000000005</v>
      </c>
      <c r="H1687" s="23">
        <v>5.67</v>
      </c>
      <c r="I1687" s="13">
        <f t="shared" si="26"/>
        <v>3.6985627836611195</v>
      </c>
    </row>
    <row r="1688" spans="2:9">
      <c r="C1688" s="33">
        <v>2.4950000000000001</v>
      </c>
      <c r="D1688" s="23">
        <v>112.7</v>
      </c>
      <c r="E1688" s="23">
        <v>97.65</v>
      </c>
      <c r="F1688" s="23">
        <v>26.62</v>
      </c>
      <c r="G1688" s="23">
        <v>577.29999999999995</v>
      </c>
      <c r="H1688" s="23">
        <v>5.24</v>
      </c>
      <c r="I1688" s="13">
        <f t="shared" si="26"/>
        <v>3.6682945154019535</v>
      </c>
    </row>
    <row r="1689" spans="2:9">
      <c r="C1689" s="33">
        <v>2.5179999999999998</v>
      </c>
      <c r="D1689" s="23">
        <v>118</v>
      </c>
      <c r="E1689" s="23">
        <v>97.29</v>
      </c>
      <c r="F1689" s="23">
        <v>26.46</v>
      </c>
      <c r="G1689" s="23">
        <v>572.20000000000005</v>
      </c>
      <c r="H1689" s="23">
        <v>4.67</v>
      </c>
      <c r="I1689" s="13">
        <f t="shared" si="26"/>
        <v>3.6768707482993199</v>
      </c>
    </row>
    <row r="1690" spans="2:9">
      <c r="C1690" s="33">
        <v>2.5390000000000001</v>
      </c>
      <c r="D1690" s="23">
        <v>112.7</v>
      </c>
      <c r="E1690" s="23">
        <v>97.76</v>
      </c>
      <c r="F1690" s="23">
        <v>26.99</v>
      </c>
      <c r="G1690" s="23">
        <v>570.79999999999995</v>
      </c>
      <c r="H1690" s="23">
        <v>5.83</v>
      </c>
      <c r="I1690" s="13">
        <f t="shared" si="26"/>
        <v>3.6220822526861807</v>
      </c>
    </row>
    <row r="1691" spans="2:9">
      <c r="C1691" s="33">
        <v>2.5590000000000002</v>
      </c>
      <c r="D1691" s="23">
        <v>115.2</v>
      </c>
      <c r="E1691" s="23">
        <v>97.39</v>
      </c>
      <c r="F1691" s="23">
        <v>26.62</v>
      </c>
      <c r="G1691" s="23">
        <v>570.1</v>
      </c>
      <c r="H1691" s="23">
        <v>5.21</v>
      </c>
      <c r="I1691" s="13">
        <f t="shared" si="26"/>
        <v>3.6585274229902329</v>
      </c>
    </row>
    <row r="1692" spans="2:9">
      <c r="C1692" s="33">
        <v>2.57</v>
      </c>
      <c r="D1692" s="23">
        <v>121.7</v>
      </c>
      <c r="E1692" s="23">
        <v>97.36</v>
      </c>
      <c r="F1692" s="23">
        <v>26.44</v>
      </c>
      <c r="G1692" s="23">
        <v>566.70000000000005</v>
      </c>
      <c r="H1692" s="23">
        <v>5.62</v>
      </c>
      <c r="I1692" s="13">
        <f t="shared" si="26"/>
        <v>3.6822995461422088</v>
      </c>
    </row>
    <row r="1693" spans="2:9">
      <c r="C1693" s="33">
        <v>2.5779999999999998</v>
      </c>
      <c r="D1693" s="23">
        <v>141.4</v>
      </c>
      <c r="E1693" s="23">
        <v>97.61</v>
      </c>
      <c r="F1693" s="23">
        <v>26.54</v>
      </c>
      <c r="G1693" s="23">
        <v>568.1</v>
      </c>
      <c r="H1693" s="23">
        <v>6.01</v>
      </c>
      <c r="I1693" s="13">
        <f t="shared" si="26"/>
        <v>3.6778447626224566</v>
      </c>
    </row>
    <row r="1694" spans="2:9">
      <c r="C1694" s="33">
        <v>2.5859999999999999</v>
      </c>
      <c r="D1694" s="23">
        <v>122.2</v>
      </c>
      <c r="E1694" s="23">
        <v>97.44</v>
      </c>
      <c r="F1694" s="23">
        <v>27</v>
      </c>
      <c r="G1694" s="23">
        <v>569.20000000000005</v>
      </c>
      <c r="H1694" s="23">
        <v>6.2</v>
      </c>
      <c r="I1694" s="13">
        <f t="shared" si="26"/>
        <v>3.6088888888888886</v>
      </c>
    </row>
    <row r="1695" spans="2:9">
      <c r="C1695" s="33">
        <v>2.5870000000000002</v>
      </c>
      <c r="D1695" s="23">
        <v>125.8</v>
      </c>
      <c r="E1695" s="23">
        <v>97.54</v>
      </c>
      <c r="F1695" s="23">
        <v>26.64</v>
      </c>
      <c r="G1695" s="23">
        <v>568.1</v>
      </c>
      <c r="H1695" s="23">
        <v>5.88</v>
      </c>
      <c r="I1695" s="13">
        <f t="shared" si="26"/>
        <v>3.6614114114114114</v>
      </c>
    </row>
    <row r="1696" spans="2:9">
      <c r="C1696" s="33">
        <v>2.5830000000000002</v>
      </c>
      <c r="D1696" s="23">
        <v>118.2</v>
      </c>
      <c r="E1696" s="23">
        <v>97.76</v>
      </c>
      <c r="F1696" s="23">
        <v>26.46</v>
      </c>
      <c r="G1696" s="23">
        <v>570.4</v>
      </c>
      <c r="H1696" s="23">
        <v>6.14</v>
      </c>
      <c r="I1696" s="13">
        <f t="shared" si="26"/>
        <v>3.6946334089191231</v>
      </c>
    </row>
    <row r="1697" spans="2:9">
      <c r="C1697" s="33">
        <v>2.58</v>
      </c>
      <c r="D1697" s="23">
        <v>110.6</v>
      </c>
      <c r="E1697" s="23">
        <v>98.01</v>
      </c>
      <c r="F1697" s="23">
        <v>26.45</v>
      </c>
      <c r="G1697" s="23">
        <v>570</v>
      </c>
      <c r="H1697" s="23">
        <v>5.83</v>
      </c>
      <c r="I1697" s="13">
        <f t="shared" si="26"/>
        <v>3.705482041587902</v>
      </c>
    </row>
    <row r="1698" spans="2:9">
      <c r="C1698" s="33">
        <v>2.552</v>
      </c>
      <c r="D1698" s="23">
        <v>113.3</v>
      </c>
      <c r="E1698" s="23">
        <v>98.2</v>
      </c>
      <c r="F1698" s="23">
        <v>26.99</v>
      </c>
      <c r="G1698" s="23">
        <v>567</v>
      </c>
      <c r="H1698" s="23">
        <v>4.88</v>
      </c>
      <c r="I1698" s="13">
        <f t="shared" si="26"/>
        <v>3.6383845868840314</v>
      </c>
    </row>
    <row r="1699" spans="2:9">
      <c r="C1699" s="33">
        <v>2.569</v>
      </c>
      <c r="D1699" s="23">
        <v>109.3</v>
      </c>
      <c r="E1699" s="23">
        <v>97.69</v>
      </c>
      <c r="F1699" s="23">
        <v>26.83</v>
      </c>
      <c r="G1699" s="23">
        <v>571.1</v>
      </c>
      <c r="H1699" s="23">
        <v>5.01</v>
      </c>
      <c r="I1699" s="13">
        <f t="shared" si="26"/>
        <v>3.6410734252702199</v>
      </c>
    </row>
    <row r="1700" spans="2:9">
      <c r="C1700" s="33">
        <v>2.536</v>
      </c>
      <c r="D1700" s="23">
        <v>113.8</v>
      </c>
      <c r="E1700" s="23">
        <v>97.79</v>
      </c>
      <c r="F1700" s="23">
        <v>26.63</v>
      </c>
      <c r="G1700" s="23">
        <v>573.4</v>
      </c>
      <c r="H1700" s="23">
        <v>4.5599999999999996</v>
      </c>
      <c r="I1700" s="13">
        <f t="shared" si="26"/>
        <v>3.6721742395794221</v>
      </c>
    </row>
    <row r="1701" spans="2:9">
      <c r="C1701" s="33">
        <v>2.5430000000000001</v>
      </c>
      <c r="D1701" s="23">
        <v>113.6</v>
      </c>
      <c r="E1701" s="23">
        <v>97.87</v>
      </c>
      <c r="F1701" s="23">
        <v>26.86</v>
      </c>
      <c r="G1701" s="23">
        <v>572.9</v>
      </c>
      <c r="H1701" s="23">
        <v>5.23</v>
      </c>
      <c r="I1701" s="13">
        <f t="shared" si="26"/>
        <v>3.6437081161578559</v>
      </c>
    </row>
    <row r="1702" spans="2:9">
      <c r="B1702" s="35">
        <v>86</v>
      </c>
      <c r="C1702" s="36">
        <v>2.3940000000000001</v>
      </c>
      <c r="D1702" s="38">
        <v>94.6</v>
      </c>
      <c r="E1702" s="38">
        <v>120.2</v>
      </c>
      <c r="F1702" s="38">
        <v>37.22</v>
      </c>
      <c r="G1702" s="38">
        <v>491.8</v>
      </c>
      <c r="H1702" s="38">
        <v>4.8600000000000003</v>
      </c>
      <c r="I1702" s="13">
        <f t="shared" si="26"/>
        <v>3.2294465341214402</v>
      </c>
    </row>
    <row r="1703" spans="2:9">
      <c r="C1703" s="33">
        <v>2.3839999999999999</v>
      </c>
      <c r="D1703" s="23">
        <v>111.1</v>
      </c>
      <c r="E1703" s="23">
        <v>119.9</v>
      </c>
      <c r="F1703" s="23">
        <v>36.1</v>
      </c>
      <c r="G1703" s="23">
        <v>496</v>
      </c>
      <c r="H1703" s="23">
        <v>4.45</v>
      </c>
      <c r="I1703" s="13">
        <f t="shared" si="26"/>
        <v>3.3213296398891967</v>
      </c>
    </row>
    <row r="1704" spans="2:9">
      <c r="C1704" s="33">
        <v>2.3860000000000001</v>
      </c>
      <c r="D1704" s="23">
        <v>104</v>
      </c>
      <c r="E1704" s="23">
        <v>120.2</v>
      </c>
      <c r="F1704" s="23">
        <v>37.880000000000003</v>
      </c>
      <c r="G1704" s="23">
        <v>494.1</v>
      </c>
      <c r="H1704" s="23">
        <v>5.49</v>
      </c>
      <c r="I1704" s="13">
        <f t="shared" si="26"/>
        <v>3.1731784582893345</v>
      </c>
    </row>
    <row r="1705" spans="2:9">
      <c r="C1705" s="33">
        <v>2.3769999999999998</v>
      </c>
      <c r="D1705" s="23">
        <v>100.5</v>
      </c>
      <c r="E1705" s="23">
        <v>120.5</v>
      </c>
      <c r="F1705" s="23">
        <v>37.729999999999997</v>
      </c>
      <c r="G1705" s="23">
        <v>496.1</v>
      </c>
      <c r="H1705" s="23">
        <v>4.3899999999999997</v>
      </c>
      <c r="I1705" s="13">
        <f t="shared" si="26"/>
        <v>3.1937450304797248</v>
      </c>
    </row>
    <row r="1706" spans="2:9">
      <c r="C1706" s="33">
        <v>2.3719999999999999</v>
      </c>
      <c r="D1706" s="23">
        <v>112.2</v>
      </c>
      <c r="E1706" s="23">
        <v>120.6</v>
      </c>
      <c r="F1706" s="23">
        <v>37.58</v>
      </c>
      <c r="G1706" s="23">
        <v>496.5</v>
      </c>
      <c r="H1706" s="23">
        <v>4.79</v>
      </c>
      <c r="I1706" s="13">
        <f t="shared" si="26"/>
        <v>3.2091538052155402</v>
      </c>
    </row>
    <row r="1707" spans="2:9">
      <c r="C1707" s="33">
        <v>2.3610000000000002</v>
      </c>
      <c r="D1707" s="23">
        <v>114.6</v>
      </c>
      <c r="E1707" s="23">
        <v>120.7</v>
      </c>
      <c r="F1707" s="23">
        <v>37.700000000000003</v>
      </c>
      <c r="G1707" s="23">
        <v>495.2</v>
      </c>
      <c r="H1707" s="23">
        <v>6.35</v>
      </c>
      <c r="I1707" s="13">
        <f t="shared" si="26"/>
        <v>3.2015915119363392</v>
      </c>
    </row>
    <row r="1708" spans="2:9">
      <c r="C1708" s="33">
        <v>2.3660000000000001</v>
      </c>
      <c r="D1708" s="23">
        <v>115.2</v>
      </c>
      <c r="E1708" s="23">
        <v>120.8</v>
      </c>
      <c r="F1708" s="23">
        <v>37.770000000000003</v>
      </c>
      <c r="G1708" s="23">
        <v>489</v>
      </c>
      <c r="H1708" s="23">
        <v>5.39</v>
      </c>
      <c r="I1708" s="13">
        <f t="shared" si="26"/>
        <v>3.198305533492189</v>
      </c>
    </row>
    <row r="1709" spans="2:9">
      <c r="C1709" s="33">
        <v>2.3540000000000001</v>
      </c>
      <c r="D1709" s="23">
        <v>104.2</v>
      </c>
      <c r="E1709" s="23">
        <v>120.6</v>
      </c>
      <c r="F1709" s="23">
        <v>37.47</v>
      </c>
      <c r="G1709" s="23">
        <v>485.7</v>
      </c>
      <c r="H1709" s="23">
        <v>4.63</v>
      </c>
      <c r="I1709" s="13">
        <f t="shared" si="26"/>
        <v>3.2185748598879105</v>
      </c>
    </row>
    <row r="1710" spans="2:9">
      <c r="C1710" s="33">
        <v>2.36</v>
      </c>
      <c r="D1710" s="23">
        <v>103.2</v>
      </c>
      <c r="E1710" s="23">
        <v>120.3</v>
      </c>
      <c r="F1710" s="23">
        <v>37.92</v>
      </c>
      <c r="G1710" s="23">
        <v>487.1</v>
      </c>
      <c r="H1710" s="23">
        <v>4.8600000000000003</v>
      </c>
      <c r="I1710" s="13">
        <f t="shared" si="26"/>
        <v>3.1724683544303796</v>
      </c>
    </row>
    <row r="1711" spans="2:9">
      <c r="C1711" s="33">
        <v>2.3420000000000001</v>
      </c>
      <c r="D1711" s="23">
        <v>97</v>
      </c>
      <c r="E1711" s="23">
        <v>120.8</v>
      </c>
      <c r="F1711" s="23">
        <v>37.64</v>
      </c>
      <c r="G1711" s="23">
        <v>487.5</v>
      </c>
      <c r="H1711" s="23">
        <v>4.3600000000000003</v>
      </c>
      <c r="I1711" s="13">
        <f t="shared" si="26"/>
        <v>3.2093517534537725</v>
      </c>
    </row>
    <row r="1712" spans="2:9">
      <c r="C1712" s="33">
        <v>2.3370000000000002</v>
      </c>
      <c r="D1712" s="23">
        <v>115.2</v>
      </c>
      <c r="E1712" s="23">
        <v>119.9</v>
      </c>
      <c r="F1712" s="23">
        <v>37.67</v>
      </c>
      <c r="G1712" s="23">
        <v>489.5</v>
      </c>
      <c r="H1712" s="23">
        <v>5.2</v>
      </c>
      <c r="I1712" s="13">
        <f t="shared" si="26"/>
        <v>3.1829041677727634</v>
      </c>
    </row>
    <row r="1713" spans="2:9">
      <c r="C1713" s="33">
        <v>2.3559999999999999</v>
      </c>
      <c r="D1713" s="23">
        <v>119.4</v>
      </c>
      <c r="E1713" s="23">
        <v>120.7</v>
      </c>
      <c r="F1713" s="23">
        <v>37.619999999999997</v>
      </c>
      <c r="G1713" s="23">
        <v>489.1</v>
      </c>
      <c r="H1713" s="23">
        <v>5.85</v>
      </c>
      <c r="I1713" s="13">
        <f t="shared" si="26"/>
        <v>3.2083997873471559</v>
      </c>
    </row>
    <row r="1714" spans="2:9">
      <c r="C1714" s="33">
        <v>2.3759999999999999</v>
      </c>
      <c r="D1714" s="23">
        <v>113.9</v>
      </c>
      <c r="E1714" s="23">
        <v>120.2</v>
      </c>
      <c r="F1714" s="23">
        <v>37.72</v>
      </c>
      <c r="G1714" s="23">
        <v>491</v>
      </c>
      <c r="H1714" s="23">
        <v>5.49</v>
      </c>
      <c r="I1714" s="13">
        <f t="shared" si="26"/>
        <v>3.1866383881230118</v>
      </c>
    </row>
    <row r="1715" spans="2:9">
      <c r="C1715" s="33">
        <v>2.3839999999999999</v>
      </c>
      <c r="D1715" s="23">
        <v>97.2</v>
      </c>
      <c r="E1715" s="23">
        <v>120.4</v>
      </c>
      <c r="F1715" s="23">
        <v>37.770000000000003</v>
      </c>
      <c r="G1715" s="23">
        <v>490.9</v>
      </c>
      <c r="H1715" s="23">
        <v>5.23</v>
      </c>
      <c r="I1715" s="13">
        <f t="shared" si="26"/>
        <v>3.1877151178183745</v>
      </c>
    </row>
    <row r="1716" spans="2:9">
      <c r="C1716" s="33">
        <v>2.3879999999999999</v>
      </c>
      <c r="D1716" s="23">
        <v>111.2</v>
      </c>
      <c r="E1716" s="23">
        <v>120.6</v>
      </c>
      <c r="F1716" s="23">
        <v>37.92</v>
      </c>
      <c r="G1716" s="23">
        <v>493.8</v>
      </c>
      <c r="H1716" s="23">
        <v>5.93</v>
      </c>
      <c r="I1716" s="13">
        <f t="shared" si="26"/>
        <v>3.1803797468354427</v>
      </c>
    </row>
    <row r="1717" spans="2:9">
      <c r="C1717" s="33">
        <v>2.3940000000000001</v>
      </c>
      <c r="D1717" s="23">
        <v>95.13</v>
      </c>
      <c r="E1717" s="23">
        <v>120.5</v>
      </c>
      <c r="F1717" s="23">
        <v>38.090000000000003</v>
      </c>
      <c r="G1717" s="23">
        <v>499.2</v>
      </c>
      <c r="H1717" s="23">
        <v>6.07</v>
      </c>
      <c r="I1717" s="13">
        <f t="shared" si="26"/>
        <v>3.1635599894985558</v>
      </c>
    </row>
    <row r="1718" spans="2:9">
      <c r="C1718" s="33">
        <v>2.4039999999999999</v>
      </c>
      <c r="D1718" s="23">
        <v>107.3</v>
      </c>
      <c r="E1718" s="23">
        <v>120.6</v>
      </c>
      <c r="F1718" s="23">
        <v>37.99</v>
      </c>
      <c r="G1718" s="23">
        <v>497.7</v>
      </c>
      <c r="H1718" s="23">
        <v>6.35</v>
      </c>
      <c r="I1718" s="13">
        <f t="shared" si="26"/>
        <v>3.1745196104237956</v>
      </c>
    </row>
    <row r="1719" spans="2:9">
      <c r="C1719" s="33">
        <v>2.3650000000000002</v>
      </c>
      <c r="D1719" s="23">
        <v>122.8</v>
      </c>
      <c r="E1719" s="23">
        <v>120.4</v>
      </c>
      <c r="F1719" s="23">
        <v>37.56</v>
      </c>
      <c r="G1719" s="23">
        <v>495.5</v>
      </c>
      <c r="H1719" s="23">
        <v>5.48</v>
      </c>
      <c r="I1719" s="13">
        <f t="shared" si="26"/>
        <v>3.2055378061767836</v>
      </c>
    </row>
    <row r="1720" spans="2:9">
      <c r="C1720" s="33">
        <v>2.37</v>
      </c>
      <c r="D1720" s="23">
        <v>122.9</v>
      </c>
      <c r="E1720" s="23">
        <v>120.5</v>
      </c>
      <c r="F1720" s="23">
        <v>37.24</v>
      </c>
      <c r="G1720" s="23">
        <v>495.5</v>
      </c>
      <c r="H1720" s="23">
        <v>5.58</v>
      </c>
      <c r="I1720" s="13">
        <f t="shared" si="26"/>
        <v>3.2357679914070889</v>
      </c>
    </row>
    <row r="1721" spans="2:9">
      <c r="C1721" s="33">
        <v>2.3759999999999999</v>
      </c>
      <c r="D1721" s="23">
        <v>97.2</v>
      </c>
      <c r="E1721" s="23">
        <v>120.7</v>
      </c>
      <c r="F1721" s="23">
        <v>37.14</v>
      </c>
      <c r="G1721" s="23">
        <v>496</v>
      </c>
      <c r="H1721" s="23">
        <v>5.33</v>
      </c>
      <c r="I1721" s="13">
        <f t="shared" si="26"/>
        <v>3.2498653742595582</v>
      </c>
    </row>
    <row r="1722" spans="2:9">
      <c r="B1722" s="35">
        <v>87</v>
      </c>
      <c r="C1722" s="36">
        <v>1.641</v>
      </c>
      <c r="D1722" s="38">
        <v>113.7</v>
      </c>
      <c r="E1722" s="38">
        <v>116</v>
      </c>
      <c r="F1722" s="38">
        <v>34.950000000000003</v>
      </c>
      <c r="G1722" s="38">
        <v>519.5</v>
      </c>
      <c r="H1722" s="38">
        <v>4.3419999999999996</v>
      </c>
      <c r="I1722" s="13">
        <f t="shared" si="26"/>
        <v>3.3190271816881256</v>
      </c>
    </row>
    <row r="1723" spans="2:9">
      <c r="C1723" s="33">
        <v>1.6539999999999999</v>
      </c>
      <c r="D1723" s="23">
        <v>112.8</v>
      </c>
      <c r="E1723" s="23">
        <v>116.6</v>
      </c>
      <c r="F1723" s="23">
        <v>35.020000000000003</v>
      </c>
      <c r="G1723" s="23">
        <v>532.5</v>
      </c>
      <c r="H1723" s="23">
        <v>4.3090000000000002</v>
      </c>
      <c r="I1723" s="13">
        <f t="shared" si="26"/>
        <v>3.3295259851513417</v>
      </c>
    </row>
    <row r="1724" spans="2:9">
      <c r="C1724" s="33">
        <v>1.633</v>
      </c>
      <c r="D1724" s="23">
        <v>114.3</v>
      </c>
      <c r="E1724" s="23">
        <v>116.1</v>
      </c>
      <c r="F1724" s="23">
        <v>34.64</v>
      </c>
      <c r="G1724" s="23">
        <v>539.1</v>
      </c>
      <c r="H1724" s="23">
        <v>4.3</v>
      </c>
      <c r="I1724" s="13">
        <f t="shared" si="26"/>
        <v>3.3516166281755195</v>
      </c>
    </row>
    <row r="1725" spans="2:9">
      <c r="C1725" s="33">
        <v>1.6359999999999999</v>
      </c>
      <c r="D1725" s="23">
        <v>116.8</v>
      </c>
      <c r="E1725" s="23">
        <v>116.9</v>
      </c>
      <c r="F1725" s="23">
        <v>34.840000000000003</v>
      </c>
      <c r="G1725" s="23">
        <v>546.4</v>
      </c>
      <c r="H1725" s="23">
        <v>4.3410000000000002</v>
      </c>
      <c r="I1725" s="13">
        <f t="shared" si="26"/>
        <v>3.3553386911595866</v>
      </c>
    </row>
    <row r="1726" spans="2:9">
      <c r="C1726" s="33">
        <v>1.65</v>
      </c>
      <c r="D1726" s="23">
        <v>107.7</v>
      </c>
      <c r="E1726" s="23">
        <v>116.6</v>
      </c>
      <c r="F1726" s="23">
        <v>34.909999999999997</v>
      </c>
      <c r="G1726" s="23">
        <v>545.5</v>
      </c>
      <c r="H1726" s="23">
        <v>4.3150000000000004</v>
      </c>
      <c r="I1726" s="13">
        <f t="shared" si="26"/>
        <v>3.3400171870524207</v>
      </c>
    </row>
    <row r="1727" spans="2:9">
      <c r="C1727" s="33">
        <v>1.6379999999999999</v>
      </c>
      <c r="D1727" s="23">
        <v>119.4</v>
      </c>
      <c r="E1727" s="23">
        <v>117.1</v>
      </c>
      <c r="F1727" s="23">
        <v>34.119999999999997</v>
      </c>
      <c r="G1727" s="23">
        <v>542.9</v>
      </c>
      <c r="H1727" s="23">
        <v>4.3</v>
      </c>
      <c r="I1727" s="13">
        <f t="shared" si="26"/>
        <v>3.4320046893317704</v>
      </c>
    </row>
    <row r="1728" spans="2:9">
      <c r="C1728" s="33">
        <v>1.621</v>
      </c>
      <c r="D1728" s="23">
        <v>118.2</v>
      </c>
      <c r="E1728" s="23">
        <v>116.8</v>
      </c>
      <c r="F1728" s="23">
        <v>34.14</v>
      </c>
      <c r="G1728" s="23">
        <v>550.5</v>
      </c>
      <c r="H1728" s="23">
        <v>4.3090000000000002</v>
      </c>
      <c r="I1728" s="13">
        <f t="shared" si="26"/>
        <v>3.4212067955477443</v>
      </c>
    </row>
    <row r="1729" spans="2:9">
      <c r="C1729" s="33">
        <v>1.6259999999999999</v>
      </c>
      <c r="D1729" s="23">
        <v>113.8</v>
      </c>
      <c r="E1729" s="23">
        <v>116.9</v>
      </c>
      <c r="F1729" s="23">
        <v>34.549999999999997</v>
      </c>
      <c r="G1729" s="23">
        <v>535.6</v>
      </c>
      <c r="H1729" s="23">
        <v>4.3419999999999996</v>
      </c>
      <c r="I1729" s="13">
        <f t="shared" si="26"/>
        <v>3.383502170767005</v>
      </c>
    </row>
    <row r="1730" spans="2:9">
      <c r="C1730" s="33">
        <v>1.5960000000000001</v>
      </c>
      <c r="D1730" s="23">
        <v>145.5</v>
      </c>
      <c r="E1730" s="23">
        <v>117.2</v>
      </c>
      <c r="F1730" s="23">
        <v>34.729999999999997</v>
      </c>
      <c r="G1730" s="23">
        <v>525.4</v>
      </c>
      <c r="H1730" s="23">
        <v>4.4080000000000004</v>
      </c>
      <c r="I1730" s="13">
        <f t="shared" si="26"/>
        <v>3.3746040886841353</v>
      </c>
    </row>
    <row r="1731" spans="2:9">
      <c r="C1731" s="33">
        <v>1.581</v>
      </c>
      <c r="D1731" s="23">
        <v>153.4</v>
      </c>
      <c r="E1731" s="23">
        <v>116.9</v>
      </c>
      <c r="F1731" s="23">
        <v>34.880000000000003</v>
      </c>
      <c r="G1731" s="23">
        <v>519.5</v>
      </c>
      <c r="H1731" s="23">
        <v>4.4240000000000004</v>
      </c>
      <c r="I1731" s="13">
        <f t="shared" ref="I1731:I1794" si="27">E1731/F1731</f>
        <v>3.3514908256880731</v>
      </c>
    </row>
    <row r="1732" spans="2:9">
      <c r="C1732" s="33">
        <v>1.6140000000000001</v>
      </c>
      <c r="D1732" s="23">
        <v>153.5</v>
      </c>
      <c r="E1732" s="23">
        <v>116.5</v>
      </c>
      <c r="F1732" s="23">
        <v>34.450000000000003</v>
      </c>
      <c r="G1732" s="23">
        <v>515.6</v>
      </c>
      <c r="H1732" s="23">
        <v>4.4640000000000004</v>
      </c>
      <c r="I1732" s="13">
        <f t="shared" si="27"/>
        <v>3.3817126269956455</v>
      </c>
    </row>
    <row r="1733" spans="2:9">
      <c r="C1733" s="33">
        <v>1.59</v>
      </c>
      <c r="D1733" s="23">
        <v>157.69999999999999</v>
      </c>
      <c r="E1733" s="23">
        <v>116.7</v>
      </c>
      <c r="F1733" s="23">
        <v>34.520000000000003</v>
      </c>
      <c r="G1733" s="23">
        <v>509</v>
      </c>
      <c r="H1733" s="23">
        <v>4.3499999999999996</v>
      </c>
      <c r="I1733" s="13">
        <f t="shared" si="27"/>
        <v>3.3806488991888757</v>
      </c>
    </row>
    <row r="1734" spans="2:9">
      <c r="C1734" s="33">
        <v>1.581</v>
      </c>
      <c r="D1734" s="23">
        <v>113.8</v>
      </c>
      <c r="E1734" s="23">
        <v>117</v>
      </c>
      <c r="F1734" s="23">
        <v>34.590000000000003</v>
      </c>
      <c r="G1734" s="23">
        <v>508.1</v>
      </c>
      <c r="H1734" s="23">
        <v>4.407</v>
      </c>
      <c r="I1734" s="13">
        <f t="shared" si="27"/>
        <v>3.3824804856895052</v>
      </c>
    </row>
    <row r="1735" spans="2:9">
      <c r="C1735" s="33">
        <v>1.5669999999999999</v>
      </c>
      <c r="D1735" s="23">
        <v>136.69999999999999</v>
      </c>
      <c r="E1735" s="23">
        <v>117.3</v>
      </c>
      <c r="F1735" s="23">
        <v>34.590000000000003</v>
      </c>
      <c r="G1735" s="23">
        <v>505.9</v>
      </c>
      <c r="H1735" s="23">
        <v>4.6230000000000002</v>
      </c>
      <c r="I1735" s="13">
        <f t="shared" si="27"/>
        <v>3.3911535125758885</v>
      </c>
    </row>
    <row r="1736" spans="2:9">
      <c r="C1736" s="33">
        <v>1.591</v>
      </c>
      <c r="D1736" s="23">
        <v>140.30000000000001</v>
      </c>
      <c r="E1736" s="23">
        <v>117.1</v>
      </c>
      <c r="F1736" s="23">
        <v>34.5</v>
      </c>
      <c r="G1736" s="23">
        <v>512</v>
      </c>
      <c r="H1736" s="23">
        <v>4.4960000000000004</v>
      </c>
      <c r="I1736" s="13">
        <f t="shared" si="27"/>
        <v>3.3942028985507244</v>
      </c>
    </row>
    <row r="1737" spans="2:9">
      <c r="C1737" s="33">
        <v>1.621</v>
      </c>
      <c r="D1737" s="23">
        <v>153.5</v>
      </c>
      <c r="E1737" s="23">
        <v>116.4</v>
      </c>
      <c r="F1737" s="23">
        <v>34.880000000000003</v>
      </c>
      <c r="G1737" s="23">
        <v>510.2</v>
      </c>
      <c r="H1737" s="23">
        <v>4.2729999999999997</v>
      </c>
      <c r="I1737" s="13">
        <f t="shared" si="27"/>
        <v>3.3371559633027523</v>
      </c>
    </row>
    <row r="1738" spans="2:9">
      <c r="C1738" s="33">
        <v>1.6240000000000001</v>
      </c>
      <c r="D1738" s="23">
        <v>154.9</v>
      </c>
      <c r="E1738" s="23">
        <v>116.7</v>
      </c>
      <c r="F1738" s="23">
        <v>34.74</v>
      </c>
      <c r="G1738" s="23">
        <v>517.9</v>
      </c>
      <c r="H1738" s="23">
        <v>4.2359999999999998</v>
      </c>
      <c r="I1738" s="13">
        <f t="shared" si="27"/>
        <v>3.3592400690846285</v>
      </c>
    </row>
    <row r="1739" spans="2:9">
      <c r="C1739" s="33">
        <v>1.655</v>
      </c>
      <c r="D1739" s="23">
        <v>145.5</v>
      </c>
      <c r="E1739" s="23">
        <v>116.7</v>
      </c>
      <c r="F1739" s="23">
        <v>34.35</v>
      </c>
      <c r="G1739" s="23">
        <v>521.5</v>
      </c>
      <c r="H1739" s="23">
        <v>4.2729999999999997</v>
      </c>
      <c r="I1739" s="13">
        <f t="shared" si="27"/>
        <v>3.3973799126637556</v>
      </c>
    </row>
    <row r="1740" spans="2:9">
      <c r="C1740" s="33">
        <v>1.651</v>
      </c>
      <c r="D1740" s="23">
        <v>157.69999999999999</v>
      </c>
      <c r="E1740" s="23">
        <v>116.9</v>
      </c>
      <c r="F1740" s="23">
        <v>34.39</v>
      </c>
      <c r="G1740" s="23">
        <v>525.4</v>
      </c>
      <c r="H1740" s="23">
        <v>4.3170000000000002</v>
      </c>
      <c r="I1740" s="13">
        <f t="shared" si="27"/>
        <v>3.3992439662692644</v>
      </c>
    </row>
    <row r="1741" spans="2:9">
      <c r="C1741" s="33">
        <v>1.671</v>
      </c>
      <c r="D1741" s="23">
        <v>113.5</v>
      </c>
      <c r="E1741" s="23">
        <v>117.1</v>
      </c>
      <c r="F1741" s="23">
        <v>34.21</v>
      </c>
      <c r="G1741" s="23">
        <v>531.79999999999995</v>
      </c>
      <c r="H1741" s="23">
        <v>4.359</v>
      </c>
      <c r="I1741" s="13">
        <f t="shared" si="27"/>
        <v>3.4229757380882782</v>
      </c>
    </row>
    <row r="1742" spans="2:9">
      <c r="B1742" s="35">
        <v>88</v>
      </c>
      <c r="C1742" s="36">
        <v>2.4079999999999999</v>
      </c>
      <c r="D1742" s="38">
        <v>135.1</v>
      </c>
      <c r="E1742" s="38">
        <v>103.9</v>
      </c>
      <c r="F1742" s="38">
        <v>28.75</v>
      </c>
      <c r="G1742" s="38">
        <v>556.4</v>
      </c>
      <c r="H1742" s="38">
        <v>5.7649999999999997</v>
      </c>
      <c r="I1742" s="13">
        <f t="shared" si="27"/>
        <v>3.6139130434782611</v>
      </c>
    </row>
    <row r="1743" spans="2:9">
      <c r="C1743" s="33">
        <v>2.395</v>
      </c>
      <c r="D1743" s="23">
        <v>151.6</v>
      </c>
      <c r="E1743" s="23">
        <v>104.5</v>
      </c>
      <c r="F1743" s="23">
        <v>28.72</v>
      </c>
      <c r="G1743" s="23">
        <v>560.20000000000005</v>
      </c>
      <c r="H1743" s="23">
        <v>5.8710000000000004</v>
      </c>
      <c r="I1743" s="13">
        <f t="shared" si="27"/>
        <v>3.6385793871866299</v>
      </c>
    </row>
    <row r="1744" spans="2:9">
      <c r="C1744" s="33">
        <v>2.3860000000000001</v>
      </c>
      <c r="D1744" s="23">
        <v>143.1</v>
      </c>
      <c r="E1744" s="23">
        <v>104.7</v>
      </c>
      <c r="F1744" s="23">
        <v>28.62</v>
      </c>
      <c r="G1744" s="23">
        <v>561.29999999999995</v>
      </c>
      <c r="H1744" s="23">
        <v>5.8490000000000002</v>
      </c>
      <c r="I1744" s="13">
        <f t="shared" si="27"/>
        <v>3.658280922431866</v>
      </c>
    </row>
    <row r="1745" spans="3:9">
      <c r="C1745" s="33">
        <v>2.3679999999999999</v>
      </c>
      <c r="D1745" s="23">
        <v>157</v>
      </c>
      <c r="E1745" s="23">
        <v>104.9</v>
      </c>
      <c r="F1745" s="23">
        <v>28.52</v>
      </c>
      <c r="G1745" s="23">
        <v>561.79999999999995</v>
      </c>
      <c r="H1745" s="23">
        <v>5.8209999999999997</v>
      </c>
      <c r="I1745" s="13">
        <f t="shared" si="27"/>
        <v>3.6781206171107996</v>
      </c>
    </row>
    <row r="1746" spans="3:9">
      <c r="C1746" s="33">
        <v>2.335</v>
      </c>
      <c r="D1746" s="23">
        <v>160.69999999999999</v>
      </c>
      <c r="E1746" s="23">
        <v>104.6</v>
      </c>
      <c r="F1746" s="23">
        <v>28.59</v>
      </c>
      <c r="G1746" s="23">
        <v>562.5</v>
      </c>
      <c r="H1746" s="23">
        <v>6.0839999999999996</v>
      </c>
      <c r="I1746" s="13">
        <f t="shared" si="27"/>
        <v>3.6586218957677508</v>
      </c>
    </row>
    <row r="1747" spans="3:9">
      <c r="C1747" s="33">
        <v>2.2970000000000002</v>
      </c>
      <c r="D1747" s="23">
        <v>137.5</v>
      </c>
      <c r="E1747" s="23">
        <v>104.8</v>
      </c>
      <c r="F1747" s="23">
        <v>28.49</v>
      </c>
      <c r="G1747" s="23">
        <v>563.70000000000005</v>
      </c>
      <c r="H1747" s="23">
        <v>6.194</v>
      </c>
      <c r="I1747" s="13">
        <f t="shared" si="27"/>
        <v>3.6784836784836785</v>
      </c>
    </row>
    <row r="1748" spans="3:9">
      <c r="C1748" s="33">
        <v>2.2610000000000001</v>
      </c>
      <c r="D1748" s="23">
        <v>167.7</v>
      </c>
      <c r="E1748" s="23">
        <v>104.4</v>
      </c>
      <c r="F1748" s="23">
        <v>28.4</v>
      </c>
      <c r="G1748" s="23">
        <v>564.1</v>
      </c>
      <c r="H1748" s="23">
        <v>6.0839999999999996</v>
      </c>
      <c r="I1748" s="13">
        <f t="shared" si="27"/>
        <v>3.6760563380281694</v>
      </c>
    </row>
    <row r="1749" spans="3:9">
      <c r="C1749" s="33">
        <v>2.2250000000000001</v>
      </c>
      <c r="D1749" s="23">
        <v>144.4</v>
      </c>
      <c r="E1749" s="23">
        <v>104.5</v>
      </c>
      <c r="F1749" s="23">
        <v>28.13</v>
      </c>
      <c r="G1749" s="23">
        <v>563.20000000000005</v>
      </c>
      <c r="H1749" s="23">
        <v>5.9809999999999999</v>
      </c>
      <c r="I1749" s="13">
        <f t="shared" si="27"/>
        <v>3.7148951297547104</v>
      </c>
    </row>
    <row r="1750" spans="3:9">
      <c r="C1750" s="33">
        <v>2.226</v>
      </c>
      <c r="D1750" s="23">
        <v>155.5</v>
      </c>
      <c r="E1750" s="23">
        <v>104.6</v>
      </c>
      <c r="F1750" s="23">
        <v>28.42</v>
      </c>
      <c r="G1750" s="23">
        <v>564.29999999999995</v>
      </c>
      <c r="H1750" s="23">
        <v>5.9160000000000004</v>
      </c>
      <c r="I1750" s="13">
        <f t="shared" si="27"/>
        <v>3.6805066854327935</v>
      </c>
    </row>
    <row r="1751" spans="3:9">
      <c r="C1751" s="33">
        <v>2.258</v>
      </c>
      <c r="D1751" s="23">
        <v>166.2</v>
      </c>
      <c r="E1751" s="23">
        <v>105</v>
      </c>
      <c r="F1751" s="23">
        <v>28.52</v>
      </c>
      <c r="G1751" s="23">
        <v>565.9</v>
      </c>
      <c r="H1751" s="23">
        <v>5.8029999999999999</v>
      </c>
      <c r="I1751" s="13">
        <f t="shared" si="27"/>
        <v>3.6816269284712484</v>
      </c>
    </row>
    <row r="1752" spans="3:9">
      <c r="C1752" s="33">
        <v>2.2810000000000001</v>
      </c>
      <c r="D1752" s="23">
        <v>133.4</v>
      </c>
      <c r="E1752" s="23">
        <v>105.3</v>
      </c>
      <c r="F1752" s="23">
        <v>28.78</v>
      </c>
      <c r="G1752" s="23">
        <v>560.4</v>
      </c>
      <c r="H1752" s="23">
        <v>5.7649999999999997</v>
      </c>
      <c r="I1752" s="13">
        <f t="shared" si="27"/>
        <v>3.6587908269631688</v>
      </c>
    </row>
    <row r="1753" spans="3:9">
      <c r="C1753" s="33">
        <v>2.31</v>
      </c>
      <c r="D1753" s="23">
        <v>149.69999999999999</v>
      </c>
      <c r="E1753" s="23">
        <v>104.8</v>
      </c>
      <c r="F1753" s="23">
        <v>28.75</v>
      </c>
      <c r="G1753" s="23">
        <v>556.70000000000005</v>
      </c>
      <c r="H1753" s="23">
        <v>5.843</v>
      </c>
      <c r="I1753" s="13">
        <f t="shared" si="27"/>
        <v>3.6452173913043477</v>
      </c>
    </row>
    <row r="1754" spans="3:9">
      <c r="C1754" s="33">
        <v>2.335</v>
      </c>
      <c r="D1754" s="23">
        <v>150</v>
      </c>
      <c r="E1754" s="23">
        <v>104.5</v>
      </c>
      <c r="F1754" s="23">
        <v>28.42</v>
      </c>
      <c r="G1754" s="23">
        <v>558.20000000000005</v>
      </c>
      <c r="H1754" s="23">
        <v>5.9720000000000004</v>
      </c>
      <c r="I1754" s="13">
        <f t="shared" si="27"/>
        <v>3.6769880365939476</v>
      </c>
    </row>
    <row r="1755" spans="3:9">
      <c r="C1755" s="33">
        <v>2.3679999999999999</v>
      </c>
      <c r="D1755" s="23">
        <v>133.80000000000001</v>
      </c>
      <c r="E1755" s="23">
        <v>104.2</v>
      </c>
      <c r="F1755" s="23">
        <v>28.35</v>
      </c>
      <c r="G1755" s="23">
        <v>559.20000000000005</v>
      </c>
      <c r="H1755" s="23">
        <v>5.8760000000000003</v>
      </c>
      <c r="I1755" s="13">
        <f t="shared" si="27"/>
        <v>3.6754850088183422</v>
      </c>
    </row>
    <row r="1756" spans="3:9">
      <c r="C1756" s="33">
        <v>2.3860000000000001</v>
      </c>
      <c r="D1756" s="23">
        <v>150</v>
      </c>
      <c r="E1756" s="23">
        <v>104.3</v>
      </c>
      <c r="F1756" s="23">
        <v>28.52</v>
      </c>
      <c r="G1756" s="23">
        <v>560.70000000000005</v>
      </c>
      <c r="H1756" s="23">
        <v>5.9980000000000002</v>
      </c>
      <c r="I1756" s="13">
        <f t="shared" si="27"/>
        <v>3.6570827489481066</v>
      </c>
    </row>
    <row r="1757" spans="3:9">
      <c r="C1757" s="33">
        <v>2.4089999999999998</v>
      </c>
      <c r="D1757" s="23">
        <v>147.80000000000001</v>
      </c>
      <c r="E1757" s="23">
        <v>105.1</v>
      </c>
      <c r="F1757" s="23">
        <v>28.32</v>
      </c>
      <c r="G1757" s="23">
        <v>563.5</v>
      </c>
      <c r="H1757" s="23">
        <v>6.2619999999999996</v>
      </c>
      <c r="I1757" s="13">
        <f t="shared" si="27"/>
        <v>3.7111581920903953</v>
      </c>
    </row>
    <row r="1758" spans="3:9">
      <c r="C1758" s="33">
        <v>2.3319999999999999</v>
      </c>
      <c r="D1758" s="23">
        <v>168</v>
      </c>
      <c r="E1758" s="23">
        <v>104.4</v>
      </c>
      <c r="F1758" s="23">
        <v>28.75</v>
      </c>
      <c r="G1758" s="23">
        <v>564.9</v>
      </c>
      <c r="H1758" s="23">
        <v>5.2690000000000001</v>
      </c>
      <c r="I1758" s="13">
        <f t="shared" si="27"/>
        <v>3.6313043478260871</v>
      </c>
    </row>
    <row r="1759" spans="3:9">
      <c r="C1759" s="33">
        <v>2.367</v>
      </c>
      <c r="D1759" s="23">
        <v>198.5</v>
      </c>
      <c r="E1759" s="23">
        <v>104.3</v>
      </c>
      <c r="F1759" s="23">
        <v>29.05</v>
      </c>
      <c r="G1759" s="23">
        <v>560.5</v>
      </c>
      <c r="H1759" s="23">
        <v>6.0750000000000002</v>
      </c>
      <c r="I1759" s="13">
        <f t="shared" si="27"/>
        <v>3.5903614457831323</v>
      </c>
    </row>
    <row r="1760" spans="3:9">
      <c r="C1760" s="33">
        <v>2.3380000000000001</v>
      </c>
      <c r="D1760" s="23">
        <v>168</v>
      </c>
      <c r="E1760" s="23">
        <v>104.6</v>
      </c>
      <c r="F1760" s="23">
        <v>28.19</v>
      </c>
      <c r="G1760" s="23">
        <v>564.6</v>
      </c>
      <c r="H1760" s="23">
        <v>5.9349999999999996</v>
      </c>
      <c r="I1760" s="13">
        <f t="shared" si="27"/>
        <v>3.7105356509400491</v>
      </c>
    </row>
    <row r="1761" spans="2:9">
      <c r="C1761" s="33">
        <v>2.3210000000000002</v>
      </c>
      <c r="D1761" s="23">
        <v>133.80000000000001</v>
      </c>
      <c r="E1761" s="23">
        <v>104.9</v>
      </c>
      <c r="F1761" s="23">
        <v>28.11</v>
      </c>
      <c r="G1761" s="23">
        <v>565</v>
      </c>
      <c r="H1761" s="23">
        <v>5.798</v>
      </c>
      <c r="I1761" s="13">
        <f t="shared" si="27"/>
        <v>3.7317680540732838</v>
      </c>
    </row>
    <row r="1762" spans="2:9">
      <c r="B1762" s="35">
        <v>89</v>
      </c>
      <c r="C1762" s="36">
        <v>2.5019999999999998</v>
      </c>
      <c r="D1762" s="38">
        <v>174.6</v>
      </c>
      <c r="E1762" s="38">
        <v>104.5</v>
      </c>
      <c r="F1762" s="38">
        <v>40.42</v>
      </c>
      <c r="G1762" s="38">
        <v>535.5</v>
      </c>
      <c r="H1762" s="38">
        <v>4.7409999999999997</v>
      </c>
      <c r="I1762" s="13">
        <f t="shared" si="27"/>
        <v>2.5853537852548243</v>
      </c>
    </row>
    <row r="1763" spans="2:9">
      <c r="C1763" s="33">
        <v>2.4990000000000001</v>
      </c>
      <c r="D1763" s="23">
        <v>118.9</v>
      </c>
      <c r="E1763" s="23">
        <v>104.3</v>
      </c>
      <c r="F1763" s="23">
        <v>40.159999999999997</v>
      </c>
      <c r="G1763" s="23">
        <v>536.70000000000005</v>
      </c>
      <c r="H1763" s="23">
        <v>5.66</v>
      </c>
      <c r="I1763" s="13">
        <f t="shared" si="27"/>
        <v>2.5971115537848606</v>
      </c>
    </row>
    <row r="1764" spans="2:9">
      <c r="C1764" s="33">
        <v>2.5019999999999998</v>
      </c>
      <c r="D1764" s="23">
        <v>164.7</v>
      </c>
      <c r="E1764" s="23">
        <v>104.1</v>
      </c>
      <c r="F1764" s="23">
        <v>40.159999999999997</v>
      </c>
      <c r="G1764" s="23">
        <v>536</v>
      </c>
      <c r="H1764" s="23">
        <v>5.5</v>
      </c>
      <c r="I1764" s="13">
        <f t="shared" si="27"/>
        <v>2.5921314741035859</v>
      </c>
    </row>
    <row r="1765" spans="2:9">
      <c r="C1765" s="33">
        <v>2.5270000000000001</v>
      </c>
      <c r="D1765" s="23">
        <v>147.1</v>
      </c>
      <c r="E1765" s="23">
        <v>104</v>
      </c>
      <c r="F1765" s="23">
        <v>40.26</v>
      </c>
      <c r="G1765" s="23">
        <v>531.6</v>
      </c>
      <c r="H1765" s="23">
        <v>5.05</v>
      </c>
      <c r="I1765" s="13">
        <f t="shared" si="27"/>
        <v>2.5832091405861899</v>
      </c>
    </row>
    <row r="1766" spans="2:9">
      <c r="C1766" s="33">
        <v>2.536</v>
      </c>
      <c r="D1766" s="23">
        <v>152.30000000000001</v>
      </c>
      <c r="E1766" s="23">
        <v>104.3</v>
      </c>
      <c r="F1766" s="23">
        <v>40.630000000000003</v>
      </c>
      <c r="G1766" s="23">
        <v>528.4</v>
      </c>
      <c r="H1766" s="23">
        <v>5.08</v>
      </c>
      <c r="I1766" s="13">
        <f t="shared" si="27"/>
        <v>2.5670686684715727</v>
      </c>
    </row>
    <row r="1767" spans="2:9">
      <c r="C1767" s="33">
        <v>2.5329999999999999</v>
      </c>
      <c r="D1767" s="23">
        <v>141</v>
      </c>
      <c r="E1767" s="23">
        <v>104.5</v>
      </c>
      <c r="F1767" s="23">
        <v>40.5</v>
      </c>
      <c r="G1767" s="23">
        <v>530.79999999999995</v>
      </c>
      <c r="H1767" s="23">
        <v>5.23</v>
      </c>
      <c r="I1767" s="13">
        <f t="shared" si="27"/>
        <v>2.5802469135802468</v>
      </c>
    </row>
    <row r="1768" spans="2:9">
      <c r="C1768" s="33">
        <v>2.5289999999999999</v>
      </c>
      <c r="D1768" s="23">
        <v>142.1</v>
      </c>
      <c r="E1768" s="23">
        <v>104.3</v>
      </c>
      <c r="F1768" s="23">
        <v>40.31</v>
      </c>
      <c r="G1768" s="23">
        <v>531.70000000000005</v>
      </c>
      <c r="H1768" s="23">
        <v>5.48</v>
      </c>
      <c r="I1768" s="13">
        <f t="shared" si="27"/>
        <v>2.5874472835524682</v>
      </c>
    </row>
    <row r="1769" spans="2:9">
      <c r="C1769" s="33">
        <v>2.5270000000000001</v>
      </c>
      <c r="D1769" s="23">
        <v>168.9</v>
      </c>
      <c r="E1769" s="23">
        <v>104.6</v>
      </c>
      <c r="F1769" s="23">
        <v>40.33</v>
      </c>
      <c r="G1769" s="23">
        <v>534.29999999999995</v>
      </c>
      <c r="H1769" s="23">
        <v>4.92</v>
      </c>
      <c r="I1769" s="13">
        <f t="shared" si="27"/>
        <v>2.5936027770890155</v>
      </c>
    </row>
    <row r="1770" spans="2:9">
      <c r="C1770" s="33">
        <v>2.516</v>
      </c>
      <c r="D1770" s="23">
        <v>164.7</v>
      </c>
      <c r="E1770" s="23">
        <v>104.5</v>
      </c>
      <c r="F1770" s="23">
        <v>39.96</v>
      </c>
      <c r="G1770" s="23">
        <v>535.1</v>
      </c>
      <c r="H1770" s="23">
        <v>4.8600000000000003</v>
      </c>
      <c r="I1770" s="13">
        <f t="shared" si="27"/>
        <v>2.6151151151151151</v>
      </c>
    </row>
    <row r="1771" spans="2:9">
      <c r="C1771" s="33">
        <v>2.202</v>
      </c>
      <c r="D1771" s="23">
        <v>128.4</v>
      </c>
      <c r="E1771" s="23">
        <v>104.7</v>
      </c>
      <c r="F1771" s="23">
        <v>40.47</v>
      </c>
      <c r="G1771" s="23">
        <v>531.6</v>
      </c>
      <c r="H1771" s="23">
        <v>4.3449999999999998</v>
      </c>
      <c r="I1771" s="13">
        <f t="shared" si="27"/>
        <v>2.587101556708673</v>
      </c>
    </row>
    <row r="1772" spans="2:9">
      <c r="C1772" s="33">
        <v>2.5030000000000001</v>
      </c>
      <c r="D1772" s="23">
        <v>118</v>
      </c>
      <c r="E1772" s="23">
        <v>104.8</v>
      </c>
      <c r="F1772" s="23">
        <v>40.15</v>
      </c>
      <c r="G1772" s="23">
        <v>533.9</v>
      </c>
      <c r="H1772" s="23">
        <v>4.4359999999999999</v>
      </c>
      <c r="I1772" s="13">
        <f t="shared" si="27"/>
        <v>2.6102117061021173</v>
      </c>
    </row>
    <row r="1773" spans="2:9">
      <c r="C1773" s="33">
        <v>2.4820000000000002</v>
      </c>
      <c r="D1773" s="23">
        <v>118.9</v>
      </c>
      <c r="E1773" s="23">
        <v>104.4</v>
      </c>
      <c r="F1773" s="23">
        <v>40.26</v>
      </c>
      <c r="G1773" s="23">
        <v>533.5</v>
      </c>
      <c r="H1773" s="23">
        <v>5.05</v>
      </c>
      <c r="I1773" s="13">
        <f t="shared" si="27"/>
        <v>2.5931445603576755</v>
      </c>
    </row>
    <row r="1774" spans="2:9">
      <c r="C1774" s="33">
        <v>2.4710000000000001</v>
      </c>
      <c r="D1774" s="23">
        <v>130.9</v>
      </c>
      <c r="E1774" s="23">
        <v>104.2</v>
      </c>
      <c r="F1774" s="23">
        <v>40.15</v>
      </c>
      <c r="G1774" s="23">
        <v>534.6</v>
      </c>
      <c r="H1774" s="23">
        <v>5.08</v>
      </c>
      <c r="I1774" s="13">
        <f t="shared" si="27"/>
        <v>2.5952677459526776</v>
      </c>
    </row>
    <row r="1775" spans="2:9">
      <c r="C1775" s="33">
        <v>2.4820000000000002</v>
      </c>
      <c r="D1775" s="23">
        <v>164.9</v>
      </c>
      <c r="E1775" s="23">
        <v>104.3</v>
      </c>
      <c r="F1775" s="23">
        <v>40.24</v>
      </c>
      <c r="G1775" s="23">
        <v>537.29999999999995</v>
      </c>
      <c r="H1775" s="23">
        <v>4.7409999999999997</v>
      </c>
      <c r="I1775" s="13">
        <f t="shared" si="27"/>
        <v>2.5919483101391649</v>
      </c>
    </row>
    <row r="1776" spans="2:9">
      <c r="C1776" s="33">
        <v>2.5139999999999998</v>
      </c>
      <c r="D1776" s="23">
        <v>159.80000000000001</v>
      </c>
      <c r="E1776" s="23">
        <v>104.5</v>
      </c>
      <c r="F1776" s="23">
        <v>40.18</v>
      </c>
      <c r="G1776" s="23">
        <v>538.5</v>
      </c>
      <c r="H1776" s="23">
        <v>4.7080000000000002</v>
      </c>
      <c r="I1776" s="13">
        <f t="shared" si="27"/>
        <v>2.6007964161274266</v>
      </c>
    </row>
    <row r="1777" spans="2:9">
      <c r="C1777" s="33">
        <v>2.5139999999999998</v>
      </c>
      <c r="D1777" s="23">
        <v>136.80000000000001</v>
      </c>
      <c r="E1777" s="23">
        <v>104.2</v>
      </c>
      <c r="F1777" s="23">
        <v>40</v>
      </c>
      <c r="G1777" s="23">
        <v>534.4</v>
      </c>
      <c r="H1777" s="23">
        <v>5.0599999999999996</v>
      </c>
      <c r="I1777" s="13">
        <f t="shared" si="27"/>
        <v>2.605</v>
      </c>
    </row>
    <row r="1778" spans="2:9">
      <c r="C1778" s="33">
        <v>2.5329999999999999</v>
      </c>
      <c r="D1778" s="23">
        <v>149.80000000000001</v>
      </c>
      <c r="E1778" s="23">
        <v>104.1</v>
      </c>
      <c r="F1778" s="23">
        <v>40.369999999999997</v>
      </c>
      <c r="G1778" s="23">
        <v>538.79999999999995</v>
      </c>
      <c r="H1778" s="23">
        <v>4.93</v>
      </c>
      <c r="I1778" s="13">
        <f t="shared" si="27"/>
        <v>2.5786475105276194</v>
      </c>
    </row>
    <row r="1779" spans="2:9">
      <c r="C1779" s="33">
        <v>2.5409999999999999</v>
      </c>
      <c r="D1779" s="23">
        <v>148.6</v>
      </c>
      <c r="E1779" s="23">
        <v>103.9</v>
      </c>
      <c r="F1779" s="23">
        <v>40.92</v>
      </c>
      <c r="G1779" s="23">
        <v>532.29999999999995</v>
      </c>
      <c r="H1779" s="23">
        <v>5.01</v>
      </c>
      <c r="I1779" s="13">
        <f t="shared" si="27"/>
        <v>2.5391006842619745</v>
      </c>
    </row>
    <row r="1780" spans="2:9">
      <c r="C1780" s="33">
        <v>2.5289999999999999</v>
      </c>
      <c r="D1780" s="23">
        <v>130.30000000000001</v>
      </c>
      <c r="E1780" s="23">
        <v>104.2</v>
      </c>
      <c r="F1780" s="23">
        <v>40.549999999999997</v>
      </c>
      <c r="G1780" s="23">
        <v>535</v>
      </c>
      <c r="H1780" s="23">
        <v>5.47</v>
      </c>
      <c r="I1780" s="13">
        <f t="shared" si="27"/>
        <v>2.5696670776818746</v>
      </c>
    </row>
    <row r="1781" spans="2:9">
      <c r="C1781" s="33">
        <v>2.5059999999999998</v>
      </c>
      <c r="D1781" s="23">
        <v>158.5</v>
      </c>
      <c r="E1781" s="23">
        <v>104.8</v>
      </c>
      <c r="F1781" s="23">
        <v>40.369999999999997</v>
      </c>
      <c r="G1781" s="23">
        <v>536.29999999999995</v>
      </c>
      <c r="H1781" s="23">
        <v>5.74</v>
      </c>
      <c r="I1781" s="13">
        <f t="shared" si="27"/>
        <v>2.5959871191478823</v>
      </c>
    </row>
    <row r="1782" spans="2:9">
      <c r="B1782" s="35">
        <v>90</v>
      </c>
      <c r="C1782" s="36">
        <v>3.5259999999999998</v>
      </c>
      <c r="D1782" s="38">
        <v>146.19999999999999</v>
      </c>
      <c r="E1782" s="38">
        <v>91.42</v>
      </c>
      <c r="F1782" s="38">
        <v>39.86</v>
      </c>
      <c r="G1782" s="38">
        <v>421.8</v>
      </c>
      <c r="H1782" s="38">
        <v>5.141</v>
      </c>
      <c r="I1782" s="13">
        <f t="shared" si="27"/>
        <v>2.2935273457099852</v>
      </c>
    </row>
    <row r="1783" spans="2:9">
      <c r="C1783" s="33">
        <v>3.657</v>
      </c>
      <c r="D1783" s="23">
        <v>135.5</v>
      </c>
      <c r="E1783" s="23">
        <v>92.37</v>
      </c>
      <c r="F1783" s="23">
        <v>38.869999999999997</v>
      </c>
      <c r="G1783" s="23">
        <v>420.2</v>
      </c>
      <c r="H1783" s="23">
        <v>3.117</v>
      </c>
      <c r="I1783" s="13">
        <f t="shared" si="27"/>
        <v>2.3763828145099053</v>
      </c>
    </row>
    <row r="1784" spans="2:9">
      <c r="C1784" s="33">
        <v>3.637</v>
      </c>
      <c r="D1784" s="23">
        <v>157.69999999999999</v>
      </c>
      <c r="E1784" s="23">
        <v>92.76</v>
      </c>
      <c r="F1784" s="23">
        <v>38.479999999999997</v>
      </c>
      <c r="G1784" s="23">
        <v>419.6</v>
      </c>
      <c r="H1784" s="23">
        <v>3.5089999999999999</v>
      </c>
      <c r="I1784" s="13">
        <f t="shared" si="27"/>
        <v>2.4106029106029108</v>
      </c>
    </row>
    <row r="1785" spans="2:9">
      <c r="C1785" s="33">
        <v>3.5230000000000001</v>
      </c>
      <c r="D1785" s="23">
        <v>141.69999999999999</v>
      </c>
      <c r="E1785" s="23">
        <v>92.39</v>
      </c>
      <c r="F1785" s="23">
        <v>38.29</v>
      </c>
      <c r="G1785" s="23">
        <v>420.2</v>
      </c>
      <c r="H1785" s="23">
        <v>5.2169999999999996</v>
      </c>
      <c r="I1785" s="13">
        <f t="shared" si="27"/>
        <v>2.4129015408722907</v>
      </c>
    </row>
    <row r="1786" spans="2:9">
      <c r="C1786" s="33">
        <v>3.6160000000000001</v>
      </c>
      <c r="D1786" s="23">
        <v>122.8</v>
      </c>
      <c r="E1786" s="23">
        <v>91.8</v>
      </c>
      <c r="F1786" s="23">
        <v>38.090000000000003</v>
      </c>
      <c r="G1786" s="23">
        <v>423.5</v>
      </c>
      <c r="H1786" s="23">
        <v>5.2919999999999998</v>
      </c>
      <c r="I1786" s="13">
        <f t="shared" si="27"/>
        <v>2.4100813861906007</v>
      </c>
    </row>
    <row r="1787" spans="2:9">
      <c r="C1787" s="33">
        <v>3.5049999999999999</v>
      </c>
      <c r="D1787" s="23">
        <v>151.69999999999999</v>
      </c>
      <c r="E1787" s="23">
        <v>91.85</v>
      </c>
      <c r="F1787" s="23">
        <v>38.29</v>
      </c>
      <c r="G1787" s="23">
        <v>424.5</v>
      </c>
      <c r="H1787" s="23">
        <v>5.5839999999999996</v>
      </c>
      <c r="I1787" s="13">
        <f t="shared" si="27"/>
        <v>2.398798641943066</v>
      </c>
    </row>
    <row r="1788" spans="2:9">
      <c r="C1788" s="33">
        <v>3.3919999999999999</v>
      </c>
      <c r="D1788" s="23">
        <v>148</v>
      </c>
      <c r="E1788" s="23">
        <v>92.63</v>
      </c>
      <c r="F1788" s="23">
        <v>38.479999999999997</v>
      </c>
      <c r="G1788" s="23">
        <v>429</v>
      </c>
      <c r="H1788" s="23">
        <v>5.0659999999999998</v>
      </c>
      <c r="I1788" s="13">
        <f t="shared" si="27"/>
        <v>2.4072245322245323</v>
      </c>
    </row>
    <row r="1789" spans="2:9">
      <c r="C1789" s="33">
        <v>3.5</v>
      </c>
      <c r="D1789" s="23">
        <v>143.80000000000001</v>
      </c>
      <c r="E1789" s="23">
        <v>92.65</v>
      </c>
      <c r="F1789" s="23">
        <v>38.67</v>
      </c>
      <c r="G1789" s="23">
        <v>430</v>
      </c>
      <c r="H1789" s="23">
        <v>5.0410000000000004</v>
      </c>
      <c r="I1789" s="13">
        <f t="shared" si="27"/>
        <v>2.395914145332299</v>
      </c>
    </row>
    <row r="1790" spans="2:9">
      <c r="C1790" s="33">
        <v>3.64</v>
      </c>
      <c r="D1790" s="23">
        <v>115.2</v>
      </c>
      <c r="E1790" s="23">
        <v>91.9</v>
      </c>
      <c r="F1790" s="23">
        <v>38.869999999999997</v>
      </c>
      <c r="G1790" s="23">
        <v>424.3</v>
      </c>
      <c r="H1790" s="23">
        <v>4.6029999999999998</v>
      </c>
      <c r="I1790" s="13">
        <f t="shared" si="27"/>
        <v>2.3642912271674819</v>
      </c>
    </row>
    <row r="1791" spans="2:9">
      <c r="C1791" s="33">
        <v>3.3759999999999999</v>
      </c>
      <c r="D1791" s="23">
        <v>151.9</v>
      </c>
      <c r="E1791" s="23">
        <v>92.5</v>
      </c>
      <c r="F1791" s="23">
        <v>38.479999999999997</v>
      </c>
      <c r="G1791" s="23">
        <v>421.8</v>
      </c>
      <c r="H1791" s="23">
        <v>5.4320000000000004</v>
      </c>
      <c r="I1791" s="13">
        <f t="shared" si="27"/>
        <v>2.4038461538461542</v>
      </c>
    </row>
    <row r="1792" spans="2:9">
      <c r="C1792" s="33">
        <v>3.5649999999999999</v>
      </c>
      <c r="D1792" s="23">
        <v>125.3</v>
      </c>
      <c r="E1792" s="23">
        <v>92.32</v>
      </c>
      <c r="F1792" s="23">
        <v>38.28</v>
      </c>
      <c r="G1792" s="23">
        <v>419.5</v>
      </c>
      <c r="H1792" s="23">
        <v>5.5839999999999996</v>
      </c>
      <c r="I1792" s="13">
        <f t="shared" si="27"/>
        <v>2.4117032392894457</v>
      </c>
    </row>
    <row r="1793" spans="2:9">
      <c r="C1793" s="33">
        <v>3.375</v>
      </c>
      <c r="D1793" s="23">
        <v>125.5</v>
      </c>
      <c r="E1793" s="23">
        <v>92.18</v>
      </c>
      <c r="F1793" s="23">
        <v>38.29</v>
      </c>
      <c r="G1793" s="23">
        <v>421.5</v>
      </c>
      <c r="H1793" s="23">
        <v>4.6950000000000003</v>
      </c>
      <c r="I1793" s="13">
        <f t="shared" si="27"/>
        <v>2.4074170801775923</v>
      </c>
    </row>
    <row r="1794" spans="2:9">
      <c r="C1794" s="33">
        <v>3.3740000000000001</v>
      </c>
      <c r="D1794" s="23">
        <v>135.5</v>
      </c>
      <c r="E1794" s="23">
        <v>92.41</v>
      </c>
      <c r="F1794" s="23">
        <v>38.43</v>
      </c>
      <c r="G1794" s="23">
        <v>421.1</v>
      </c>
      <c r="H1794" s="23">
        <v>5.0410000000000004</v>
      </c>
      <c r="I1794" s="13">
        <f t="shared" si="27"/>
        <v>2.404631798074421</v>
      </c>
    </row>
    <row r="1795" spans="2:9">
      <c r="C1795" s="33">
        <v>3.3660000000000001</v>
      </c>
      <c r="D1795" s="23">
        <v>169.7</v>
      </c>
      <c r="E1795" s="23">
        <v>92.22</v>
      </c>
      <c r="F1795" s="23">
        <v>38.130000000000003</v>
      </c>
      <c r="G1795" s="23">
        <v>422.3</v>
      </c>
      <c r="H1795" s="23">
        <v>5.0659999999999998</v>
      </c>
      <c r="I1795" s="13">
        <f t="shared" ref="I1795:I1858" si="28">E1795/F1795</f>
        <v>2.4185680566483083</v>
      </c>
    </row>
    <row r="1796" spans="2:9">
      <c r="C1796" s="33">
        <v>3.3140000000000001</v>
      </c>
      <c r="D1796" s="23">
        <v>177.3</v>
      </c>
      <c r="E1796" s="23">
        <v>92.02</v>
      </c>
      <c r="F1796" s="23">
        <v>38.450000000000003</v>
      </c>
      <c r="G1796" s="23">
        <v>421.5</v>
      </c>
      <c r="H1796" s="23">
        <v>5.5839999999999996</v>
      </c>
      <c r="I1796" s="13">
        <f t="shared" si="28"/>
        <v>2.3932379713914171</v>
      </c>
    </row>
    <row r="1797" spans="2:9">
      <c r="C1797" s="33">
        <v>3.6160000000000001</v>
      </c>
      <c r="D1797" s="23">
        <v>122.8</v>
      </c>
      <c r="E1797" s="23">
        <v>92.48</v>
      </c>
      <c r="F1797" s="23">
        <v>38.33</v>
      </c>
      <c r="G1797" s="23">
        <v>420.3</v>
      </c>
      <c r="H1797" s="23">
        <v>5.0220000000000002</v>
      </c>
      <c r="I1797" s="13">
        <f t="shared" si="28"/>
        <v>2.4127315418732067</v>
      </c>
    </row>
    <row r="1798" spans="2:9">
      <c r="C1798" s="33">
        <v>3.64</v>
      </c>
      <c r="D1798" s="23">
        <v>135.5</v>
      </c>
      <c r="E1798" s="23">
        <v>92.68</v>
      </c>
      <c r="F1798" s="23">
        <v>38.520000000000003</v>
      </c>
      <c r="G1798" s="23">
        <v>422.4</v>
      </c>
      <c r="H1798" s="23">
        <v>5.8289999999999997</v>
      </c>
      <c r="I1798" s="13">
        <f t="shared" si="28"/>
        <v>2.4060228452751815</v>
      </c>
    </row>
    <row r="1799" spans="2:9">
      <c r="C1799" s="33">
        <v>3.657</v>
      </c>
      <c r="D1799" s="23">
        <v>145.5</v>
      </c>
      <c r="E1799" s="23">
        <v>92.19</v>
      </c>
      <c r="F1799" s="23">
        <v>38.909999999999997</v>
      </c>
      <c r="G1799" s="23">
        <v>424</v>
      </c>
      <c r="H1799" s="23">
        <v>4.7539999999999996</v>
      </c>
      <c r="I1799" s="13">
        <f t="shared" si="28"/>
        <v>2.3693138010794144</v>
      </c>
    </row>
    <row r="1800" spans="2:9">
      <c r="C1800" s="33">
        <v>3.6869999999999998</v>
      </c>
      <c r="D1800" s="23">
        <v>157.69999999999999</v>
      </c>
      <c r="E1800" s="23">
        <v>91.73</v>
      </c>
      <c r="F1800" s="23">
        <v>38.700000000000003</v>
      </c>
      <c r="G1800" s="23">
        <v>429</v>
      </c>
      <c r="H1800" s="23">
        <v>5.0659999999999998</v>
      </c>
      <c r="I1800" s="13">
        <f t="shared" si="28"/>
        <v>2.3702842377260982</v>
      </c>
    </row>
    <row r="1801" spans="2:9">
      <c r="C1801" s="33">
        <v>3.5379999999999998</v>
      </c>
      <c r="D1801" s="23">
        <v>182.6</v>
      </c>
      <c r="E1801" s="23">
        <v>92.36</v>
      </c>
      <c r="F1801" s="23">
        <v>38.909999999999997</v>
      </c>
      <c r="G1801" s="23">
        <v>430</v>
      </c>
      <c r="H1801" s="23">
        <v>4.8070000000000004</v>
      </c>
      <c r="I1801" s="13">
        <f t="shared" si="28"/>
        <v>2.3736828578771525</v>
      </c>
    </row>
    <row r="1802" spans="2:9">
      <c r="B1802" s="35">
        <v>91</v>
      </c>
      <c r="C1802" s="36">
        <v>3.048</v>
      </c>
      <c r="D1802" s="38">
        <v>118.71</v>
      </c>
      <c r="E1802" s="38">
        <v>90.48</v>
      </c>
      <c r="F1802" s="38">
        <v>42.96</v>
      </c>
      <c r="G1802" s="38">
        <v>479</v>
      </c>
      <c r="H1802" s="38">
        <v>4.8639999999999999</v>
      </c>
      <c r="I1802" s="13">
        <f t="shared" si="28"/>
        <v>2.1061452513966481</v>
      </c>
    </row>
    <row r="1803" spans="2:9">
      <c r="C1803" s="33">
        <v>3.0550000000000002</v>
      </c>
      <c r="D1803" s="23">
        <v>129.37</v>
      </c>
      <c r="E1803" s="23">
        <v>90.11</v>
      </c>
      <c r="F1803" s="23">
        <v>42.13</v>
      </c>
      <c r="G1803" s="23">
        <v>479.9</v>
      </c>
      <c r="H1803" s="23">
        <v>4.9420000000000002</v>
      </c>
      <c r="I1803" s="13">
        <f t="shared" si="28"/>
        <v>2.1388559221457393</v>
      </c>
    </row>
    <row r="1804" spans="2:9">
      <c r="C1804" s="33">
        <v>3.004</v>
      </c>
      <c r="D1804" s="23">
        <v>118.42</v>
      </c>
      <c r="E1804" s="23">
        <v>90.56</v>
      </c>
      <c r="F1804" s="23">
        <v>42.29</v>
      </c>
      <c r="G1804" s="23">
        <v>480.6</v>
      </c>
      <c r="H1804" s="23">
        <v>5.1130000000000004</v>
      </c>
      <c r="I1804" s="13">
        <f t="shared" si="28"/>
        <v>2.1414045873729015</v>
      </c>
    </row>
    <row r="1805" spans="2:9">
      <c r="C1805" s="33">
        <v>3.03</v>
      </c>
      <c r="D1805" s="23">
        <v>127.36</v>
      </c>
      <c r="E1805" s="23">
        <v>90.5</v>
      </c>
      <c r="F1805" s="23">
        <v>42.18</v>
      </c>
      <c r="G1805" s="23">
        <v>479.5</v>
      </c>
      <c r="H1805" s="23">
        <v>4.9989999999999997</v>
      </c>
      <c r="I1805" s="13">
        <f t="shared" si="28"/>
        <v>2.1455666192508298</v>
      </c>
    </row>
    <row r="1806" spans="2:9">
      <c r="C1806" s="33">
        <v>2.9609999999999999</v>
      </c>
      <c r="D1806" s="23">
        <v>119.7</v>
      </c>
      <c r="E1806" s="23">
        <v>90.45</v>
      </c>
      <c r="F1806" s="23">
        <v>42</v>
      </c>
      <c r="G1806" s="23">
        <v>480.4</v>
      </c>
      <c r="H1806" s="23">
        <v>4.9980000000000002</v>
      </c>
      <c r="I1806" s="13">
        <f t="shared" si="28"/>
        <v>2.1535714285714285</v>
      </c>
    </row>
    <row r="1807" spans="2:9">
      <c r="C1807" s="33">
        <v>2.9140000000000001</v>
      </c>
      <c r="D1807" s="23">
        <v>118.71</v>
      </c>
      <c r="E1807" s="23">
        <v>90.56</v>
      </c>
      <c r="F1807" s="23">
        <v>42.42</v>
      </c>
      <c r="G1807" s="23">
        <v>476.9</v>
      </c>
      <c r="H1807" s="23">
        <v>5.0780000000000003</v>
      </c>
      <c r="I1807" s="13">
        <f t="shared" si="28"/>
        <v>2.134842055634135</v>
      </c>
    </row>
    <row r="1808" spans="2:9">
      <c r="C1808" s="33">
        <v>3.01</v>
      </c>
      <c r="D1808" s="23">
        <v>120.97</v>
      </c>
      <c r="E1808" s="23">
        <v>90.63</v>
      </c>
      <c r="F1808" s="23">
        <v>42.59</v>
      </c>
      <c r="G1808" s="23">
        <v>478.7</v>
      </c>
      <c r="H1808" s="23">
        <v>5.0259999999999998</v>
      </c>
      <c r="I1808" s="13">
        <f t="shared" si="28"/>
        <v>2.1279643108710964</v>
      </c>
    </row>
    <row r="1809" spans="2:9">
      <c r="C1809" s="33">
        <v>2.8519999999999999</v>
      </c>
      <c r="D1809" s="23">
        <v>120.56</v>
      </c>
      <c r="E1809" s="23">
        <v>90.38</v>
      </c>
      <c r="F1809" s="23">
        <v>42.77</v>
      </c>
      <c r="G1809" s="23">
        <v>478.1</v>
      </c>
      <c r="H1809" s="23">
        <v>5.0540000000000003</v>
      </c>
      <c r="I1809" s="13">
        <f t="shared" si="28"/>
        <v>2.1131634323123683</v>
      </c>
    </row>
    <row r="1810" spans="2:9">
      <c r="C1810" s="33">
        <v>2.8730000000000002</v>
      </c>
      <c r="D1810" s="23">
        <v>122.94</v>
      </c>
      <c r="E1810" s="23">
        <v>90.02</v>
      </c>
      <c r="F1810" s="23">
        <v>42.58</v>
      </c>
      <c r="G1810" s="23">
        <v>477</v>
      </c>
      <c r="H1810" s="23">
        <v>5.1779999999999999</v>
      </c>
      <c r="I1810" s="13">
        <f t="shared" si="28"/>
        <v>2.1141380930014093</v>
      </c>
    </row>
    <row r="1811" spans="2:9">
      <c r="C1811" s="33">
        <v>2.8809999999999998</v>
      </c>
      <c r="D1811" s="23">
        <v>130.97</v>
      </c>
      <c r="E1811" s="23">
        <v>90.41</v>
      </c>
      <c r="F1811" s="23">
        <v>42.65</v>
      </c>
      <c r="G1811" s="23">
        <v>475.7</v>
      </c>
      <c r="H1811" s="23">
        <v>4.952</v>
      </c>
      <c r="I1811" s="13">
        <f t="shared" si="28"/>
        <v>2.1198124267291911</v>
      </c>
    </row>
    <row r="1812" spans="2:9">
      <c r="C1812" s="33">
        <v>2.8519999999999999</v>
      </c>
      <c r="D1812" s="23">
        <v>140</v>
      </c>
      <c r="E1812" s="23">
        <v>90.59</v>
      </c>
      <c r="F1812" s="23">
        <v>42.8</v>
      </c>
      <c r="G1812" s="23">
        <v>477.3</v>
      </c>
      <c r="H1812" s="23">
        <v>4.9269999999999996</v>
      </c>
      <c r="I1812" s="13">
        <f t="shared" si="28"/>
        <v>2.1165887850467291</v>
      </c>
    </row>
    <row r="1813" spans="2:9">
      <c r="C1813" s="33">
        <v>2.98</v>
      </c>
      <c r="D1813" s="23">
        <v>118.42</v>
      </c>
      <c r="E1813" s="23">
        <v>90.82</v>
      </c>
      <c r="F1813" s="23">
        <v>42.9</v>
      </c>
      <c r="G1813" s="23">
        <v>478.4</v>
      </c>
      <c r="H1813" s="23">
        <v>4.9859999999999998</v>
      </c>
      <c r="I1813" s="13">
        <f t="shared" si="28"/>
        <v>2.1170163170163168</v>
      </c>
    </row>
    <row r="1814" spans="2:9">
      <c r="C1814" s="33">
        <v>3.0169999999999999</v>
      </c>
      <c r="D1814" s="23">
        <v>131.52000000000001</v>
      </c>
      <c r="E1814" s="23">
        <v>90.17</v>
      </c>
      <c r="F1814" s="23">
        <v>42.73</v>
      </c>
      <c r="G1814" s="23">
        <v>478.6</v>
      </c>
      <c r="H1814" s="23">
        <v>4.9829999999999997</v>
      </c>
      <c r="I1814" s="13">
        <f t="shared" si="28"/>
        <v>2.110227006786801</v>
      </c>
    </row>
    <row r="1815" spans="2:9">
      <c r="C1815" s="33">
        <v>3.016</v>
      </c>
      <c r="D1815" s="23">
        <v>124.62</v>
      </c>
      <c r="E1815" s="23">
        <v>90.53</v>
      </c>
      <c r="F1815" s="23">
        <v>42.76</v>
      </c>
      <c r="G1815" s="23">
        <v>479</v>
      </c>
      <c r="H1815" s="23">
        <v>5.0629999999999997</v>
      </c>
      <c r="I1815" s="13">
        <f t="shared" si="28"/>
        <v>2.1171655753040226</v>
      </c>
    </row>
    <row r="1816" spans="2:9">
      <c r="C1816" s="33">
        <v>3.0139999999999998</v>
      </c>
      <c r="D1816" s="23">
        <v>121.69</v>
      </c>
      <c r="E1816" s="23">
        <v>90.99</v>
      </c>
      <c r="F1816" s="23">
        <v>43.07</v>
      </c>
      <c r="G1816" s="23">
        <v>480.2</v>
      </c>
      <c r="H1816" s="23">
        <v>4.9829999999999997</v>
      </c>
      <c r="I1816" s="13">
        <f t="shared" si="28"/>
        <v>2.1126073833294634</v>
      </c>
    </row>
    <row r="1817" spans="2:9">
      <c r="C1817" s="33">
        <v>3.0329999999999999</v>
      </c>
      <c r="D1817" s="23">
        <v>143</v>
      </c>
      <c r="E1817" s="23">
        <v>90.57</v>
      </c>
      <c r="F1817" s="23">
        <v>42.9</v>
      </c>
      <c r="G1817" s="23">
        <v>480.8</v>
      </c>
      <c r="H1817" s="23">
        <v>4.8639999999999999</v>
      </c>
      <c r="I1817" s="13">
        <f t="shared" si="28"/>
        <v>2.1111888111888111</v>
      </c>
    </row>
    <row r="1818" spans="2:9">
      <c r="C1818" s="33">
        <v>2.9649999999999999</v>
      </c>
      <c r="D1818" s="23">
        <v>141.4</v>
      </c>
      <c r="E1818" s="23">
        <v>90.63</v>
      </c>
      <c r="F1818" s="23">
        <v>42.8</v>
      </c>
      <c r="G1818" s="23">
        <v>480.5</v>
      </c>
      <c r="H1818" s="23">
        <v>4.968</v>
      </c>
      <c r="I1818" s="13">
        <f t="shared" si="28"/>
        <v>2.1175233644859812</v>
      </c>
    </row>
    <row r="1819" spans="2:9">
      <c r="C1819" s="33">
        <v>2.9670000000000001</v>
      </c>
      <c r="D1819" s="23">
        <v>126.28</v>
      </c>
      <c r="E1819" s="23">
        <v>90.84</v>
      </c>
      <c r="F1819" s="23">
        <v>42.54</v>
      </c>
      <c r="G1819" s="23">
        <v>479.7</v>
      </c>
      <c r="H1819" s="23">
        <v>4.9530000000000003</v>
      </c>
      <c r="I1819" s="13">
        <f t="shared" si="28"/>
        <v>2.13540197461213</v>
      </c>
    </row>
    <row r="1820" spans="2:9">
      <c r="C1820" s="33">
        <v>2.9980000000000002</v>
      </c>
      <c r="D1820" s="23">
        <v>125.34</v>
      </c>
      <c r="E1820" s="23">
        <v>90.66</v>
      </c>
      <c r="F1820" s="23">
        <v>42.2</v>
      </c>
      <c r="G1820" s="23">
        <v>477.5</v>
      </c>
      <c r="H1820" s="23">
        <v>4.9980000000000002</v>
      </c>
      <c r="I1820" s="13">
        <f t="shared" si="28"/>
        <v>2.1483412322274877</v>
      </c>
    </row>
    <row r="1821" spans="2:9">
      <c r="C1821" s="33">
        <v>2.992</v>
      </c>
      <c r="D1821" s="23">
        <v>121.69</v>
      </c>
      <c r="E1821" s="23">
        <v>90.6</v>
      </c>
      <c r="F1821" s="23">
        <v>42.65</v>
      </c>
      <c r="G1821" s="23">
        <v>480.4</v>
      </c>
      <c r="H1821" s="23">
        <v>5.0259999999999998</v>
      </c>
      <c r="I1821" s="13">
        <f t="shared" si="28"/>
        <v>2.1242672919109027</v>
      </c>
    </row>
    <row r="1822" spans="2:9">
      <c r="B1822" s="35">
        <v>92</v>
      </c>
      <c r="C1822" s="36">
        <v>2.2160000000000002</v>
      </c>
      <c r="D1822" s="38">
        <v>198</v>
      </c>
      <c r="E1822" s="38">
        <v>123.1</v>
      </c>
      <c r="F1822" s="38">
        <v>37.46</v>
      </c>
      <c r="G1822" s="38">
        <v>532.20000000000005</v>
      </c>
      <c r="H1822" s="38">
        <v>5.8179999999999996</v>
      </c>
      <c r="I1822" s="13">
        <f t="shared" si="28"/>
        <v>3.2861719167111585</v>
      </c>
    </row>
    <row r="1823" spans="2:9">
      <c r="C1823" s="33">
        <v>2.21</v>
      </c>
      <c r="D1823" s="23">
        <v>173.1</v>
      </c>
      <c r="E1823" s="23">
        <v>123.4</v>
      </c>
      <c r="F1823" s="23">
        <v>37.700000000000003</v>
      </c>
      <c r="G1823" s="23">
        <v>539.6</v>
      </c>
      <c r="H1823" s="23">
        <v>6.0579999999999998</v>
      </c>
      <c r="I1823" s="13">
        <f t="shared" si="28"/>
        <v>3.273209549071618</v>
      </c>
    </row>
    <row r="1824" spans="2:9">
      <c r="C1824" s="33">
        <v>2.2050000000000001</v>
      </c>
      <c r="D1824" s="23">
        <v>165.6</v>
      </c>
      <c r="E1824" s="23">
        <v>123.6</v>
      </c>
      <c r="F1824" s="23">
        <v>37.58</v>
      </c>
      <c r="G1824" s="23">
        <v>530.4</v>
      </c>
      <c r="H1824" s="23">
        <v>5.3579999999999997</v>
      </c>
      <c r="I1824" s="13">
        <f t="shared" si="28"/>
        <v>3.2889835018626927</v>
      </c>
    </row>
    <row r="1825" spans="3:9">
      <c r="C1825" s="33">
        <v>2.202</v>
      </c>
      <c r="D1825" s="23">
        <v>150.80000000000001</v>
      </c>
      <c r="E1825" s="23">
        <v>123.7</v>
      </c>
      <c r="F1825" s="23">
        <v>37.46</v>
      </c>
      <c r="G1825" s="23">
        <v>532.79999999999995</v>
      </c>
      <c r="H1825" s="23">
        <v>4.7380000000000004</v>
      </c>
      <c r="I1825" s="13">
        <f t="shared" si="28"/>
        <v>3.3021890016017084</v>
      </c>
    </row>
    <row r="1826" spans="3:9">
      <c r="C1826" s="33">
        <v>2.1859999999999999</v>
      </c>
      <c r="D1826" s="23">
        <v>179</v>
      </c>
      <c r="E1826" s="23">
        <v>123.5</v>
      </c>
      <c r="F1826" s="23">
        <v>37.880000000000003</v>
      </c>
      <c r="G1826" s="23">
        <v>533.6</v>
      </c>
      <c r="H1826" s="23">
        <v>5.4180000000000001</v>
      </c>
      <c r="I1826" s="13">
        <f t="shared" si="28"/>
        <v>3.2602956705385426</v>
      </c>
    </row>
    <row r="1827" spans="3:9">
      <c r="C1827" s="33">
        <v>2.177</v>
      </c>
      <c r="D1827" s="23">
        <v>198</v>
      </c>
      <c r="E1827" s="23">
        <v>123.8</v>
      </c>
      <c r="F1827" s="23">
        <v>37.53</v>
      </c>
      <c r="G1827" s="23">
        <v>534.20000000000005</v>
      </c>
      <c r="H1827" s="23">
        <v>5.3479999999999999</v>
      </c>
      <c r="I1827" s="13">
        <f t="shared" si="28"/>
        <v>3.2986943778310684</v>
      </c>
    </row>
    <row r="1828" spans="3:9">
      <c r="C1828" s="33">
        <v>2.1539999999999999</v>
      </c>
      <c r="D1828" s="23">
        <v>125.9</v>
      </c>
      <c r="E1828" s="23">
        <v>123.9</v>
      </c>
      <c r="F1828" s="23">
        <v>37.42</v>
      </c>
      <c r="G1828" s="23">
        <v>538</v>
      </c>
      <c r="H1828" s="23">
        <v>4.7880000000000003</v>
      </c>
      <c r="I1828" s="13">
        <f t="shared" si="28"/>
        <v>3.3110636023516835</v>
      </c>
    </row>
    <row r="1829" spans="3:9">
      <c r="C1829" s="33">
        <v>2.15</v>
      </c>
      <c r="D1829" s="23">
        <v>114.8</v>
      </c>
      <c r="E1829" s="23">
        <v>123</v>
      </c>
      <c r="F1829" s="23">
        <v>37.42</v>
      </c>
      <c r="G1829" s="23">
        <v>541.5</v>
      </c>
      <c r="H1829" s="23">
        <v>4.3879999999999999</v>
      </c>
      <c r="I1829" s="13">
        <f t="shared" si="28"/>
        <v>3.2870122928915015</v>
      </c>
    </row>
    <row r="1830" spans="3:9">
      <c r="C1830" s="33">
        <v>2.137</v>
      </c>
      <c r="D1830" s="23">
        <v>138</v>
      </c>
      <c r="E1830" s="23">
        <v>123.1</v>
      </c>
      <c r="F1830" s="23">
        <v>37.53</v>
      </c>
      <c r="G1830" s="23">
        <v>544.79999999999995</v>
      </c>
      <c r="H1830" s="23">
        <v>4.7380000000000004</v>
      </c>
      <c r="I1830" s="13">
        <f t="shared" si="28"/>
        <v>3.280042632560618</v>
      </c>
    </row>
    <row r="1831" spans="3:9">
      <c r="C1831" s="33">
        <v>2.0830000000000002</v>
      </c>
      <c r="D1831" s="23">
        <v>139</v>
      </c>
      <c r="E1831" s="23">
        <v>123.2</v>
      </c>
      <c r="F1831" s="23">
        <v>37.65</v>
      </c>
      <c r="G1831" s="23">
        <v>549</v>
      </c>
      <c r="H1831" s="23">
        <v>4.5179999999999998</v>
      </c>
      <c r="I1831" s="13">
        <f t="shared" si="28"/>
        <v>3.2722443559096948</v>
      </c>
    </row>
    <row r="1832" spans="3:9">
      <c r="C1832" s="33">
        <v>2.15</v>
      </c>
      <c r="D1832" s="23">
        <v>123.1</v>
      </c>
      <c r="E1832" s="23">
        <v>123.3</v>
      </c>
      <c r="F1832" s="23">
        <v>37.99</v>
      </c>
      <c r="G1832" s="23">
        <v>533.6</v>
      </c>
      <c r="H1832" s="23">
        <v>5.2380000000000004</v>
      </c>
      <c r="I1832" s="13">
        <f t="shared" si="28"/>
        <v>3.2455909449855223</v>
      </c>
    </row>
    <row r="1833" spans="3:9">
      <c r="C1833" s="33">
        <v>2.1669999999999998</v>
      </c>
      <c r="D1833" s="23">
        <v>145</v>
      </c>
      <c r="E1833" s="23">
        <v>123.5</v>
      </c>
      <c r="F1833" s="23">
        <v>37.72</v>
      </c>
      <c r="G1833" s="23">
        <v>536.1</v>
      </c>
      <c r="H1833" s="23">
        <v>4.718</v>
      </c>
      <c r="I1833" s="13">
        <f t="shared" si="28"/>
        <v>3.2741251325556733</v>
      </c>
    </row>
    <row r="1834" spans="3:9">
      <c r="C1834" s="33">
        <v>2.1629999999999998</v>
      </c>
      <c r="D1834" s="23">
        <v>146.80000000000001</v>
      </c>
      <c r="E1834" s="23">
        <v>123.6</v>
      </c>
      <c r="F1834" s="23">
        <v>37.619999999999997</v>
      </c>
      <c r="G1834" s="23">
        <v>536.4</v>
      </c>
      <c r="H1834" s="23">
        <v>4.758</v>
      </c>
      <c r="I1834" s="13">
        <f t="shared" si="28"/>
        <v>3.2854864433811803</v>
      </c>
    </row>
    <row r="1835" spans="3:9">
      <c r="C1835" s="33">
        <v>2.1779999999999999</v>
      </c>
      <c r="D1835" s="23">
        <v>177.6</v>
      </c>
      <c r="E1835" s="23">
        <v>123.5</v>
      </c>
      <c r="F1835" s="23">
        <v>37.14</v>
      </c>
      <c r="G1835" s="23">
        <v>538</v>
      </c>
      <c r="H1835" s="23">
        <v>4.3879999999999999</v>
      </c>
      <c r="I1835" s="13">
        <f t="shared" si="28"/>
        <v>3.3252557889068388</v>
      </c>
    </row>
    <row r="1836" spans="3:9">
      <c r="C1836" s="33">
        <v>2.1619999999999999</v>
      </c>
      <c r="D1836" s="23">
        <v>164.7</v>
      </c>
      <c r="E1836" s="23">
        <v>123.9</v>
      </c>
      <c r="F1836" s="23">
        <v>37.49</v>
      </c>
      <c r="G1836" s="23">
        <v>535.6</v>
      </c>
      <c r="H1836" s="23">
        <v>4.8979999999999997</v>
      </c>
      <c r="I1836" s="13">
        <f t="shared" si="28"/>
        <v>3.3048813016804481</v>
      </c>
    </row>
    <row r="1837" spans="3:9">
      <c r="C1837" s="33">
        <v>2.1880000000000002</v>
      </c>
      <c r="D1837" s="23">
        <v>168</v>
      </c>
      <c r="E1837" s="23">
        <v>124.1</v>
      </c>
      <c r="F1837" s="23">
        <v>37.9</v>
      </c>
      <c r="G1837" s="23">
        <v>534.4</v>
      </c>
      <c r="H1837" s="23">
        <v>4.7880000000000003</v>
      </c>
      <c r="I1837" s="13">
        <f t="shared" si="28"/>
        <v>3.2744063324538257</v>
      </c>
    </row>
    <row r="1838" spans="3:9">
      <c r="C1838" s="33">
        <v>2.2130000000000001</v>
      </c>
      <c r="D1838" s="23">
        <v>123.4</v>
      </c>
      <c r="E1838" s="23">
        <v>124</v>
      </c>
      <c r="F1838" s="23">
        <v>37.880000000000003</v>
      </c>
      <c r="G1838" s="23">
        <v>534.70000000000005</v>
      </c>
      <c r="H1838" s="23">
        <v>5.3280000000000003</v>
      </c>
      <c r="I1838" s="13">
        <f t="shared" si="28"/>
        <v>3.2734952481520589</v>
      </c>
    </row>
    <row r="1839" spans="3:9">
      <c r="C1839" s="33">
        <v>2.2109999999999999</v>
      </c>
      <c r="D1839" s="23">
        <v>126.4</v>
      </c>
      <c r="E1839" s="23">
        <v>123.9</v>
      </c>
      <c r="F1839" s="23">
        <v>37.74</v>
      </c>
      <c r="G1839" s="23">
        <v>532.9</v>
      </c>
      <c r="H1839" s="23">
        <v>5.4779999999999998</v>
      </c>
      <c r="I1839" s="13">
        <f t="shared" si="28"/>
        <v>3.2829888712241653</v>
      </c>
    </row>
    <row r="1840" spans="3:9">
      <c r="C1840" s="33">
        <v>2.2160000000000002</v>
      </c>
      <c r="D1840" s="23">
        <v>195</v>
      </c>
      <c r="E1840" s="23">
        <v>123.7</v>
      </c>
      <c r="F1840" s="23">
        <v>37.72</v>
      </c>
      <c r="G1840" s="23">
        <v>532.20000000000005</v>
      </c>
      <c r="H1840" s="23">
        <v>4.3879999999999999</v>
      </c>
      <c r="I1840" s="13">
        <f t="shared" si="28"/>
        <v>3.2794273594909864</v>
      </c>
    </row>
    <row r="1841" spans="2:9">
      <c r="C1841" s="33">
        <v>2.2069999999999999</v>
      </c>
      <c r="D1841" s="23">
        <v>173.1</v>
      </c>
      <c r="E1841" s="23">
        <v>124.5</v>
      </c>
      <c r="F1841" s="23">
        <v>37.58</v>
      </c>
      <c r="G1841" s="23">
        <v>530.4</v>
      </c>
      <c r="H1841" s="23">
        <v>4.7880000000000003</v>
      </c>
      <c r="I1841" s="13">
        <f t="shared" si="28"/>
        <v>3.3129324108568388</v>
      </c>
    </row>
    <row r="1842" spans="2:9">
      <c r="B1842" s="35">
        <v>93</v>
      </c>
      <c r="C1842" s="36">
        <v>2.839</v>
      </c>
      <c r="D1842" s="38">
        <v>122.74</v>
      </c>
      <c r="E1842" s="38">
        <v>116.3</v>
      </c>
      <c r="F1842" s="38">
        <v>43.37</v>
      </c>
      <c r="G1842" s="38">
        <v>499.5</v>
      </c>
      <c r="H1842" s="38">
        <v>4.0839999999999996</v>
      </c>
      <c r="I1842" s="13">
        <f t="shared" si="28"/>
        <v>2.6815771270463453</v>
      </c>
    </row>
    <row r="1843" spans="2:9">
      <c r="C1843" s="33">
        <v>2.8490000000000002</v>
      </c>
      <c r="D1843" s="23">
        <v>126.19</v>
      </c>
      <c r="E1843" s="23">
        <v>116.2</v>
      </c>
      <c r="F1843" s="23">
        <v>43.18</v>
      </c>
      <c r="G1843" s="23">
        <v>500.4</v>
      </c>
      <c r="H1843" s="23">
        <v>4.0590000000000002</v>
      </c>
      <c r="I1843" s="13">
        <f t="shared" si="28"/>
        <v>2.6910606762389997</v>
      </c>
    </row>
    <row r="1844" spans="2:9">
      <c r="C1844" s="33">
        <v>2.8650000000000002</v>
      </c>
      <c r="D1844" s="23">
        <v>125.47</v>
      </c>
      <c r="E1844" s="23">
        <v>117.2</v>
      </c>
      <c r="F1844" s="23">
        <v>43.31</v>
      </c>
      <c r="G1844" s="23">
        <v>508.3</v>
      </c>
      <c r="H1844" s="23">
        <v>4.3330000000000002</v>
      </c>
      <c r="I1844" s="13">
        <f t="shared" si="28"/>
        <v>2.7060725005772337</v>
      </c>
    </row>
    <row r="1845" spans="2:9">
      <c r="C1845" s="33">
        <v>2.843</v>
      </c>
      <c r="D1845" s="23">
        <v>150.4</v>
      </c>
      <c r="E1845" s="23">
        <v>117</v>
      </c>
      <c r="F1845" s="23">
        <v>43.84</v>
      </c>
      <c r="G1845" s="23">
        <v>505.4</v>
      </c>
      <c r="H1845" s="23">
        <v>4.3789999999999996</v>
      </c>
      <c r="I1845" s="13">
        <f t="shared" si="28"/>
        <v>2.6687956204379559</v>
      </c>
    </row>
    <row r="1846" spans="2:9">
      <c r="C1846" s="33">
        <v>2.8170000000000002</v>
      </c>
      <c r="D1846" s="23">
        <v>163.19999999999999</v>
      </c>
      <c r="E1846" s="23">
        <v>116.9</v>
      </c>
      <c r="F1846" s="23">
        <v>43.26</v>
      </c>
      <c r="G1846" s="23">
        <v>501.6</v>
      </c>
      <c r="H1846" s="23">
        <v>4.5439999999999996</v>
      </c>
      <c r="I1846" s="13">
        <f t="shared" si="28"/>
        <v>2.7022653721682852</v>
      </c>
    </row>
    <row r="1847" spans="2:9">
      <c r="C1847" s="33">
        <v>2.8250000000000002</v>
      </c>
      <c r="D1847" s="23">
        <v>153</v>
      </c>
      <c r="E1847" s="23">
        <v>116.6</v>
      </c>
      <c r="F1847" s="23">
        <v>43.24</v>
      </c>
      <c r="G1847" s="23">
        <v>500.1</v>
      </c>
      <c r="H1847" s="23">
        <v>4.5350000000000001</v>
      </c>
      <c r="I1847" s="13">
        <f t="shared" si="28"/>
        <v>2.6965772432932469</v>
      </c>
    </row>
    <row r="1848" spans="2:9">
      <c r="C1848" s="33">
        <v>2.7909999999999999</v>
      </c>
      <c r="D1848" s="23">
        <v>141.30000000000001</v>
      </c>
      <c r="E1848" s="23">
        <v>116.7</v>
      </c>
      <c r="F1848" s="23">
        <v>43.37</v>
      </c>
      <c r="G1848" s="23">
        <v>499</v>
      </c>
      <c r="H1848" s="23">
        <v>4.7530000000000001</v>
      </c>
      <c r="I1848" s="13">
        <f t="shared" si="28"/>
        <v>2.6908000922296522</v>
      </c>
    </row>
    <row r="1849" spans="2:9">
      <c r="C1849" s="33">
        <v>2.7850000000000001</v>
      </c>
      <c r="D1849" s="23">
        <v>131.72</v>
      </c>
      <c r="E1849" s="23">
        <v>117</v>
      </c>
      <c r="F1849" s="23">
        <v>43.39</v>
      </c>
      <c r="G1849" s="23">
        <v>499.4</v>
      </c>
      <c r="H1849" s="23">
        <v>4.4859999999999998</v>
      </c>
      <c r="I1849" s="13">
        <f t="shared" si="28"/>
        <v>2.696473841899055</v>
      </c>
    </row>
    <row r="1850" spans="2:9">
      <c r="C1850" s="33">
        <v>2.75</v>
      </c>
      <c r="D1850" s="23">
        <v>123.02</v>
      </c>
      <c r="E1850" s="23">
        <v>116.9</v>
      </c>
      <c r="F1850" s="23">
        <v>43.53</v>
      </c>
      <c r="G1850" s="23">
        <v>495.1</v>
      </c>
      <c r="H1850" s="23">
        <v>4.7279999999999998</v>
      </c>
      <c r="I1850" s="13">
        <f t="shared" si="28"/>
        <v>2.6855042499425683</v>
      </c>
    </row>
    <row r="1851" spans="2:9">
      <c r="C1851" s="33">
        <v>2.6989999999999998</v>
      </c>
      <c r="D1851" s="23">
        <v>122.74</v>
      </c>
      <c r="E1851" s="23">
        <v>117.2</v>
      </c>
      <c r="F1851" s="23">
        <v>43.41</v>
      </c>
      <c r="G1851" s="23">
        <v>495.6</v>
      </c>
      <c r="H1851" s="23">
        <v>4.8129999999999997</v>
      </c>
      <c r="I1851" s="13">
        <f t="shared" si="28"/>
        <v>2.6998387468325276</v>
      </c>
    </row>
    <row r="1852" spans="2:9">
      <c r="C1852" s="33">
        <v>2.6459999999999999</v>
      </c>
      <c r="D1852" s="23">
        <v>125.85</v>
      </c>
      <c r="E1852" s="23">
        <v>117.3</v>
      </c>
      <c r="F1852" s="23">
        <v>43.12</v>
      </c>
      <c r="G1852" s="23">
        <v>495.5</v>
      </c>
      <c r="H1852" s="23">
        <v>4.5830000000000002</v>
      </c>
      <c r="I1852" s="13">
        <f t="shared" si="28"/>
        <v>2.7203153988868274</v>
      </c>
    </row>
    <row r="1853" spans="2:9">
      <c r="C1853" s="33">
        <v>2.73</v>
      </c>
      <c r="D1853" s="23">
        <v>130.63999999999999</v>
      </c>
      <c r="E1853" s="23">
        <v>117.4</v>
      </c>
      <c r="F1853" s="23">
        <v>43.31</v>
      </c>
      <c r="G1853" s="23">
        <v>495.4</v>
      </c>
      <c r="H1853" s="23">
        <v>4.399</v>
      </c>
      <c r="I1853" s="13">
        <f t="shared" si="28"/>
        <v>2.7106903717386284</v>
      </c>
    </row>
    <row r="1854" spans="2:9">
      <c r="C1854" s="33">
        <v>2.7850000000000001</v>
      </c>
      <c r="D1854" s="23">
        <v>129.06</v>
      </c>
      <c r="E1854" s="23">
        <v>117.5</v>
      </c>
      <c r="F1854" s="23">
        <v>43.17</v>
      </c>
      <c r="G1854" s="23">
        <v>497.9</v>
      </c>
      <c r="H1854" s="23">
        <v>4.351</v>
      </c>
      <c r="I1854" s="13">
        <f t="shared" si="28"/>
        <v>2.7217975445911513</v>
      </c>
    </row>
    <row r="1855" spans="2:9">
      <c r="C1855" s="33">
        <v>2.8039999999999998</v>
      </c>
      <c r="D1855" s="23">
        <v>128.38</v>
      </c>
      <c r="E1855" s="23">
        <v>117.6</v>
      </c>
      <c r="F1855" s="23">
        <v>43</v>
      </c>
      <c r="G1855" s="23">
        <v>497.6</v>
      </c>
      <c r="H1855" s="23">
        <v>4.2210000000000001</v>
      </c>
      <c r="I1855" s="13">
        <f t="shared" si="28"/>
        <v>2.7348837209302324</v>
      </c>
    </row>
    <row r="1856" spans="2:9">
      <c r="C1856" s="33">
        <v>2.839</v>
      </c>
      <c r="D1856" s="23">
        <v>144.88</v>
      </c>
      <c r="E1856" s="23">
        <v>117.7</v>
      </c>
      <c r="F1856" s="23">
        <v>43.55</v>
      </c>
      <c r="G1856" s="23">
        <v>498.6</v>
      </c>
      <c r="H1856" s="23">
        <v>4.1829999999999998</v>
      </c>
      <c r="I1856" s="13">
        <f t="shared" si="28"/>
        <v>2.7026406429391505</v>
      </c>
    </row>
    <row r="1857" spans="2:9">
      <c r="C1857" s="33">
        <v>2.8450000000000002</v>
      </c>
      <c r="D1857" s="23">
        <v>137.41999999999999</v>
      </c>
      <c r="E1857" s="23">
        <v>117.4</v>
      </c>
      <c r="F1857" s="23">
        <v>43.41</v>
      </c>
      <c r="G1857" s="23">
        <v>500.1</v>
      </c>
      <c r="H1857" s="23">
        <v>4.2039999999999997</v>
      </c>
      <c r="I1857" s="13">
        <f t="shared" si="28"/>
        <v>2.7044459801888969</v>
      </c>
    </row>
    <row r="1858" spans="2:9">
      <c r="C1858" s="33">
        <v>2.8650000000000002</v>
      </c>
      <c r="D1858" s="23">
        <v>129.15</v>
      </c>
      <c r="E1858" s="23">
        <v>117.5</v>
      </c>
      <c r="F1858" s="23">
        <v>43.65</v>
      </c>
      <c r="G1858" s="23">
        <v>501.6</v>
      </c>
      <c r="H1858" s="23">
        <v>4.2539999999999996</v>
      </c>
      <c r="I1858" s="13">
        <f t="shared" si="28"/>
        <v>2.6918671248568158</v>
      </c>
    </row>
    <row r="1859" spans="2:9">
      <c r="C1859" s="33">
        <v>2.8479999999999999</v>
      </c>
      <c r="D1859" s="23">
        <v>132.41</v>
      </c>
      <c r="E1859" s="23">
        <v>117.6</v>
      </c>
      <c r="F1859" s="23">
        <v>43.46</v>
      </c>
      <c r="G1859" s="23">
        <v>502.6</v>
      </c>
      <c r="H1859" s="23">
        <v>4.5</v>
      </c>
      <c r="I1859" s="13">
        <f t="shared" ref="I1859:I1922" si="29">E1859/F1859</f>
        <v>2.7059364933271972</v>
      </c>
    </row>
    <row r="1860" spans="2:9">
      <c r="C1860" s="33">
        <v>2.8109999999999999</v>
      </c>
      <c r="D1860" s="23">
        <v>140.12</v>
      </c>
      <c r="E1860" s="23">
        <v>117.1</v>
      </c>
      <c r="F1860" s="23">
        <v>43.58</v>
      </c>
      <c r="G1860" s="23">
        <v>503.6</v>
      </c>
      <c r="H1860" s="23">
        <v>4.5270000000000001</v>
      </c>
      <c r="I1860" s="13">
        <f t="shared" si="29"/>
        <v>2.6870123910050481</v>
      </c>
    </row>
    <row r="1861" spans="2:9">
      <c r="C1861" s="33">
        <v>2.78</v>
      </c>
      <c r="D1861" s="23">
        <v>150.80000000000001</v>
      </c>
      <c r="E1861" s="23">
        <v>117.3</v>
      </c>
      <c r="F1861" s="23">
        <v>43.43</v>
      </c>
      <c r="G1861" s="23">
        <v>502.7</v>
      </c>
      <c r="H1861" s="23">
        <v>4.6230000000000002</v>
      </c>
      <c r="I1861" s="13">
        <f t="shared" si="29"/>
        <v>2.7008979967764217</v>
      </c>
    </row>
    <row r="1862" spans="2:9">
      <c r="B1862" s="35">
        <v>94</v>
      </c>
      <c r="C1862" s="36">
        <v>2.2959999999999998</v>
      </c>
      <c r="D1862" s="38">
        <v>191.3</v>
      </c>
      <c r="E1862" s="38">
        <v>85.46</v>
      </c>
      <c r="F1862" s="38">
        <v>33.81</v>
      </c>
      <c r="G1862" s="38">
        <v>548.70000000000005</v>
      </c>
      <c r="H1862" s="38">
        <v>4.5869999999999997</v>
      </c>
      <c r="I1862" s="13">
        <f t="shared" si="29"/>
        <v>2.5276545400769002</v>
      </c>
    </row>
    <row r="1863" spans="2:9">
      <c r="C1863" s="33">
        <v>2.3130000000000002</v>
      </c>
      <c r="D1863" s="23">
        <v>185.7</v>
      </c>
      <c r="E1863" s="23">
        <v>85.53</v>
      </c>
      <c r="F1863" s="23">
        <v>33.94</v>
      </c>
      <c r="G1863" s="23">
        <v>546.1</v>
      </c>
      <c r="H1863" s="23">
        <v>4.8330000000000002</v>
      </c>
      <c r="I1863" s="13">
        <f t="shared" si="29"/>
        <v>2.520035356511491</v>
      </c>
    </row>
    <row r="1864" spans="2:9">
      <c r="C1864" s="33">
        <v>2.327</v>
      </c>
      <c r="D1864" s="23">
        <v>200.2</v>
      </c>
      <c r="E1864" s="23">
        <v>85.71</v>
      </c>
      <c r="F1864" s="23">
        <v>33.33</v>
      </c>
      <c r="G1864" s="23">
        <v>544.1</v>
      </c>
      <c r="H1864" s="23">
        <v>4.7930000000000001</v>
      </c>
      <c r="I1864" s="13">
        <f t="shared" si="29"/>
        <v>2.5715571557155714</v>
      </c>
    </row>
    <row r="1865" spans="2:9">
      <c r="C1865" s="33">
        <v>2.3359999999999999</v>
      </c>
      <c r="D1865" s="23">
        <v>214.7</v>
      </c>
      <c r="E1865" s="23">
        <v>85.7</v>
      </c>
      <c r="F1865" s="23">
        <v>33.270000000000003</v>
      </c>
      <c r="G1865" s="23">
        <v>536.5</v>
      </c>
      <c r="H1865" s="23">
        <v>4.859</v>
      </c>
      <c r="I1865" s="13">
        <f t="shared" si="29"/>
        <v>2.5758941989780579</v>
      </c>
    </row>
    <row r="1866" spans="2:9">
      <c r="C1866" s="33">
        <v>2.2530000000000001</v>
      </c>
      <c r="D1866" s="23">
        <v>216</v>
      </c>
      <c r="E1866" s="23">
        <v>86.07</v>
      </c>
      <c r="F1866" s="23">
        <v>33.450000000000003</v>
      </c>
      <c r="G1866" s="23">
        <v>535.70000000000005</v>
      </c>
      <c r="H1866" s="23">
        <v>4.9930000000000003</v>
      </c>
      <c r="I1866" s="13">
        <f t="shared" si="29"/>
        <v>2.573094170403587</v>
      </c>
    </row>
    <row r="1867" spans="2:9">
      <c r="C1867" s="33">
        <v>2.2709999999999999</v>
      </c>
      <c r="D1867" s="23">
        <v>210.7</v>
      </c>
      <c r="E1867" s="23">
        <v>85.82</v>
      </c>
      <c r="F1867" s="23">
        <v>33.76</v>
      </c>
      <c r="G1867" s="23">
        <v>536.4</v>
      </c>
      <c r="H1867" s="23">
        <v>5.0830000000000002</v>
      </c>
      <c r="I1867" s="13">
        <f t="shared" si="29"/>
        <v>2.5420616113744074</v>
      </c>
    </row>
    <row r="1868" spans="2:9">
      <c r="C1868" s="33">
        <v>2.2400000000000002</v>
      </c>
      <c r="D1868" s="23">
        <v>210.3</v>
      </c>
      <c r="E1868" s="23">
        <v>85.46</v>
      </c>
      <c r="F1868" s="23">
        <v>33.82</v>
      </c>
      <c r="G1868" s="23">
        <v>538</v>
      </c>
      <c r="H1868" s="23">
        <v>5.1890000000000001</v>
      </c>
      <c r="I1868" s="13">
        <f t="shared" si="29"/>
        <v>2.5269071555292726</v>
      </c>
    </row>
    <row r="1869" spans="2:9">
      <c r="C1869" s="33">
        <v>2.1960000000000002</v>
      </c>
      <c r="D1869" s="23">
        <v>183</v>
      </c>
      <c r="E1869" s="23">
        <v>85.33</v>
      </c>
      <c r="F1869" s="23">
        <v>33.94</v>
      </c>
      <c r="G1869" s="23">
        <v>538.6</v>
      </c>
      <c r="H1869" s="23">
        <v>5.25</v>
      </c>
      <c r="I1869" s="13">
        <f t="shared" si="29"/>
        <v>2.5141426045963464</v>
      </c>
    </row>
    <row r="1870" spans="2:9">
      <c r="C1870" s="33">
        <v>2.13</v>
      </c>
      <c r="D1870" s="23">
        <v>176.5</v>
      </c>
      <c r="E1870" s="23">
        <v>85.88</v>
      </c>
      <c r="F1870" s="23">
        <v>33.58</v>
      </c>
      <c r="G1870" s="23">
        <v>539</v>
      </c>
      <c r="H1870" s="23">
        <v>5.14</v>
      </c>
      <c r="I1870" s="13">
        <f t="shared" si="29"/>
        <v>2.5574746873138774</v>
      </c>
    </row>
    <row r="1871" spans="2:9">
      <c r="C1871" s="33">
        <v>2.1840000000000002</v>
      </c>
      <c r="D1871" s="23">
        <v>175.1</v>
      </c>
      <c r="E1871" s="23">
        <v>86.55</v>
      </c>
      <c r="F1871" s="23">
        <v>33.39</v>
      </c>
      <c r="G1871" s="23">
        <v>540.5</v>
      </c>
      <c r="H1871" s="23">
        <v>5.0209999999999999</v>
      </c>
      <c r="I1871" s="13">
        <f t="shared" si="29"/>
        <v>2.5920934411500447</v>
      </c>
    </row>
    <row r="1872" spans="2:9">
      <c r="C1872" s="33">
        <v>2.1440000000000001</v>
      </c>
      <c r="D1872" s="23">
        <v>158.80000000000001</v>
      </c>
      <c r="E1872" s="23">
        <v>86.19</v>
      </c>
      <c r="F1872" s="23">
        <v>33.090000000000003</v>
      </c>
      <c r="G1872" s="23">
        <v>544.1</v>
      </c>
      <c r="H1872" s="23">
        <v>4.7210000000000001</v>
      </c>
      <c r="I1872" s="13">
        <f t="shared" si="29"/>
        <v>2.6047144152311872</v>
      </c>
    </row>
    <row r="1873" spans="2:9">
      <c r="C1873" s="33">
        <v>2.2000000000000002</v>
      </c>
      <c r="D1873" s="23">
        <v>142.4</v>
      </c>
      <c r="E1873" s="23">
        <v>86.13</v>
      </c>
      <c r="F1873" s="23">
        <v>33.03</v>
      </c>
      <c r="G1873" s="23">
        <v>546.1</v>
      </c>
      <c r="H1873" s="23">
        <v>5.5970000000000004</v>
      </c>
      <c r="I1873" s="13">
        <f t="shared" si="29"/>
        <v>2.6076294277929155</v>
      </c>
    </row>
    <row r="1874" spans="2:9">
      <c r="C1874" s="33">
        <v>2.2709999999999999</v>
      </c>
      <c r="D1874" s="23">
        <v>171.5</v>
      </c>
      <c r="E1874" s="23">
        <v>85.88</v>
      </c>
      <c r="F1874" s="23">
        <v>33.21</v>
      </c>
      <c r="G1874" s="23">
        <v>546.4</v>
      </c>
      <c r="H1874" s="23">
        <v>4.609</v>
      </c>
      <c r="I1874" s="13">
        <f t="shared" si="29"/>
        <v>2.5859680819030411</v>
      </c>
    </row>
    <row r="1875" spans="2:9">
      <c r="C1875" s="33">
        <v>2.3839999999999999</v>
      </c>
      <c r="D1875" s="23">
        <v>167</v>
      </c>
      <c r="E1875" s="23">
        <v>86.02</v>
      </c>
      <c r="F1875" s="23">
        <v>33.57</v>
      </c>
      <c r="G1875" s="23">
        <v>548</v>
      </c>
      <c r="H1875" s="23">
        <v>4.6539999999999999</v>
      </c>
      <c r="I1875" s="13">
        <f t="shared" si="29"/>
        <v>2.5624069109323799</v>
      </c>
    </row>
    <row r="1876" spans="2:9">
      <c r="C1876" s="33">
        <v>2.371</v>
      </c>
      <c r="D1876" s="23">
        <v>231.4</v>
      </c>
      <c r="E1876" s="23">
        <v>86.25</v>
      </c>
      <c r="F1876" s="23">
        <v>33.67</v>
      </c>
      <c r="G1876" s="23">
        <v>552</v>
      </c>
      <c r="H1876" s="23">
        <v>4.7279999999999998</v>
      </c>
      <c r="I1876" s="13">
        <f t="shared" si="29"/>
        <v>2.5616275616275614</v>
      </c>
    </row>
    <row r="1877" spans="2:9">
      <c r="C1877" s="33">
        <v>2.3860000000000001</v>
      </c>
      <c r="D1877" s="23">
        <v>182.4</v>
      </c>
      <c r="E1877" s="23">
        <v>86.61</v>
      </c>
      <c r="F1877" s="23">
        <v>33.69</v>
      </c>
      <c r="G1877" s="23">
        <v>549.6</v>
      </c>
      <c r="H1877" s="23">
        <v>4.8230000000000004</v>
      </c>
      <c r="I1877" s="13">
        <f t="shared" si="29"/>
        <v>2.570792520035619</v>
      </c>
    </row>
    <row r="1878" spans="2:9">
      <c r="C1878" s="33">
        <v>2.37</v>
      </c>
      <c r="D1878" s="23">
        <v>174.1</v>
      </c>
      <c r="E1878" s="23">
        <v>86.31</v>
      </c>
      <c r="F1878" s="23">
        <v>33.630000000000003</v>
      </c>
      <c r="G1878" s="23">
        <v>543.29999999999995</v>
      </c>
      <c r="H1878" s="23">
        <v>4.915</v>
      </c>
      <c r="I1878" s="13">
        <f t="shared" si="29"/>
        <v>2.5664585191793039</v>
      </c>
    </row>
    <row r="1879" spans="2:9">
      <c r="C1879" s="33">
        <v>2.3879999999999999</v>
      </c>
      <c r="D1879" s="23">
        <v>176.5</v>
      </c>
      <c r="E1879" s="23">
        <v>86.19</v>
      </c>
      <c r="F1879" s="23">
        <v>33.58</v>
      </c>
      <c r="G1879" s="23">
        <v>538.1</v>
      </c>
      <c r="H1879" s="23">
        <v>5.0670000000000002</v>
      </c>
      <c r="I1879" s="13">
        <f t="shared" si="29"/>
        <v>2.5667063728409767</v>
      </c>
    </row>
    <row r="1880" spans="2:9">
      <c r="C1880" s="33">
        <v>2.3359999999999999</v>
      </c>
      <c r="D1880" s="23">
        <v>193.5</v>
      </c>
      <c r="E1880" s="23">
        <v>86.13</v>
      </c>
      <c r="F1880" s="23">
        <v>33.39</v>
      </c>
      <c r="G1880" s="23">
        <v>536.5</v>
      </c>
      <c r="H1880" s="23">
        <v>5.4349999999999996</v>
      </c>
      <c r="I1880" s="13">
        <f t="shared" si="29"/>
        <v>2.5795148247978434</v>
      </c>
    </row>
    <row r="1881" spans="2:9">
      <c r="C1881" s="33">
        <v>2.2669999999999999</v>
      </c>
      <c r="D1881" s="23">
        <v>209.4</v>
      </c>
      <c r="E1881" s="23">
        <v>85.58</v>
      </c>
      <c r="F1881" s="23">
        <v>32.97</v>
      </c>
      <c r="G1881" s="23">
        <v>536.4</v>
      </c>
      <c r="H1881" s="23">
        <v>5.2889999999999997</v>
      </c>
      <c r="I1881" s="13">
        <f t="shared" si="29"/>
        <v>2.5956930542917807</v>
      </c>
    </row>
    <row r="1882" spans="2:9">
      <c r="B1882" s="35">
        <v>95</v>
      </c>
      <c r="C1882" s="36">
        <v>2.4460000000000002</v>
      </c>
      <c r="D1882" s="38">
        <v>176.7</v>
      </c>
      <c r="E1882" s="38">
        <v>109.5</v>
      </c>
      <c r="F1882" s="38">
        <v>27.21</v>
      </c>
      <c r="G1882" s="38">
        <v>618.4</v>
      </c>
      <c r="H1882" s="38">
        <v>5.2130000000000001</v>
      </c>
      <c r="I1882" s="13">
        <f t="shared" si="29"/>
        <v>4.0242557883131198</v>
      </c>
    </row>
    <row r="1883" spans="2:9">
      <c r="C1883" s="33">
        <v>2.4489999999999998</v>
      </c>
      <c r="D1883" s="23">
        <v>171.1</v>
      </c>
      <c r="E1883" s="23">
        <v>108.6</v>
      </c>
      <c r="F1883" s="23">
        <v>27.69</v>
      </c>
      <c r="G1883" s="23">
        <v>619.5</v>
      </c>
      <c r="H1883" s="23">
        <v>5.1980000000000004</v>
      </c>
      <c r="I1883" s="13">
        <f t="shared" si="29"/>
        <v>3.9219934994582877</v>
      </c>
    </row>
    <row r="1884" spans="2:9">
      <c r="C1884" s="33">
        <v>2.4529999999999998</v>
      </c>
      <c r="D1884" s="23">
        <v>182.1</v>
      </c>
      <c r="E1884" s="23">
        <v>108.7</v>
      </c>
      <c r="F1884" s="23">
        <v>27.8</v>
      </c>
      <c r="G1884" s="23">
        <v>618.1</v>
      </c>
      <c r="H1884" s="23">
        <v>5.8970000000000002</v>
      </c>
      <c r="I1884" s="13">
        <f t="shared" si="29"/>
        <v>3.9100719424460433</v>
      </c>
    </row>
    <row r="1885" spans="2:9">
      <c r="C1885" s="33">
        <v>2.431</v>
      </c>
      <c r="D1885" s="23">
        <v>168.8</v>
      </c>
      <c r="E1885" s="23">
        <v>108.8</v>
      </c>
      <c r="F1885" s="23">
        <v>27.9</v>
      </c>
      <c r="G1885" s="23">
        <v>618.79999999999995</v>
      </c>
      <c r="H1885" s="23">
        <v>5.2130000000000001</v>
      </c>
      <c r="I1885" s="13">
        <f t="shared" si="29"/>
        <v>3.8996415770609318</v>
      </c>
    </row>
    <row r="1886" spans="2:9">
      <c r="C1886" s="33">
        <v>2.399</v>
      </c>
      <c r="D1886" s="23">
        <v>171</v>
      </c>
      <c r="E1886" s="23">
        <v>109</v>
      </c>
      <c r="F1886" s="23">
        <v>28.06</v>
      </c>
      <c r="G1886" s="23">
        <v>656.9</v>
      </c>
      <c r="H1886" s="23">
        <v>5.44</v>
      </c>
      <c r="I1886" s="13">
        <f t="shared" si="29"/>
        <v>3.8845331432644334</v>
      </c>
    </row>
    <row r="1887" spans="2:9">
      <c r="C1887" s="33">
        <v>2.4180000000000001</v>
      </c>
      <c r="D1887" s="23">
        <v>185.8</v>
      </c>
      <c r="E1887" s="23">
        <v>109.2</v>
      </c>
      <c r="F1887" s="23">
        <v>28.21</v>
      </c>
      <c r="G1887" s="23">
        <v>661.1</v>
      </c>
      <c r="H1887" s="23">
        <v>6.1379999999999999</v>
      </c>
      <c r="I1887" s="13">
        <f t="shared" si="29"/>
        <v>3.870967741935484</v>
      </c>
    </row>
    <row r="1888" spans="2:9">
      <c r="C1888" s="33">
        <v>2.4489999999999998</v>
      </c>
      <c r="D1888" s="23">
        <v>220.1</v>
      </c>
      <c r="E1888" s="23">
        <v>109.3</v>
      </c>
      <c r="F1888" s="23">
        <v>28.1</v>
      </c>
      <c r="G1888" s="23">
        <v>650.4</v>
      </c>
      <c r="H1888" s="23">
        <v>6.383</v>
      </c>
      <c r="I1888" s="13">
        <f t="shared" si="29"/>
        <v>3.8896797153024907</v>
      </c>
    </row>
    <row r="1889" spans="2:9">
      <c r="C1889" s="33">
        <v>2.448</v>
      </c>
      <c r="D1889" s="23">
        <v>240.3</v>
      </c>
      <c r="E1889" s="23">
        <v>108.5</v>
      </c>
      <c r="F1889" s="23">
        <v>27.84</v>
      </c>
      <c r="G1889" s="23">
        <v>641.5</v>
      </c>
      <c r="H1889" s="23">
        <v>6.3789999999999996</v>
      </c>
      <c r="I1889" s="13">
        <f t="shared" si="29"/>
        <v>3.8972701149425286</v>
      </c>
    </row>
    <row r="1890" spans="2:9">
      <c r="C1890" s="33">
        <v>2.4580000000000002</v>
      </c>
      <c r="D1890" s="23">
        <v>196.8</v>
      </c>
      <c r="E1890" s="23">
        <v>108.6</v>
      </c>
      <c r="F1890" s="23">
        <v>27.63</v>
      </c>
      <c r="G1890" s="23">
        <v>640.79999999999995</v>
      </c>
      <c r="H1890" s="23">
        <v>6.1420000000000003</v>
      </c>
      <c r="I1890" s="13">
        <f t="shared" si="29"/>
        <v>3.9305103148751357</v>
      </c>
    </row>
    <row r="1891" spans="2:9">
      <c r="C1891" s="33">
        <v>2.4390000000000001</v>
      </c>
      <c r="D1891" s="23">
        <v>208.6</v>
      </c>
      <c r="E1891" s="23">
        <v>108.9</v>
      </c>
      <c r="F1891" s="23">
        <v>27.58</v>
      </c>
      <c r="G1891" s="23">
        <v>637.4</v>
      </c>
      <c r="H1891" s="23">
        <v>5.9240000000000004</v>
      </c>
      <c r="I1891" s="13">
        <f t="shared" si="29"/>
        <v>3.9485134155184922</v>
      </c>
    </row>
    <row r="1892" spans="2:9">
      <c r="C1892" s="33">
        <v>2.4409999999999998</v>
      </c>
      <c r="D1892" s="23">
        <v>197.6</v>
      </c>
      <c r="E1892" s="23">
        <v>108.7</v>
      </c>
      <c r="F1892" s="23">
        <v>27.53</v>
      </c>
      <c r="G1892" s="23">
        <v>635</v>
      </c>
      <c r="H1892" s="23">
        <v>4.992</v>
      </c>
      <c r="I1892" s="13">
        <f t="shared" si="29"/>
        <v>3.9484199055575737</v>
      </c>
    </row>
    <row r="1893" spans="2:9">
      <c r="C1893" s="33">
        <v>2.4060000000000001</v>
      </c>
      <c r="D1893" s="23">
        <v>225.1</v>
      </c>
      <c r="E1893" s="23">
        <v>109</v>
      </c>
      <c r="F1893" s="23">
        <v>27.49</v>
      </c>
      <c r="G1893" s="23">
        <v>635.29999999999995</v>
      </c>
      <c r="H1893" s="23">
        <v>4.8689999999999998</v>
      </c>
      <c r="I1893" s="13">
        <f t="shared" si="29"/>
        <v>3.9650782102582758</v>
      </c>
    </row>
    <row r="1894" spans="2:9">
      <c r="C1894" s="33">
        <v>2.3889999999999998</v>
      </c>
      <c r="D1894" s="23">
        <v>202.9</v>
      </c>
      <c r="E1894" s="23">
        <v>109.1</v>
      </c>
      <c r="F1894" s="23">
        <v>27.85</v>
      </c>
      <c r="G1894" s="23">
        <v>618.20000000000005</v>
      </c>
      <c r="H1894" s="23">
        <v>4.7729999999999997</v>
      </c>
      <c r="I1894" s="13">
        <f t="shared" si="29"/>
        <v>3.9174147217235182</v>
      </c>
    </row>
    <row r="1895" spans="2:9">
      <c r="C1895" s="33">
        <v>2.3919999999999999</v>
      </c>
      <c r="D1895" s="23">
        <v>174.6</v>
      </c>
      <c r="E1895" s="23">
        <v>109.4</v>
      </c>
      <c r="F1895" s="23">
        <v>27.71</v>
      </c>
      <c r="G1895" s="23">
        <v>622</v>
      </c>
      <c r="H1895" s="23">
        <v>4.6539999999999999</v>
      </c>
      <c r="I1895" s="13">
        <f t="shared" si="29"/>
        <v>3.9480332010104657</v>
      </c>
    </row>
    <row r="1896" spans="2:9">
      <c r="C1896" s="33">
        <v>2.4209999999999998</v>
      </c>
      <c r="D1896" s="23">
        <v>182.1</v>
      </c>
      <c r="E1896" s="23">
        <v>109.5</v>
      </c>
      <c r="F1896" s="23">
        <v>27.56</v>
      </c>
      <c r="G1896" s="23">
        <v>623.20000000000005</v>
      </c>
      <c r="H1896" s="23">
        <v>4.6559999999999997</v>
      </c>
      <c r="I1896" s="13">
        <f t="shared" si="29"/>
        <v>3.9731494920174169</v>
      </c>
    </row>
    <row r="1897" spans="2:9">
      <c r="C1897" s="33">
        <v>2.4529999999999998</v>
      </c>
      <c r="D1897" s="23">
        <v>170</v>
      </c>
      <c r="E1897" s="23">
        <v>109.5</v>
      </c>
      <c r="F1897" s="23">
        <v>27.33</v>
      </c>
      <c r="G1897" s="23">
        <v>620.9</v>
      </c>
      <c r="H1897" s="23">
        <v>4.5490000000000004</v>
      </c>
      <c r="I1897" s="13">
        <f t="shared" si="29"/>
        <v>4.006586169045006</v>
      </c>
    </row>
    <row r="1898" spans="2:9">
      <c r="C1898" s="33">
        <v>2.4620000000000002</v>
      </c>
      <c r="D1898" s="23">
        <v>188.5</v>
      </c>
      <c r="E1898" s="23">
        <v>109.3</v>
      </c>
      <c r="F1898" s="23">
        <v>27.57</v>
      </c>
      <c r="G1898" s="23">
        <v>621.9</v>
      </c>
      <c r="H1898" s="23">
        <v>4.4690000000000003</v>
      </c>
      <c r="I1898" s="13">
        <f t="shared" si="29"/>
        <v>3.964454116793616</v>
      </c>
    </row>
    <row r="1899" spans="2:9">
      <c r="C1899" s="33">
        <v>2.4529999999999998</v>
      </c>
      <c r="D1899" s="23">
        <v>202</v>
      </c>
      <c r="E1899" s="23">
        <v>109.1</v>
      </c>
      <c r="F1899" s="23">
        <v>27.15</v>
      </c>
      <c r="G1899" s="23">
        <v>618.79999999999995</v>
      </c>
      <c r="H1899" s="23">
        <v>4.3860000000000001</v>
      </c>
      <c r="I1899" s="13">
        <f t="shared" si="29"/>
        <v>4.0184162062615103</v>
      </c>
    </row>
    <row r="1900" spans="2:9">
      <c r="C1900" s="33">
        <v>2.431</v>
      </c>
      <c r="D1900" s="23">
        <v>204.4</v>
      </c>
      <c r="E1900" s="23">
        <v>109.2</v>
      </c>
      <c r="F1900" s="23">
        <v>27.27</v>
      </c>
      <c r="G1900" s="23">
        <v>656.9</v>
      </c>
      <c r="H1900" s="23">
        <v>4.5629999999999997</v>
      </c>
      <c r="I1900" s="13">
        <f t="shared" si="29"/>
        <v>4.0044004400440043</v>
      </c>
    </row>
    <row r="1901" spans="2:9">
      <c r="C1901" s="33">
        <v>2.3969999999999998</v>
      </c>
      <c r="D1901" s="23">
        <v>210.5</v>
      </c>
      <c r="E1901" s="23">
        <v>109</v>
      </c>
      <c r="F1901" s="23">
        <v>27.39</v>
      </c>
      <c r="G1901" s="23">
        <v>641.5</v>
      </c>
      <c r="H1901" s="23">
        <v>4.7629999999999999</v>
      </c>
      <c r="I1901" s="13">
        <f t="shared" si="29"/>
        <v>3.9795545819642206</v>
      </c>
    </row>
    <row r="1902" spans="2:9">
      <c r="B1902" s="35">
        <v>96</v>
      </c>
      <c r="C1902" s="36">
        <v>2.016</v>
      </c>
      <c r="D1902" s="38">
        <v>97.83</v>
      </c>
      <c r="E1902" s="38">
        <v>102.6</v>
      </c>
      <c r="F1902" s="38">
        <v>26.95</v>
      </c>
      <c r="G1902" s="38">
        <v>428</v>
      </c>
      <c r="H1902" s="38">
        <v>4.9580000000000002</v>
      </c>
      <c r="I1902" s="13">
        <f t="shared" si="29"/>
        <v>3.8070500927643782</v>
      </c>
    </row>
    <row r="1903" spans="2:9">
      <c r="C1903" s="33">
        <v>2.0489999999999999</v>
      </c>
      <c r="D1903" s="23">
        <v>94.43</v>
      </c>
      <c r="E1903" s="23">
        <v>102.7</v>
      </c>
      <c r="F1903" s="23">
        <v>27.13</v>
      </c>
      <c r="G1903" s="23">
        <v>426.9</v>
      </c>
      <c r="H1903" s="23">
        <v>4.6139999999999999</v>
      </c>
      <c r="I1903" s="13">
        <f t="shared" si="29"/>
        <v>3.7854773313674901</v>
      </c>
    </row>
    <row r="1904" spans="2:9">
      <c r="C1904" s="33">
        <v>2.097</v>
      </c>
      <c r="D1904" s="23">
        <v>91.63</v>
      </c>
      <c r="E1904" s="23">
        <v>103.1</v>
      </c>
      <c r="F1904" s="23">
        <v>26.88</v>
      </c>
      <c r="G1904" s="23">
        <v>427</v>
      </c>
      <c r="H1904" s="23">
        <v>4.5220000000000002</v>
      </c>
      <c r="I1904" s="13">
        <f t="shared" si="29"/>
        <v>3.8355654761904763</v>
      </c>
    </row>
    <row r="1905" spans="3:9">
      <c r="C1905" s="33">
        <v>2.1059999999999999</v>
      </c>
      <c r="D1905" s="23">
        <v>89.54</v>
      </c>
      <c r="E1905" s="23">
        <v>102.7</v>
      </c>
      <c r="F1905" s="23">
        <v>26.87</v>
      </c>
      <c r="G1905" s="23">
        <v>429.1</v>
      </c>
      <c r="H1905" s="23">
        <v>4.2460000000000004</v>
      </c>
      <c r="I1905" s="13">
        <f t="shared" si="29"/>
        <v>3.8221064384071455</v>
      </c>
    </row>
    <row r="1906" spans="3:9">
      <c r="C1906" s="33">
        <v>2.1040000000000001</v>
      </c>
      <c r="D1906" s="23">
        <v>95.39</v>
      </c>
      <c r="E1906" s="23">
        <v>103.1</v>
      </c>
      <c r="F1906" s="23">
        <v>27.07</v>
      </c>
      <c r="G1906" s="23">
        <v>428.5</v>
      </c>
      <c r="H1906" s="23">
        <v>4.2169999999999996</v>
      </c>
      <c r="I1906" s="13">
        <f t="shared" si="29"/>
        <v>3.8086442556335425</v>
      </c>
    </row>
    <row r="1907" spans="3:9">
      <c r="C1907" s="33">
        <v>2.0449999999999999</v>
      </c>
      <c r="D1907" s="23">
        <v>90.75</v>
      </c>
      <c r="E1907" s="23">
        <v>103.2</v>
      </c>
      <c r="F1907" s="23">
        <v>27.6</v>
      </c>
      <c r="G1907" s="23">
        <v>428.4</v>
      </c>
      <c r="H1907" s="23">
        <v>1.3340000000000001</v>
      </c>
      <c r="I1907" s="13">
        <f t="shared" si="29"/>
        <v>3.7391304347826084</v>
      </c>
    </row>
    <row r="1908" spans="3:9">
      <c r="C1908" s="33">
        <v>2.1059999999999999</v>
      </c>
      <c r="D1908" s="23">
        <v>90.87</v>
      </c>
      <c r="E1908" s="23">
        <v>103</v>
      </c>
      <c r="F1908" s="23">
        <v>27.39</v>
      </c>
      <c r="G1908" s="23">
        <v>429.7</v>
      </c>
      <c r="H1908" s="23">
        <v>4.1719999999999997</v>
      </c>
      <c r="I1908" s="13">
        <f t="shared" si="29"/>
        <v>3.7604965315808689</v>
      </c>
    </row>
    <row r="1909" spans="3:9">
      <c r="C1909" s="33">
        <v>2.097</v>
      </c>
      <c r="D1909" s="23">
        <v>89.55</v>
      </c>
      <c r="E1909" s="23">
        <v>102.9</v>
      </c>
      <c r="F1909" s="23">
        <v>27.07</v>
      </c>
      <c r="G1909" s="23">
        <v>429.1</v>
      </c>
      <c r="H1909" s="23">
        <v>4.5369999999999999</v>
      </c>
      <c r="I1909" s="13">
        <f t="shared" si="29"/>
        <v>3.8012560029553013</v>
      </c>
    </row>
    <row r="1910" spans="3:9">
      <c r="C1910" s="33">
        <v>2.0430000000000001</v>
      </c>
      <c r="D1910" s="23">
        <v>94.43</v>
      </c>
      <c r="E1910" s="23">
        <v>102.7</v>
      </c>
      <c r="F1910" s="23">
        <v>26.82</v>
      </c>
      <c r="G1910" s="23">
        <v>429.8</v>
      </c>
      <c r="H1910" s="23">
        <v>1.8819999999999999</v>
      </c>
      <c r="I1910" s="13">
        <f t="shared" si="29"/>
        <v>3.8292319164802389</v>
      </c>
    </row>
    <row r="1911" spans="3:9">
      <c r="C1911" s="33">
        <v>1.9930000000000001</v>
      </c>
      <c r="D1911" s="23">
        <v>101.1</v>
      </c>
      <c r="E1911" s="23">
        <v>102.6</v>
      </c>
      <c r="F1911" s="23">
        <v>26</v>
      </c>
      <c r="G1911" s="23">
        <v>428.1</v>
      </c>
      <c r="H1911" s="23">
        <v>4.7069999999999999</v>
      </c>
      <c r="I1911" s="13">
        <f t="shared" si="29"/>
        <v>3.9461538461538459</v>
      </c>
    </row>
    <row r="1912" spans="3:9">
      <c r="C1912" s="33">
        <v>2.089</v>
      </c>
      <c r="D1912" s="23">
        <v>107.2</v>
      </c>
      <c r="E1912" s="23">
        <v>102.9</v>
      </c>
      <c r="F1912" s="23">
        <v>26.32</v>
      </c>
      <c r="G1912" s="23">
        <v>427.6</v>
      </c>
      <c r="H1912" s="23">
        <v>4.7720000000000002</v>
      </c>
      <c r="I1912" s="13">
        <f t="shared" si="29"/>
        <v>3.9095744680851063</v>
      </c>
    </row>
    <row r="1913" spans="3:9">
      <c r="C1913" s="33">
        <v>2.0859999999999999</v>
      </c>
      <c r="D1913" s="23">
        <v>93.22</v>
      </c>
      <c r="E1913" s="23">
        <v>103</v>
      </c>
      <c r="F1913" s="23">
        <v>26.45</v>
      </c>
      <c r="G1913" s="23">
        <v>427.5</v>
      </c>
      <c r="H1913" s="23">
        <v>4.7610000000000001</v>
      </c>
      <c r="I1913" s="13">
        <f t="shared" si="29"/>
        <v>3.8941398865784502</v>
      </c>
    </row>
    <row r="1914" spans="3:9">
      <c r="C1914" s="33">
        <v>2.101</v>
      </c>
      <c r="D1914" s="23">
        <v>94.64</v>
      </c>
      <c r="E1914" s="23">
        <v>103.1</v>
      </c>
      <c r="F1914" s="23">
        <v>26.32</v>
      </c>
      <c r="G1914" s="23">
        <v>428.4</v>
      </c>
      <c r="H1914" s="23">
        <v>4.7859999999999996</v>
      </c>
      <c r="I1914" s="13">
        <f t="shared" si="29"/>
        <v>3.917173252279635</v>
      </c>
    </row>
    <row r="1915" spans="3:9">
      <c r="C1915" s="33">
        <v>2.0939999999999999</v>
      </c>
      <c r="D1915" s="23">
        <v>94.34</v>
      </c>
      <c r="E1915" s="23">
        <v>102.6</v>
      </c>
      <c r="F1915" s="23">
        <v>26.66</v>
      </c>
      <c r="G1915" s="23">
        <v>427.8</v>
      </c>
      <c r="H1915" s="23">
        <v>4.7160000000000002</v>
      </c>
      <c r="I1915" s="13">
        <f t="shared" si="29"/>
        <v>3.8484621155288821</v>
      </c>
    </row>
    <row r="1916" spans="3:9">
      <c r="C1916" s="33">
        <v>2.0880000000000001</v>
      </c>
      <c r="D1916" s="23">
        <v>91.63</v>
      </c>
      <c r="E1916" s="23">
        <v>102.7</v>
      </c>
      <c r="F1916" s="23">
        <v>27.27</v>
      </c>
      <c r="G1916" s="23">
        <v>427.3</v>
      </c>
      <c r="H1916" s="23">
        <v>4.9450000000000003</v>
      </c>
      <c r="I1916" s="13">
        <f t="shared" si="29"/>
        <v>3.7660432709937663</v>
      </c>
    </row>
    <row r="1917" spans="3:9">
      <c r="C1917" s="33">
        <v>2.0790000000000002</v>
      </c>
      <c r="D1917" s="23">
        <v>89.44</v>
      </c>
      <c r="E1917" s="23">
        <v>102.8</v>
      </c>
      <c r="F1917" s="23">
        <v>26.91</v>
      </c>
      <c r="G1917" s="23">
        <v>427.8</v>
      </c>
      <c r="H1917" s="23">
        <v>4.6289999999999996</v>
      </c>
      <c r="I1917" s="13">
        <f t="shared" si="29"/>
        <v>3.8201412114455593</v>
      </c>
    </row>
    <row r="1918" spans="3:9">
      <c r="C1918" s="33">
        <v>2.0430000000000001</v>
      </c>
      <c r="D1918" s="23">
        <v>91.26</v>
      </c>
      <c r="E1918" s="23">
        <v>102.3</v>
      </c>
      <c r="F1918" s="23">
        <v>26.73</v>
      </c>
      <c r="G1918" s="23">
        <v>423.1</v>
      </c>
      <c r="H1918" s="23">
        <v>4.2460000000000004</v>
      </c>
      <c r="I1918" s="13">
        <f t="shared" si="29"/>
        <v>3.8271604938271602</v>
      </c>
    </row>
    <row r="1919" spans="3:9">
      <c r="C1919" s="33">
        <v>2.0329999999999999</v>
      </c>
      <c r="D1919" s="23">
        <v>90.54</v>
      </c>
      <c r="E1919" s="23">
        <v>102.5</v>
      </c>
      <c r="F1919" s="23">
        <v>26.59</v>
      </c>
      <c r="G1919" s="23">
        <v>428.9</v>
      </c>
      <c r="H1919" s="23">
        <v>4.4400000000000004</v>
      </c>
      <c r="I1919" s="13">
        <f t="shared" si="29"/>
        <v>3.854832643851072</v>
      </c>
    </row>
    <row r="1920" spans="3:9">
      <c r="C1920" s="33">
        <v>1.929</v>
      </c>
      <c r="D1920" s="23">
        <v>100.2</v>
      </c>
      <c r="E1920" s="23">
        <v>102.9</v>
      </c>
      <c r="F1920" s="23">
        <v>26.52</v>
      </c>
      <c r="G1920" s="23">
        <v>428.3</v>
      </c>
      <c r="H1920" s="23">
        <v>4.9770000000000003</v>
      </c>
      <c r="I1920" s="13">
        <f t="shared" si="29"/>
        <v>3.880090497737557</v>
      </c>
    </row>
    <row r="1921" spans="2:9">
      <c r="C1921" s="33">
        <v>2.0489999999999999</v>
      </c>
      <c r="D1921" s="23">
        <v>92.36</v>
      </c>
      <c r="E1921" s="23">
        <v>102.7</v>
      </c>
      <c r="F1921" s="23">
        <v>26.26</v>
      </c>
      <c r="G1921" s="23">
        <v>429.1</v>
      </c>
      <c r="H1921" s="23">
        <v>4.8339999999999996</v>
      </c>
      <c r="I1921" s="13">
        <f t="shared" si="29"/>
        <v>3.9108910891089108</v>
      </c>
    </row>
    <row r="1922" spans="2:9">
      <c r="B1922" s="35">
        <v>97</v>
      </c>
      <c r="C1922" s="36">
        <v>2.423</v>
      </c>
      <c r="D1922" s="38">
        <v>152.9</v>
      </c>
      <c r="E1922" s="38">
        <v>97.05</v>
      </c>
      <c r="F1922" s="38">
        <v>37.840000000000003</v>
      </c>
      <c r="G1922" s="38">
        <v>540.4</v>
      </c>
      <c r="H1922" s="38">
        <v>4.2389999999999999</v>
      </c>
      <c r="I1922" s="13">
        <f t="shared" si="29"/>
        <v>2.5647463002114161</v>
      </c>
    </row>
    <row r="1923" spans="2:9">
      <c r="C1923" s="33">
        <v>2.407</v>
      </c>
      <c r="D1923" s="23">
        <v>158.69999999999999</v>
      </c>
      <c r="E1923" s="23">
        <v>98.95</v>
      </c>
      <c r="F1923" s="23">
        <v>37.1</v>
      </c>
      <c r="G1923" s="23">
        <v>524.20000000000005</v>
      </c>
      <c r="H1923" s="23">
        <v>4.0910000000000002</v>
      </c>
      <c r="I1923" s="13">
        <f t="shared" ref="I1923:I1986" si="30">E1923/F1923</f>
        <v>2.6671159029649596</v>
      </c>
    </row>
    <row r="1924" spans="2:9">
      <c r="C1924" s="33">
        <v>2.3839999999999999</v>
      </c>
      <c r="D1924" s="23">
        <v>160.9</v>
      </c>
      <c r="E1924" s="23">
        <v>98.29</v>
      </c>
      <c r="F1924" s="23">
        <v>37.39</v>
      </c>
      <c r="G1924" s="23">
        <v>528</v>
      </c>
      <c r="H1924" s="23">
        <v>4.2050000000000001</v>
      </c>
      <c r="I1924" s="13">
        <f t="shared" si="30"/>
        <v>2.6287777480609789</v>
      </c>
    </row>
    <row r="1925" spans="2:9">
      <c r="C1925" s="33">
        <v>2.3620000000000001</v>
      </c>
      <c r="D1925" s="23">
        <v>166.8</v>
      </c>
      <c r="E1925" s="23">
        <v>98.15</v>
      </c>
      <c r="F1925" s="23">
        <v>37.43</v>
      </c>
      <c r="G1925" s="23">
        <v>538.1</v>
      </c>
      <c r="H1925" s="23">
        <v>4.1779999999999999</v>
      </c>
      <c r="I1925" s="13">
        <f t="shared" si="30"/>
        <v>2.6222281592305641</v>
      </c>
    </row>
    <row r="1926" spans="2:9">
      <c r="C1926" s="33">
        <v>2.4</v>
      </c>
      <c r="D1926" s="23">
        <v>161.4</v>
      </c>
      <c r="E1926" s="23">
        <v>98.25</v>
      </c>
      <c r="F1926" s="23">
        <v>37.39</v>
      </c>
      <c r="G1926" s="23">
        <v>511.5</v>
      </c>
      <c r="H1926" s="23">
        <v>4.0679999999999996</v>
      </c>
      <c r="I1926" s="13">
        <f t="shared" si="30"/>
        <v>2.6277079433003476</v>
      </c>
    </row>
    <row r="1927" spans="2:9">
      <c r="C1927" s="33">
        <v>2.4300000000000002</v>
      </c>
      <c r="D1927" s="23">
        <v>172.4</v>
      </c>
      <c r="E1927" s="23">
        <v>98.06</v>
      </c>
      <c r="F1927" s="23">
        <v>37.200000000000003</v>
      </c>
      <c r="G1927" s="23">
        <v>517.6</v>
      </c>
      <c r="H1927" s="23">
        <v>3.774</v>
      </c>
      <c r="I1927" s="13">
        <f t="shared" si="30"/>
        <v>2.6360215053763438</v>
      </c>
    </row>
    <row r="1928" spans="2:9">
      <c r="C1928" s="33">
        <v>2.4169999999999998</v>
      </c>
      <c r="D1928" s="23">
        <v>184.2</v>
      </c>
      <c r="E1928" s="23">
        <v>98.41</v>
      </c>
      <c r="F1928" s="23">
        <v>37.25</v>
      </c>
      <c r="G1928" s="23">
        <v>530.70000000000005</v>
      </c>
      <c r="H1928" s="23">
        <v>3.9079999999999999</v>
      </c>
      <c r="I1928" s="13">
        <f t="shared" si="30"/>
        <v>2.6418791946308722</v>
      </c>
    </row>
    <row r="1929" spans="2:9">
      <c r="C1929" s="33">
        <v>2.4129999999999998</v>
      </c>
      <c r="D1929" s="23">
        <v>169.2</v>
      </c>
      <c r="E1929" s="23">
        <v>97.81</v>
      </c>
      <c r="F1929" s="23">
        <v>37.43</v>
      </c>
      <c r="G1929" s="23">
        <v>533.5</v>
      </c>
      <c r="H1929" s="23">
        <v>3.8759999999999999</v>
      </c>
      <c r="I1929" s="13">
        <f t="shared" si="30"/>
        <v>2.6131445364680737</v>
      </c>
    </row>
    <row r="1930" spans="2:9">
      <c r="C1930" s="33">
        <v>2.4300000000000002</v>
      </c>
      <c r="D1930" s="23">
        <v>149.69999999999999</v>
      </c>
      <c r="E1930" s="23">
        <v>98.03</v>
      </c>
      <c r="F1930" s="23">
        <v>37.39</v>
      </c>
      <c r="G1930" s="23">
        <v>530.70000000000005</v>
      </c>
      <c r="H1930" s="23">
        <v>3.879</v>
      </c>
      <c r="I1930" s="13">
        <f t="shared" si="30"/>
        <v>2.6218240171168761</v>
      </c>
    </row>
    <row r="1931" spans="2:9">
      <c r="C1931" s="33">
        <v>2.4209999999999998</v>
      </c>
      <c r="D1931" s="23">
        <v>143.6</v>
      </c>
      <c r="E1931" s="23">
        <v>98.06</v>
      </c>
      <c r="F1931" s="23">
        <v>37.58</v>
      </c>
      <c r="G1931" s="23">
        <v>522.5</v>
      </c>
      <c r="H1931" s="23">
        <v>3.85</v>
      </c>
      <c r="I1931" s="13">
        <f t="shared" si="30"/>
        <v>2.6093666844065995</v>
      </c>
    </row>
    <row r="1932" spans="2:9">
      <c r="C1932" s="33">
        <v>2.3919999999999999</v>
      </c>
      <c r="D1932" s="23">
        <v>148.30000000000001</v>
      </c>
      <c r="E1932" s="23">
        <v>98.12</v>
      </c>
      <c r="F1932" s="23">
        <v>37.26</v>
      </c>
      <c r="G1932" s="23">
        <v>509.1</v>
      </c>
      <c r="H1932" s="23">
        <v>3.855</v>
      </c>
      <c r="I1932" s="13">
        <f t="shared" si="30"/>
        <v>2.6333870101986045</v>
      </c>
    </row>
    <row r="1933" spans="2:9">
      <c r="C1933" s="33">
        <v>2.351</v>
      </c>
      <c r="D1933" s="23">
        <v>142</v>
      </c>
      <c r="E1933" s="23">
        <v>98.15</v>
      </c>
      <c r="F1933" s="23">
        <v>37.450000000000003</v>
      </c>
      <c r="G1933" s="23">
        <v>517.4</v>
      </c>
      <c r="H1933" s="23">
        <v>3.9670000000000001</v>
      </c>
      <c r="I1933" s="13">
        <f t="shared" si="30"/>
        <v>2.6208277703604805</v>
      </c>
    </row>
    <row r="1934" spans="2:9">
      <c r="C1934" s="33">
        <v>2.3660000000000001</v>
      </c>
      <c r="D1934" s="23">
        <v>143.6</v>
      </c>
      <c r="E1934" s="23">
        <v>98.03</v>
      </c>
      <c r="F1934" s="23">
        <v>37.83</v>
      </c>
      <c r="G1934" s="23">
        <v>521.4</v>
      </c>
      <c r="H1934" s="23">
        <v>4.0910000000000002</v>
      </c>
      <c r="I1934" s="13">
        <f t="shared" si="30"/>
        <v>2.5913296325667461</v>
      </c>
    </row>
    <row r="1935" spans="2:9">
      <c r="C1935" s="33">
        <v>2.4300000000000002</v>
      </c>
      <c r="D1935" s="23">
        <v>141.80000000000001</v>
      </c>
      <c r="E1935" s="23">
        <v>97.86</v>
      </c>
      <c r="F1935" s="23">
        <v>37.26</v>
      </c>
      <c r="G1935" s="23">
        <v>524.20000000000005</v>
      </c>
      <c r="H1935" s="23">
        <v>4.2469999999999999</v>
      </c>
      <c r="I1935" s="13">
        <f t="shared" si="30"/>
        <v>2.6264090177133657</v>
      </c>
    </row>
    <row r="1936" spans="2:9">
      <c r="C1936" s="33">
        <v>2.423</v>
      </c>
      <c r="D1936" s="23">
        <v>147.30000000000001</v>
      </c>
      <c r="E1936" s="23">
        <v>97.49</v>
      </c>
      <c r="F1936" s="23">
        <v>37.14</v>
      </c>
      <c r="G1936" s="23">
        <v>516.9</v>
      </c>
      <c r="H1936" s="23">
        <v>4.298</v>
      </c>
      <c r="I1936" s="13">
        <f t="shared" si="30"/>
        <v>2.6249326871297791</v>
      </c>
    </row>
    <row r="1937" spans="2:9">
      <c r="C1937" s="33">
        <v>2.3839999999999999</v>
      </c>
      <c r="D1937" s="23">
        <v>144.80000000000001</v>
      </c>
      <c r="E1937" s="23">
        <v>97.96</v>
      </c>
      <c r="F1937" s="23">
        <v>37.71</v>
      </c>
      <c r="G1937" s="23">
        <v>510.3</v>
      </c>
      <c r="H1937" s="23">
        <v>4.4649999999999999</v>
      </c>
      <c r="I1937" s="13">
        <f t="shared" si="30"/>
        <v>2.5977194378149031</v>
      </c>
    </row>
    <row r="1938" spans="2:9">
      <c r="C1938" s="33">
        <v>2.3519999999999999</v>
      </c>
      <c r="D1938" s="23">
        <v>140.80000000000001</v>
      </c>
      <c r="E1938" s="23">
        <v>98.12</v>
      </c>
      <c r="F1938" s="23">
        <v>37.299999999999997</v>
      </c>
      <c r="G1938" s="23">
        <v>500.6</v>
      </c>
      <c r="H1938" s="23">
        <v>4.218</v>
      </c>
      <c r="I1938" s="13">
        <f t="shared" si="30"/>
        <v>2.6305630026809657</v>
      </c>
    </row>
    <row r="1939" spans="2:9">
      <c r="C1939" s="33">
        <v>2.3180000000000001</v>
      </c>
      <c r="D1939" s="23">
        <v>150.9</v>
      </c>
      <c r="E1939" s="23">
        <v>98.39</v>
      </c>
      <c r="F1939" s="23">
        <v>37.57</v>
      </c>
      <c r="G1939" s="23">
        <v>539.29999999999995</v>
      </c>
      <c r="H1939" s="23">
        <v>4.1059999999999999</v>
      </c>
      <c r="I1939" s="13">
        <f t="shared" si="30"/>
        <v>2.618844822997072</v>
      </c>
    </row>
    <row r="1940" spans="2:9">
      <c r="C1940" s="33">
        <v>2.3220000000000001</v>
      </c>
      <c r="D1940" s="23">
        <v>152.9</v>
      </c>
      <c r="E1940" s="23">
        <v>98</v>
      </c>
      <c r="F1940" s="23">
        <v>37.54</v>
      </c>
      <c r="G1940" s="23">
        <v>551.6</v>
      </c>
      <c r="H1940" s="23">
        <v>4.0119999999999996</v>
      </c>
      <c r="I1940" s="13">
        <f t="shared" si="30"/>
        <v>2.610548748002131</v>
      </c>
    </row>
    <row r="1941" spans="2:9">
      <c r="C1941" s="33">
        <v>2.407</v>
      </c>
      <c r="D1941" s="23">
        <v>158.69999999999999</v>
      </c>
      <c r="E1941" s="23">
        <v>98.04</v>
      </c>
      <c r="F1941" s="23">
        <v>37.35</v>
      </c>
      <c r="G1941" s="23">
        <v>547.20000000000005</v>
      </c>
      <c r="H1941" s="23">
        <v>3.774</v>
      </c>
      <c r="I1941" s="13">
        <f t="shared" si="30"/>
        <v>2.6248995983935743</v>
      </c>
    </row>
    <row r="1942" spans="2:9">
      <c r="B1942" s="35">
        <v>98</v>
      </c>
      <c r="C1942" s="36">
        <v>1.589</v>
      </c>
      <c r="D1942" s="38">
        <v>137.4</v>
      </c>
      <c r="E1942" s="38">
        <v>108.8</v>
      </c>
      <c r="F1942" s="38">
        <v>28</v>
      </c>
      <c r="G1942" s="38">
        <v>495.8</v>
      </c>
      <c r="H1942" s="38">
        <v>4.2549999999999999</v>
      </c>
      <c r="I1942" s="13">
        <f t="shared" si="30"/>
        <v>3.8857142857142857</v>
      </c>
    </row>
    <row r="1943" spans="2:9">
      <c r="C1943" s="33">
        <v>1.623</v>
      </c>
      <c r="D1943" s="23">
        <v>92.1</v>
      </c>
      <c r="E1943" s="23">
        <v>108.4</v>
      </c>
      <c r="F1943" s="23">
        <v>27.94</v>
      </c>
      <c r="G1943" s="23">
        <v>489.8</v>
      </c>
      <c r="H1943" s="23">
        <v>4.53</v>
      </c>
      <c r="I1943" s="13">
        <f t="shared" si="30"/>
        <v>3.8797423049391555</v>
      </c>
    </row>
    <row r="1944" spans="2:9">
      <c r="C1944" s="33">
        <v>1.5880000000000001</v>
      </c>
      <c r="D1944" s="23">
        <v>107.3</v>
      </c>
      <c r="E1944" s="23">
        <v>109</v>
      </c>
      <c r="F1944" s="23">
        <v>28.32</v>
      </c>
      <c r="G1944" s="23">
        <v>487.2</v>
      </c>
      <c r="H1944" s="23">
        <v>4.6550000000000002</v>
      </c>
      <c r="I1944" s="13">
        <f t="shared" si="30"/>
        <v>3.8488700564971752</v>
      </c>
    </row>
    <row r="1945" spans="2:9">
      <c r="C1945" s="33">
        <v>1.544</v>
      </c>
      <c r="D1945" s="23">
        <v>90.2</v>
      </c>
      <c r="E1945" s="23">
        <v>108.2</v>
      </c>
      <c r="F1945" s="23">
        <v>28.44</v>
      </c>
      <c r="G1945" s="23">
        <v>484.6</v>
      </c>
      <c r="H1945" s="23">
        <v>5.1230000000000002</v>
      </c>
      <c r="I1945" s="13">
        <f t="shared" si="30"/>
        <v>3.8045007032348805</v>
      </c>
    </row>
    <row r="1946" spans="2:9">
      <c r="C1946" s="33">
        <v>1.56</v>
      </c>
      <c r="D1946" s="23">
        <v>108.2</v>
      </c>
      <c r="E1946" s="23">
        <v>107.5</v>
      </c>
      <c r="F1946" s="23">
        <v>28.5</v>
      </c>
      <c r="G1946" s="23">
        <v>486.3</v>
      </c>
      <c r="H1946" s="23">
        <v>5.0250000000000004</v>
      </c>
      <c r="I1946" s="13">
        <f t="shared" si="30"/>
        <v>3.7719298245614037</v>
      </c>
    </row>
    <row r="1947" spans="2:9">
      <c r="C1947" s="33">
        <v>1.5840000000000001</v>
      </c>
      <c r="D1947" s="23">
        <v>101.7</v>
      </c>
      <c r="E1947" s="23">
        <v>108.1</v>
      </c>
      <c r="F1947" s="23">
        <v>28.38</v>
      </c>
      <c r="G1947" s="23">
        <v>488.4</v>
      </c>
      <c r="H1947" s="23">
        <v>4.6130000000000004</v>
      </c>
      <c r="I1947" s="13">
        <f t="shared" si="30"/>
        <v>3.8090204369274137</v>
      </c>
    </row>
    <row r="1948" spans="2:9">
      <c r="C1948" s="33">
        <v>1.62</v>
      </c>
      <c r="D1948" s="23">
        <v>92.8</v>
      </c>
      <c r="E1948" s="23">
        <v>108</v>
      </c>
      <c r="F1948" s="23">
        <v>27.96</v>
      </c>
      <c r="G1948" s="23">
        <v>489</v>
      </c>
      <c r="H1948" s="23">
        <v>5.0149999999999997</v>
      </c>
      <c r="I1948" s="13">
        <f t="shared" si="30"/>
        <v>3.8626609442060085</v>
      </c>
    </row>
    <row r="1949" spans="2:9">
      <c r="C1949" s="33">
        <v>1.6140000000000001</v>
      </c>
      <c r="D1949" s="23">
        <v>90.3</v>
      </c>
      <c r="E1949" s="23">
        <v>107.2</v>
      </c>
      <c r="F1949" s="23">
        <v>27.67</v>
      </c>
      <c r="G1949" s="23">
        <v>492.2</v>
      </c>
      <c r="H1949" s="23">
        <v>4.8470000000000004</v>
      </c>
      <c r="I1949" s="13">
        <f t="shared" si="30"/>
        <v>3.8742320202385252</v>
      </c>
    </row>
    <row r="1950" spans="2:9">
      <c r="C1950" s="33">
        <v>1.6339999999999999</v>
      </c>
      <c r="D1950" s="23">
        <v>107.3</v>
      </c>
      <c r="E1950" s="23">
        <v>107.9</v>
      </c>
      <c r="F1950" s="23">
        <v>27.8</v>
      </c>
      <c r="G1950" s="23">
        <v>496.3</v>
      </c>
      <c r="H1950" s="23">
        <v>4.8490000000000002</v>
      </c>
      <c r="I1950" s="13">
        <f t="shared" si="30"/>
        <v>3.8812949640287773</v>
      </c>
    </row>
    <row r="1951" spans="2:9">
      <c r="C1951" s="33">
        <v>1.6839999999999999</v>
      </c>
      <c r="D1951" s="23">
        <v>105.6</v>
      </c>
      <c r="E1951" s="23">
        <v>108.2</v>
      </c>
      <c r="F1951" s="23">
        <v>27.99</v>
      </c>
      <c r="G1951" s="23">
        <v>491</v>
      </c>
      <c r="H1951" s="23">
        <v>4.8470000000000004</v>
      </c>
      <c r="I1951" s="13">
        <f t="shared" si="30"/>
        <v>3.8656663093962131</v>
      </c>
    </row>
    <row r="1952" spans="2:9">
      <c r="C1952" s="33">
        <v>1.64</v>
      </c>
      <c r="D1952" s="23">
        <v>113.3</v>
      </c>
      <c r="E1952" s="23">
        <v>108.5</v>
      </c>
      <c r="F1952" s="23">
        <v>28.03</v>
      </c>
      <c r="G1952" s="23">
        <v>492.8</v>
      </c>
      <c r="H1952" s="23">
        <v>4.524</v>
      </c>
      <c r="I1952" s="13">
        <f t="shared" si="30"/>
        <v>3.8708526578665712</v>
      </c>
    </row>
    <row r="1953" spans="2:9">
      <c r="C1953" s="33">
        <v>1.623</v>
      </c>
      <c r="D1953" s="23">
        <v>103.6</v>
      </c>
      <c r="E1953" s="23">
        <v>108.7</v>
      </c>
      <c r="F1953" s="23">
        <v>27.85</v>
      </c>
      <c r="G1953" s="23">
        <v>492.3</v>
      </c>
      <c r="H1953" s="23">
        <v>3.9740000000000002</v>
      </c>
      <c r="I1953" s="13">
        <f t="shared" si="30"/>
        <v>3.9030520646319569</v>
      </c>
    </row>
    <row r="1954" spans="2:9">
      <c r="C1954" s="33">
        <v>1.587</v>
      </c>
      <c r="D1954" s="23">
        <v>121.4</v>
      </c>
      <c r="E1954" s="23">
        <v>108.7</v>
      </c>
      <c r="F1954" s="23">
        <v>27.8</v>
      </c>
      <c r="G1954" s="23">
        <v>489.6</v>
      </c>
      <c r="H1954" s="23">
        <v>4.3109999999999999</v>
      </c>
      <c r="I1954" s="13">
        <f t="shared" si="30"/>
        <v>3.9100719424460433</v>
      </c>
    </row>
    <row r="1955" spans="2:9">
      <c r="C1955" s="33">
        <v>1.554</v>
      </c>
      <c r="D1955" s="23">
        <v>132.19999999999999</v>
      </c>
      <c r="E1955" s="23">
        <v>108.2</v>
      </c>
      <c r="F1955" s="23">
        <v>27.75</v>
      </c>
      <c r="G1955" s="23">
        <v>490.7</v>
      </c>
      <c r="H1955" s="23">
        <v>4.5350000000000001</v>
      </c>
      <c r="I1955" s="13">
        <f t="shared" si="30"/>
        <v>3.8990990990990992</v>
      </c>
    </row>
    <row r="1956" spans="2:9">
      <c r="C1956" s="33">
        <v>1.613</v>
      </c>
      <c r="D1956" s="23">
        <v>138.9</v>
      </c>
      <c r="E1956" s="23">
        <v>108</v>
      </c>
      <c r="F1956" s="23">
        <v>28.33</v>
      </c>
      <c r="G1956" s="23">
        <v>493.3</v>
      </c>
      <c r="H1956" s="23">
        <v>4.8650000000000002</v>
      </c>
      <c r="I1956" s="13">
        <f t="shared" si="30"/>
        <v>3.8122132015531243</v>
      </c>
    </row>
    <row r="1957" spans="2:9">
      <c r="C1957" s="33">
        <v>1.5840000000000001</v>
      </c>
      <c r="D1957" s="23">
        <v>146.9</v>
      </c>
      <c r="E1957" s="23">
        <v>108.9</v>
      </c>
      <c r="F1957" s="23">
        <v>28.47</v>
      </c>
      <c r="G1957" s="23">
        <v>490</v>
      </c>
      <c r="H1957" s="23">
        <v>5.2489999999999997</v>
      </c>
      <c r="I1957" s="13">
        <f t="shared" si="30"/>
        <v>3.825079030558483</v>
      </c>
    </row>
    <row r="1958" spans="2:9">
      <c r="C1958" s="33">
        <v>1.571</v>
      </c>
      <c r="D1958" s="23">
        <v>113.6</v>
      </c>
      <c r="E1958" s="23">
        <v>108.1</v>
      </c>
      <c r="F1958" s="23">
        <v>27.86</v>
      </c>
      <c r="G1958" s="23">
        <v>495.8</v>
      </c>
      <c r="H1958" s="23">
        <v>5.306</v>
      </c>
      <c r="I1958" s="13">
        <f t="shared" si="30"/>
        <v>3.8801148600143573</v>
      </c>
    </row>
    <row r="1959" spans="2:9">
      <c r="C1959" s="33">
        <v>1.5309999999999999</v>
      </c>
      <c r="D1959" s="23">
        <v>99.2</v>
      </c>
      <c r="E1959" s="23">
        <v>108.3</v>
      </c>
      <c r="F1959" s="23">
        <v>28.05</v>
      </c>
      <c r="G1959" s="23">
        <v>498.3</v>
      </c>
      <c r="H1959" s="23">
        <v>4.6529999999999996</v>
      </c>
      <c r="I1959" s="13">
        <f t="shared" si="30"/>
        <v>3.8609625668449197</v>
      </c>
    </row>
    <row r="1960" spans="2:9">
      <c r="C1960" s="33">
        <v>1.621</v>
      </c>
      <c r="D1960" s="23">
        <v>101.3</v>
      </c>
      <c r="E1960" s="23">
        <v>108</v>
      </c>
      <c r="F1960" s="23">
        <v>28.16</v>
      </c>
      <c r="G1960" s="23">
        <v>498.7</v>
      </c>
      <c r="H1960" s="23">
        <v>4.5359999999999996</v>
      </c>
      <c r="I1960" s="13">
        <f t="shared" si="30"/>
        <v>3.8352272727272729</v>
      </c>
    </row>
    <row r="1961" spans="2:9">
      <c r="C1961" s="33">
        <v>1.6379999999999999</v>
      </c>
      <c r="D1961" s="23">
        <v>84.5</v>
      </c>
      <c r="E1961" s="23">
        <v>109</v>
      </c>
      <c r="F1961" s="23">
        <v>28.2</v>
      </c>
      <c r="G1961" s="23">
        <v>498</v>
      </c>
      <c r="H1961" s="23">
        <v>4.8490000000000002</v>
      </c>
      <c r="I1961" s="13">
        <f t="shared" si="30"/>
        <v>3.8652482269503547</v>
      </c>
    </row>
    <row r="1962" spans="2:9">
      <c r="B1962" s="35">
        <v>99</v>
      </c>
      <c r="C1962" s="36">
        <v>2.6880000000000002</v>
      </c>
      <c r="D1962" s="38">
        <v>152.9</v>
      </c>
      <c r="E1962" s="38">
        <v>97.1</v>
      </c>
      <c r="F1962" s="38">
        <v>42.33</v>
      </c>
      <c r="G1962" s="38">
        <v>512.5</v>
      </c>
      <c r="H1962" s="38">
        <v>3.085</v>
      </c>
      <c r="I1962" s="13">
        <f t="shared" si="30"/>
        <v>2.2938814079848808</v>
      </c>
    </row>
    <row r="1963" spans="2:9">
      <c r="C1963" s="33">
        <v>2.6989999999999998</v>
      </c>
      <c r="D1963" s="23">
        <v>168.7</v>
      </c>
      <c r="E1963" s="23">
        <v>96.41</v>
      </c>
      <c r="F1963" s="23">
        <v>42.69</v>
      </c>
      <c r="G1963" s="23">
        <v>511.4</v>
      </c>
      <c r="H1963" s="23">
        <v>3.1850000000000001</v>
      </c>
      <c r="I1963" s="13">
        <f t="shared" si="30"/>
        <v>2.2583743265401734</v>
      </c>
    </row>
    <row r="1964" spans="2:9">
      <c r="C1964" s="33">
        <v>2.6640000000000001</v>
      </c>
      <c r="D1964" s="23">
        <v>163</v>
      </c>
      <c r="E1964" s="23">
        <v>96.58</v>
      </c>
      <c r="F1964" s="23">
        <v>42.36</v>
      </c>
      <c r="G1964" s="23">
        <v>513.4</v>
      </c>
      <c r="H1964" s="23">
        <v>3.6259999999999999</v>
      </c>
      <c r="I1964" s="13">
        <f t="shared" si="30"/>
        <v>2.2799811142587347</v>
      </c>
    </row>
    <row r="1965" spans="2:9">
      <c r="C1965" s="33">
        <v>2.6970000000000001</v>
      </c>
      <c r="D1965" s="23">
        <v>124.8</v>
      </c>
      <c r="E1965" s="23">
        <v>96.62</v>
      </c>
      <c r="F1965" s="23">
        <v>42.39</v>
      </c>
      <c r="G1965" s="23">
        <v>513.29999999999995</v>
      </c>
      <c r="H1965" s="23">
        <v>3.4319999999999999</v>
      </c>
      <c r="I1965" s="13">
        <f t="shared" si="30"/>
        <v>2.27931115829205</v>
      </c>
    </row>
    <row r="1966" spans="2:9">
      <c r="C1966" s="33">
        <v>2.66</v>
      </c>
      <c r="D1966" s="23">
        <v>123.9</v>
      </c>
      <c r="E1966" s="23">
        <v>97.01</v>
      </c>
      <c r="F1966" s="23">
        <v>43</v>
      </c>
      <c r="G1966" s="23">
        <v>515.4</v>
      </c>
      <c r="H1966" s="23">
        <v>3.4550000000000001</v>
      </c>
      <c r="I1966" s="13">
        <f t="shared" si="30"/>
        <v>2.2560465116279071</v>
      </c>
    </row>
    <row r="1967" spans="2:9">
      <c r="C1967" s="33">
        <v>2.6859999999999999</v>
      </c>
      <c r="D1967" s="23">
        <v>150</v>
      </c>
      <c r="E1967" s="23">
        <v>96.5</v>
      </c>
      <c r="F1967" s="23">
        <v>43.32</v>
      </c>
      <c r="G1967" s="23">
        <v>516.79999999999995</v>
      </c>
      <c r="H1967" s="23">
        <v>3.593</v>
      </c>
      <c r="I1967" s="13">
        <f t="shared" si="30"/>
        <v>2.2276084949215145</v>
      </c>
    </row>
    <row r="1968" spans="2:9">
      <c r="C1968" s="33">
        <v>2.6819999999999999</v>
      </c>
      <c r="D1968" s="23">
        <v>166</v>
      </c>
      <c r="E1968" s="23">
        <v>96.33</v>
      </c>
      <c r="F1968" s="23">
        <v>43.54</v>
      </c>
      <c r="G1968" s="23">
        <v>516.9</v>
      </c>
      <c r="H1968" s="23">
        <v>3.3719999999999999</v>
      </c>
      <c r="I1968" s="13">
        <f t="shared" si="30"/>
        <v>2.2124483233807992</v>
      </c>
    </row>
    <row r="1969" spans="2:9">
      <c r="C1969" s="33">
        <v>2.657</v>
      </c>
      <c r="D1969" s="23">
        <v>174</v>
      </c>
      <c r="E1969" s="23">
        <v>96.06</v>
      </c>
      <c r="F1969" s="23">
        <v>43.31</v>
      </c>
      <c r="G1969" s="23">
        <v>516.29999999999995</v>
      </c>
      <c r="H1969" s="23">
        <v>3.4380000000000002</v>
      </c>
      <c r="I1969" s="13">
        <f t="shared" si="30"/>
        <v>2.2179635188178248</v>
      </c>
    </row>
    <row r="1970" spans="2:9">
      <c r="C1970" s="33">
        <v>2.6709999999999998</v>
      </c>
      <c r="D1970" s="23">
        <v>131.19999999999999</v>
      </c>
      <c r="E1970" s="23">
        <v>96.24</v>
      </c>
      <c r="F1970" s="23">
        <v>42.91</v>
      </c>
      <c r="G1970" s="23">
        <v>510.1</v>
      </c>
      <c r="H1970" s="23">
        <v>3.4980000000000002</v>
      </c>
      <c r="I1970" s="13">
        <f t="shared" si="30"/>
        <v>2.2428338382661384</v>
      </c>
    </row>
    <row r="1971" spans="2:9">
      <c r="C1971" s="33">
        <v>2.6989999999999998</v>
      </c>
      <c r="D1971" s="23">
        <v>120.3</v>
      </c>
      <c r="E1971" s="23">
        <v>96.41</v>
      </c>
      <c r="F1971" s="23">
        <v>42.98</v>
      </c>
      <c r="G1971" s="23">
        <v>509</v>
      </c>
      <c r="H1971" s="23">
        <v>3.58</v>
      </c>
      <c r="I1971" s="13">
        <f t="shared" si="30"/>
        <v>2.2431363424848767</v>
      </c>
    </row>
    <row r="1972" spans="2:9">
      <c r="C1972" s="33">
        <v>2.702</v>
      </c>
      <c r="D1972" s="23">
        <v>141.9</v>
      </c>
      <c r="E1972" s="23">
        <v>96.66</v>
      </c>
      <c r="F1972" s="23">
        <v>43.64</v>
      </c>
      <c r="G1972" s="23">
        <v>510.6</v>
      </c>
      <c r="H1972" s="23">
        <v>3.59</v>
      </c>
      <c r="I1972" s="13">
        <f t="shared" si="30"/>
        <v>2.2149404216315305</v>
      </c>
    </row>
    <row r="1973" spans="2:9">
      <c r="C1973" s="33">
        <v>2.6890000000000001</v>
      </c>
      <c r="D1973" s="23">
        <v>122.8</v>
      </c>
      <c r="E1973" s="23">
        <v>96.33</v>
      </c>
      <c r="F1973" s="23">
        <v>43.84</v>
      </c>
      <c r="G1973" s="23">
        <v>510.5</v>
      </c>
      <c r="H1973" s="23">
        <v>3.593</v>
      </c>
      <c r="I1973" s="13">
        <f t="shared" si="30"/>
        <v>2.1973083941605838</v>
      </c>
    </row>
    <row r="1974" spans="2:9">
      <c r="C1974" s="33">
        <v>2.669</v>
      </c>
      <c r="D1974" s="23">
        <v>129.4</v>
      </c>
      <c r="E1974" s="23">
        <v>96.24</v>
      </c>
      <c r="F1974" s="23">
        <v>43.35</v>
      </c>
      <c r="G1974" s="23">
        <v>511.6</v>
      </c>
      <c r="H1974" s="23">
        <v>3.9940000000000002</v>
      </c>
      <c r="I1974" s="13">
        <f t="shared" si="30"/>
        <v>2.220069204152249</v>
      </c>
    </row>
    <row r="1975" spans="2:9">
      <c r="C1975" s="33">
        <v>2.669</v>
      </c>
      <c r="D1975" s="23">
        <v>177.4</v>
      </c>
      <c r="E1975" s="23">
        <v>96.41</v>
      </c>
      <c r="F1975" s="23">
        <v>43.55</v>
      </c>
      <c r="G1975" s="23">
        <v>515</v>
      </c>
      <c r="H1975" s="23">
        <v>3.9910000000000001</v>
      </c>
      <c r="I1975" s="13">
        <f t="shared" si="30"/>
        <v>2.2137772675086107</v>
      </c>
    </row>
    <row r="1976" spans="2:9">
      <c r="C1976" s="33">
        <v>2.6640000000000001</v>
      </c>
      <c r="D1976" s="23">
        <v>152.6</v>
      </c>
      <c r="E1976" s="23">
        <v>96.15</v>
      </c>
      <c r="F1976" s="23">
        <v>43.44</v>
      </c>
      <c r="G1976" s="23">
        <v>518.4</v>
      </c>
      <c r="H1976" s="23">
        <v>3.9390000000000001</v>
      </c>
      <c r="I1976" s="13">
        <f t="shared" si="30"/>
        <v>2.2133977900552488</v>
      </c>
    </row>
    <row r="1977" spans="2:9">
      <c r="C1977" s="33">
        <v>2.6829999999999998</v>
      </c>
      <c r="D1977" s="23">
        <v>146.69999999999999</v>
      </c>
      <c r="E1977" s="23">
        <v>96.5</v>
      </c>
      <c r="F1977" s="23">
        <v>43.18</v>
      </c>
      <c r="G1977" s="23">
        <v>520.5</v>
      </c>
      <c r="H1977" s="23">
        <v>3.8559999999999999</v>
      </c>
      <c r="I1977" s="13">
        <f t="shared" si="30"/>
        <v>2.2348309402501156</v>
      </c>
    </row>
    <row r="1978" spans="2:9">
      <c r="C1978" s="33">
        <v>2.661</v>
      </c>
      <c r="D1978" s="23">
        <v>163</v>
      </c>
      <c r="E1978" s="23">
        <v>97.01</v>
      </c>
      <c r="F1978" s="23">
        <v>43.22</v>
      </c>
      <c r="G1978" s="23">
        <v>541.70000000000005</v>
      </c>
      <c r="H1978" s="23">
        <v>3.6890000000000001</v>
      </c>
      <c r="I1978" s="13">
        <f t="shared" si="30"/>
        <v>2.2445627024525683</v>
      </c>
    </row>
    <row r="1979" spans="2:9">
      <c r="C1979" s="33">
        <v>2.641</v>
      </c>
      <c r="D1979" s="23">
        <v>180.9</v>
      </c>
      <c r="E1979" s="23">
        <v>96.67</v>
      </c>
      <c r="F1979" s="23">
        <v>43.44</v>
      </c>
      <c r="G1979" s="23">
        <v>516.5</v>
      </c>
      <c r="H1979" s="23">
        <v>3.7829999999999999</v>
      </c>
      <c r="I1979" s="13">
        <f t="shared" si="30"/>
        <v>2.2253683241252302</v>
      </c>
    </row>
    <row r="1980" spans="2:9">
      <c r="C1980" s="33">
        <v>2.609</v>
      </c>
      <c r="D1980" s="23">
        <v>144.9</v>
      </c>
      <c r="E1980" s="23">
        <v>96.58</v>
      </c>
      <c r="F1980" s="23">
        <v>43.18</v>
      </c>
      <c r="G1980" s="23">
        <v>518.6</v>
      </c>
      <c r="H1980" s="23">
        <v>3.266</v>
      </c>
      <c r="I1980" s="13">
        <f t="shared" si="30"/>
        <v>2.2366836498378877</v>
      </c>
    </row>
    <row r="1981" spans="2:9">
      <c r="C1981" s="33">
        <v>2.617</v>
      </c>
      <c r="D1981" s="23">
        <v>166.9</v>
      </c>
      <c r="E1981" s="23">
        <v>96.75</v>
      </c>
      <c r="F1981" s="23">
        <v>43.35</v>
      </c>
      <c r="G1981" s="23">
        <v>522</v>
      </c>
      <c r="H1981" s="23">
        <v>3.3839999999999999</v>
      </c>
      <c r="I1981" s="13">
        <f t="shared" si="30"/>
        <v>2.2318339100346019</v>
      </c>
    </row>
    <row r="1982" spans="2:9">
      <c r="B1982" s="35">
        <v>100</v>
      </c>
      <c r="C1982" s="36">
        <v>2.5369999999999999</v>
      </c>
      <c r="D1982" s="38">
        <v>97.86</v>
      </c>
      <c r="E1982" s="38">
        <v>95.09</v>
      </c>
      <c r="F1982" s="38">
        <v>25.28</v>
      </c>
      <c r="G1982" s="38">
        <v>494.5</v>
      </c>
      <c r="H1982" s="38">
        <v>7.234</v>
      </c>
      <c r="I1982" s="13">
        <f t="shared" si="30"/>
        <v>3.7614715189873418</v>
      </c>
    </row>
    <row r="1983" spans="2:9">
      <c r="C1983" s="33">
        <v>2.5499999999999998</v>
      </c>
      <c r="D1983" s="23">
        <v>98.61</v>
      </c>
      <c r="E1983" s="23">
        <v>95.41</v>
      </c>
      <c r="F1983" s="23">
        <v>25.51</v>
      </c>
      <c r="G1983" s="23">
        <v>489.2</v>
      </c>
      <c r="H1983" s="23">
        <v>6.3620000000000001</v>
      </c>
      <c r="I1983" s="13">
        <f t="shared" si="30"/>
        <v>3.7401019208153663</v>
      </c>
    </row>
    <row r="1984" spans="2:9">
      <c r="C1984" s="33">
        <v>2.5609999999999999</v>
      </c>
      <c r="D1984" s="23">
        <v>99.27</v>
      </c>
      <c r="E1984" s="23">
        <v>96</v>
      </c>
      <c r="F1984" s="23">
        <v>25.58</v>
      </c>
      <c r="G1984" s="23">
        <v>502.3</v>
      </c>
      <c r="H1984" s="23">
        <v>7.8390000000000004</v>
      </c>
      <c r="I1984" s="13">
        <f t="shared" si="30"/>
        <v>3.7529319781078971</v>
      </c>
    </row>
    <row r="1985" spans="3:9">
      <c r="C1985" s="33">
        <v>2.5640000000000001</v>
      </c>
      <c r="D1985" s="23">
        <v>103</v>
      </c>
      <c r="E1985" s="23">
        <v>96.3</v>
      </c>
      <c r="F1985" s="23">
        <v>25.67</v>
      </c>
      <c r="G1985" s="23">
        <v>495</v>
      </c>
      <c r="H1985" s="23">
        <v>8.0570000000000004</v>
      </c>
      <c r="I1985" s="13">
        <f t="shared" si="30"/>
        <v>3.7514608492403578</v>
      </c>
    </row>
    <row r="1986" spans="3:9">
      <c r="C1986" s="33">
        <v>2.552</v>
      </c>
      <c r="D1986" s="23">
        <v>99.27</v>
      </c>
      <c r="E1986" s="23">
        <v>96.2</v>
      </c>
      <c r="F1986" s="23">
        <v>25.74</v>
      </c>
      <c r="G1986" s="23">
        <v>494.7</v>
      </c>
      <c r="H1986" s="23">
        <v>6.9189999999999996</v>
      </c>
      <c r="I1986" s="13">
        <f t="shared" si="30"/>
        <v>3.7373737373737379</v>
      </c>
    </row>
    <row r="1987" spans="3:9">
      <c r="C1987" s="33">
        <v>2.5590000000000002</v>
      </c>
      <c r="D1987" s="23">
        <v>96.46</v>
      </c>
      <c r="E1987" s="23">
        <v>96.13</v>
      </c>
      <c r="F1987" s="23">
        <v>25.4</v>
      </c>
      <c r="G1987" s="23">
        <v>486.6</v>
      </c>
      <c r="H1987" s="23">
        <v>6.4420000000000002</v>
      </c>
      <c r="I1987" s="13">
        <f t="shared" ref="I1987:I2001" si="31">E1987/F1987</f>
        <v>3.7846456692913386</v>
      </c>
    </row>
    <row r="1988" spans="3:9">
      <c r="C1988" s="33">
        <v>2.5430000000000001</v>
      </c>
      <c r="D1988" s="23">
        <v>97.86</v>
      </c>
      <c r="E1988" s="23">
        <v>95.98</v>
      </c>
      <c r="F1988" s="23">
        <v>25.24</v>
      </c>
      <c r="G1988" s="23">
        <v>492.2</v>
      </c>
      <c r="H1988" s="23">
        <v>7.0069999999999997</v>
      </c>
      <c r="I1988" s="13">
        <f t="shared" si="31"/>
        <v>3.8026941362916009</v>
      </c>
    </row>
    <row r="1989" spans="3:9">
      <c r="C1989" s="33">
        <v>2.5459999999999998</v>
      </c>
      <c r="D1989" s="23">
        <v>97.84</v>
      </c>
      <c r="E1989" s="23">
        <v>96.21</v>
      </c>
      <c r="F1989" s="23">
        <v>24.98</v>
      </c>
      <c r="G1989" s="23">
        <v>488.5</v>
      </c>
      <c r="H1989" s="23">
        <v>7.9749999999999996</v>
      </c>
      <c r="I1989" s="13">
        <f t="shared" si="31"/>
        <v>3.851481184947958</v>
      </c>
    </row>
    <row r="1990" spans="3:9">
      <c r="C1990" s="33">
        <v>2.5550000000000002</v>
      </c>
      <c r="D1990" s="23">
        <v>106.1</v>
      </c>
      <c r="E1990" s="23">
        <v>95.43</v>
      </c>
      <c r="F1990" s="23">
        <v>25.05</v>
      </c>
      <c r="G1990" s="23">
        <v>495.4</v>
      </c>
      <c r="H1990" s="23">
        <v>6.766</v>
      </c>
      <c r="I1990" s="13">
        <f t="shared" si="31"/>
        <v>3.8095808383233534</v>
      </c>
    </row>
    <row r="1991" spans="3:9">
      <c r="C1991" s="33">
        <v>2.56</v>
      </c>
      <c r="D1991" s="23">
        <v>135.1</v>
      </c>
      <c r="E1991" s="23">
        <v>95.76</v>
      </c>
      <c r="F1991" s="23">
        <v>25.15</v>
      </c>
      <c r="G1991" s="23">
        <v>500</v>
      </c>
      <c r="H1991" s="23">
        <v>6.1390000000000002</v>
      </c>
      <c r="I1991" s="13">
        <f t="shared" si="31"/>
        <v>3.8075546719681914</v>
      </c>
    </row>
    <row r="1992" spans="3:9">
      <c r="C1992" s="33">
        <v>2.5590000000000002</v>
      </c>
      <c r="D1992" s="23">
        <v>121.9</v>
      </c>
      <c r="E1992" s="23">
        <v>95.93</v>
      </c>
      <c r="F1992" s="23">
        <v>25.24</v>
      </c>
      <c r="G1992" s="23">
        <v>502.3</v>
      </c>
      <c r="H1992" s="23">
        <v>6.5919999999999996</v>
      </c>
      <c r="I1992" s="13">
        <f t="shared" si="31"/>
        <v>3.8007131537242476</v>
      </c>
    </row>
    <row r="1993" spans="3:9">
      <c r="C1993" s="33">
        <v>2.569</v>
      </c>
      <c r="D1993" s="23">
        <v>112.6</v>
      </c>
      <c r="E1993" s="23">
        <v>95.63</v>
      </c>
      <c r="F1993" s="23">
        <v>25.33</v>
      </c>
      <c r="G1993" s="23">
        <v>502.2</v>
      </c>
      <c r="H1993" s="23">
        <v>7.3239999999999998</v>
      </c>
      <c r="I1993" s="13">
        <f t="shared" si="31"/>
        <v>3.7753651796288987</v>
      </c>
    </row>
    <row r="1994" spans="3:9">
      <c r="C1994" s="33">
        <v>2.5539999999999998</v>
      </c>
      <c r="D1994" s="23">
        <v>101.3</v>
      </c>
      <c r="E1994" s="23">
        <v>95.52</v>
      </c>
      <c r="F1994" s="23">
        <v>25.42</v>
      </c>
      <c r="G1994" s="23">
        <v>501.8</v>
      </c>
      <c r="H1994" s="23">
        <v>7.2839999999999998</v>
      </c>
      <c r="I1994" s="13">
        <f t="shared" si="31"/>
        <v>3.7576711250983474</v>
      </c>
    </row>
    <row r="1995" spans="3:9">
      <c r="C1995" s="33">
        <v>2.5289999999999999</v>
      </c>
      <c r="D1995" s="23">
        <v>98.91</v>
      </c>
      <c r="E1995" s="23">
        <v>95.29</v>
      </c>
      <c r="F1995" s="23">
        <v>25.7</v>
      </c>
      <c r="G1995" s="23">
        <v>505.4</v>
      </c>
      <c r="H1995" s="23">
        <v>8.0009999999999994</v>
      </c>
      <c r="I1995" s="13">
        <f t="shared" si="31"/>
        <v>3.7077821011673153</v>
      </c>
    </row>
    <row r="1996" spans="3:9">
      <c r="C1996" s="33">
        <v>2.4950000000000001</v>
      </c>
      <c r="D1996" s="23">
        <v>94.66</v>
      </c>
      <c r="E1996" s="23">
        <v>95.4</v>
      </c>
      <c r="F1996" s="23">
        <v>25.98</v>
      </c>
      <c r="G1996" s="23">
        <v>500.4</v>
      </c>
      <c r="H1996" s="23">
        <v>7.9240000000000004</v>
      </c>
      <c r="I1996" s="13">
        <f t="shared" si="31"/>
        <v>3.6720554272517321</v>
      </c>
    </row>
    <row r="1997" spans="3:9">
      <c r="C1997" s="33">
        <v>2.4790000000000001</v>
      </c>
      <c r="D1997" s="23">
        <v>99.26</v>
      </c>
      <c r="E1997" s="23">
        <v>95.55</v>
      </c>
      <c r="F1997" s="23">
        <v>25.4</v>
      </c>
      <c r="G1997" s="23">
        <v>495.4</v>
      </c>
      <c r="H1997" s="23">
        <v>8.5180000000000007</v>
      </c>
      <c r="I1997" s="13">
        <f t="shared" si="31"/>
        <v>3.7618110236220472</v>
      </c>
    </row>
    <row r="1998" spans="3:9">
      <c r="C1998" s="33">
        <v>2.5510000000000002</v>
      </c>
      <c r="D1998" s="23">
        <v>103</v>
      </c>
      <c r="E1998" s="23">
        <v>96.16</v>
      </c>
      <c r="F1998" s="23">
        <v>25.5</v>
      </c>
      <c r="G1998" s="23">
        <v>495</v>
      </c>
      <c r="H1998" s="23">
        <v>8.3140000000000001</v>
      </c>
      <c r="I1998" s="13">
        <f t="shared" si="31"/>
        <v>3.7709803921568628</v>
      </c>
    </row>
    <row r="1999" spans="3:9">
      <c r="C1999" s="33">
        <v>2.544</v>
      </c>
      <c r="D1999" s="23">
        <v>99.27</v>
      </c>
      <c r="E1999" s="23">
        <v>95.87</v>
      </c>
      <c r="F1999" s="23">
        <v>25.8</v>
      </c>
      <c r="G1999" s="23">
        <v>492</v>
      </c>
      <c r="H1999" s="23">
        <v>7.9</v>
      </c>
      <c r="I1999" s="13">
        <f t="shared" si="31"/>
        <v>3.7158914728682171</v>
      </c>
    </row>
    <row r="2000" spans="3:9">
      <c r="C2000" s="33">
        <v>2.552</v>
      </c>
      <c r="D2000" s="23">
        <v>110.5</v>
      </c>
      <c r="E2000" s="23">
        <v>95.54</v>
      </c>
      <c r="F2000" s="23">
        <v>25.6</v>
      </c>
      <c r="G2000" s="23">
        <v>486.6</v>
      </c>
      <c r="H2000" s="23">
        <v>7.8390000000000004</v>
      </c>
      <c r="I2000" s="13">
        <f t="shared" si="31"/>
        <v>3.7320312499999999</v>
      </c>
    </row>
    <row r="2001" spans="2:11">
      <c r="C2001" s="33">
        <v>2.5590000000000002</v>
      </c>
      <c r="D2001" s="23">
        <v>100.2</v>
      </c>
      <c r="E2001" s="23">
        <v>96.16</v>
      </c>
      <c r="F2001" s="23">
        <v>25.5</v>
      </c>
      <c r="G2001" s="23">
        <v>495.1</v>
      </c>
      <c r="H2001" s="23">
        <v>7.8390000000000004</v>
      </c>
      <c r="I2001" s="13">
        <f t="shared" si="31"/>
        <v>3.7709803921568628</v>
      </c>
    </row>
    <row r="2002" spans="2:11">
      <c r="B2002" s="41" t="s">
        <v>8</v>
      </c>
      <c r="C2002" s="42">
        <f>AVERAGE(C2:C2001)</f>
        <v>2.3688579999999999</v>
      </c>
      <c r="D2002" s="44">
        <f>AVERAGE(D2:D2001)</f>
        <v>152.50794000000013</v>
      </c>
      <c r="E2002" s="44">
        <f>AVERAGE(E2:E2001)</f>
        <v>98.747554999999849</v>
      </c>
      <c r="F2002" s="44">
        <f>AVERAGE(F2:F2001)</f>
        <v>31.648077499999985</v>
      </c>
      <c r="G2002" s="44">
        <f>AVERAGE(G2:G2001)</f>
        <v>546.83404999999982</v>
      </c>
      <c r="H2002" s="44">
        <f>AVERAGE(H2:H2001)</f>
        <v>4.9127582500000111</v>
      </c>
      <c r="I2002" s="32">
        <f>AVERAGE(I2:I2001)</f>
        <v>3.2466254247707864</v>
      </c>
      <c r="K2002" s="40"/>
    </row>
    <row r="2003" spans="2:11">
      <c r="C2003" s="45"/>
      <c r="D2003" s="40"/>
      <c r="E2003" s="40"/>
      <c r="F2003" s="40"/>
      <c r="G2003" s="40"/>
      <c r="H2003" s="40"/>
      <c r="K2003" s="40"/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003"/>
  <sheetViews>
    <sheetView topLeftCell="A1967" zoomScale="115" zoomScaleNormal="115" workbookViewId="0">
      <selection activeCell="D1258" sqref="D1:D1048576"/>
    </sheetView>
  </sheetViews>
  <sheetFormatPr defaultColWidth="9.21875" defaultRowHeight="14.4"/>
  <cols>
    <col min="2" max="2" width="13.6640625" style="3" customWidth="1"/>
    <col min="3" max="3" width="18.88671875" style="3" customWidth="1"/>
    <col min="4" max="4" width="25.44140625" style="21" customWidth="1"/>
    <col min="5" max="6" width="15.6640625" style="3" customWidth="1"/>
    <col min="7" max="7" width="20.5546875" style="3" customWidth="1"/>
    <col min="8" max="8" width="24" style="3" customWidth="1"/>
    <col min="9" max="9" width="12.44140625" style="13" customWidth="1"/>
    <col min="10" max="10" width="9.109375" customWidth="1"/>
    <col min="11" max="11" width="18" style="3" customWidth="1"/>
  </cols>
  <sheetData>
    <row r="1" spans="2:9" ht="21">
      <c r="B1" s="14" t="s">
        <v>0</v>
      </c>
      <c r="C1" s="54" t="s">
        <v>1</v>
      </c>
      <c r="D1" s="5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6">
        <v>1</v>
      </c>
      <c r="C2" s="17">
        <v>1.5880000000000001</v>
      </c>
      <c r="D2" s="29">
        <v>217.2</v>
      </c>
      <c r="E2" s="18">
        <v>100.4</v>
      </c>
      <c r="F2" s="18">
        <v>31.92</v>
      </c>
      <c r="G2" s="19">
        <v>624.20000000000005</v>
      </c>
      <c r="H2" s="18">
        <v>9.8829999999999991</v>
      </c>
      <c r="I2" s="13">
        <f>E2/F2</f>
        <v>3.1453634085213</v>
      </c>
    </row>
    <row r="3" spans="2:9">
      <c r="C3" s="20">
        <v>1.603</v>
      </c>
      <c r="D3" s="21">
        <v>202.2</v>
      </c>
      <c r="E3" s="3">
        <v>99.95</v>
      </c>
      <c r="F3" s="3">
        <v>33.450000000000003</v>
      </c>
      <c r="G3" s="21">
        <v>623</v>
      </c>
      <c r="H3" s="3">
        <v>10.199999999999999</v>
      </c>
      <c r="I3" s="13">
        <f t="shared" ref="I3:I66" si="0">E3/F3</f>
        <v>2.9880418535127098</v>
      </c>
    </row>
    <row r="4" spans="2:9">
      <c r="C4" s="20">
        <v>1.5760000000000001</v>
      </c>
      <c r="D4" s="21">
        <v>206</v>
      </c>
      <c r="E4" s="3">
        <v>99.25</v>
      </c>
      <c r="F4" s="3">
        <v>32.979999999999997</v>
      </c>
      <c r="G4" s="21">
        <v>624.9</v>
      </c>
      <c r="H4" s="3">
        <v>10.1</v>
      </c>
      <c r="I4" s="13">
        <f t="shared" si="0"/>
        <v>3.0093996361431201</v>
      </c>
    </row>
    <row r="5" spans="2:9">
      <c r="C5" s="20">
        <v>1.6040000000000001</v>
      </c>
      <c r="D5" s="21">
        <v>192.4</v>
      </c>
      <c r="E5" s="3">
        <v>99.86</v>
      </c>
      <c r="F5" s="3">
        <v>33.29</v>
      </c>
      <c r="G5" s="21">
        <v>623.6</v>
      </c>
      <c r="H5" s="3">
        <v>9.9789999999999992</v>
      </c>
      <c r="I5" s="13">
        <f t="shared" si="0"/>
        <v>2.9996996094923398</v>
      </c>
    </row>
    <row r="6" spans="2:9">
      <c r="C6" s="20">
        <v>1.5980000000000001</v>
      </c>
      <c r="D6" s="21">
        <v>202.2</v>
      </c>
      <c r="E6" s="3">
        <v>99.37</v>
      </c>
      <c r="F6" s="3">
        <v>33.36</v>
      </c>
      <c r="G6" s="21">
        <v>624.20000000000005</v>
      </c>
      <c r="H6" s="3">
        <v>10.19</v>
      </c>
      <c r="I6" s="13">
        <f t="shared" si="0"/>
        <v>2.9787170263789</v>
      </c>
    </row>
    <row r="7" spans="2:9">
      <c r="C7" s="20">
        <v>1.57</v>
      </c>
      <c r="D7" s="21">
        <v>186.2</v>
      </c>
      <c r="E7" s="3">
        <v>100.2</v>
      </c>
      <c r="F7" s="3">
        <v>33.22</v>
      </c>
      <c r="G7" s="21">
        <v>617.20000000000005</v>
      </c>
      <c r="H7" s="3">
        <v>10.06</v>
      </c>
      <c r="I7" s="13">
        <f t="shared" si="0"/>
        <v>3.0162552679108998</v>
      </c>
    </row>
    <row r="8" spans="2:9">
      <c r="C8" s="20">
        <v>1.603</v>
      </c>
      <c r="D8" s="21">
        <v>204.2</v>
      </c>
      <c r="E8" s="3">
        <v>100.5</v>
      </c>
      <c r="F8" s="3">
        <v>32.94</v>
      </c>
      <c r="G8" s="21">
        <v>618.70000000000005</v>
      </c>
      <c r="H8" s="3">
        <v>10.39</v>
      </c>
      <c r="I8" s="13">
        <f t="shared" si="0"/>
        <v>3.0510018214936201</v>
      </c>
    </row>
    <row r="9" spans="2:9">
      <c r="C9" s="20">
        <v>1.54</v>
      </c>
      <c r="D9" s="21">
        <v>210.4</v>
      </c>
      <c r="E9" s="3">
        <v>99.41</v>
      </c>
      <c r="F9" s="3">
        <v>32.97</v>
      </c>
      <c r="G9" s="21">
        <v>628.70000000000005</v>
      </c>
      <c r="H9" s="3">
        <v>10.7</v>
      </c>
      <c r="I9" s="13">
        <f t="shared" si="0"/>
        <v>3.0151653017895099</v>
      </c>
    </row>
    <row r="10" spans="2:9">
      <c r="C10" s="20">
        <v>1.532</v>
      </c>
      <c r="D10" s="21">
        <v>223</v>
      </c>
      <c r="E10" s="3">
        <v>99.58</v>
      </c>
      <c r="F10" s="3">
        <v>33.619999999999997</v>
      </c>
      <c r="G10" s="21">
        <v>624.6</v>
      </c>
      <c r="H10" s="3">
        <v>10.31</v>
      </c>
      <c r="I10" s="13">
        <f t="shared" si="0"/>
        <v>2.9619274241522899</v>
      </c>
    </row>
    <row r="11" spans="2:9">
      <c r="C11" s="20">
        <v>1.627</v>
      </c>
      <c r="D11" s="21">
        <v>202.3</v>
      </c>
      <c r="E11" s="3">
        <v>98.79</v>
      </c>
      <c r="F11" s="3">
        <v>33.11</v>
      </c>
      <c r="G11" s="21">
        <v>621.6</v>
      </c>
      <c r="H11" s="3">
        <v>10.95</v>
      </c>
      <c r="I11" s="13">
        <f t="shared" si="0"/>
        <v>2.9836907278767701</v>
      </c>
    </row>
    <row r="12" spans="2:9">
      <c r="C12" s="20">
        <v>1.6140000000000001</v>
      </c>
      <c r="D12" s="21">
        <v>209.4</v>
      </c>
      <c r="E12" s="3">
        <v>98.19</v>
      </c>
      <c r="F12" s="3">
        <v>32.950000000000003</v>
      </c>
      <c r="G12" s="21">
        <v>621.4</v>
      </c>
      <c r="H12" s="3">
        <v>10.64</v>
      </c>
      <c r="I12" s="13">
        <f t="shared" si="0"/>
        <v>2.97996965098634</v>
      </c>
    </row>
    <row r="13" spans="2:9">
      <c r="C13" s="20">
        <v>1.488</v>
      </c>
      <c r="D13" s="21">
        <v>210.8</v>
      </c>
      <c r="E13" s="3">
        <v>99.36</v>
      </c>
      <c r="F13" s="3">
        <v>32.79</v>
      </c>
      <c r="G13" s="21">
        <v>624.29999999999995</v>
      </c>
      <c r="H13" s="3">
        <v>10.47</v>
      </c>
      <c r="I13" s="13">
        <f t="shared" si="0"/>
        <v>3.03019213174748</v>
      </c>
    </row>
    <row r="14" spans="2:9">
      <c r="C14" s="20">
        <v>1.383</v>
      </c>
      <c r="D14" s="21">
        <v>211.2</v>
      </c>
      <c r="E14" s="3">
        <v>98.12</v>
      </c>
      <c r="F14" s="3">
        <v>33.28</v>
      </c>
      <c r="G14" s="21">
        <v>623</v>
      </c>
      <c r="H14" s="3">
        <v>10.199999999999999</v>
      </c>
      <c r="I14" s="13">
        <f t="shared" si="0"/>
        <v>2.9483173076923102</v>
      </c>
    </row>
    <row r="15" spans="2:9">
      <c r="C15" s="20">
        <v>1.3779999999999999</v>
      </c>
      <c r="D15" s="21">
        <v>202</v>
      </c>
      <c r="E15" s="3">
        <v>100.3</v>
      </c>
      <c r="F15" s="3">
        <v>33.11</v>
      </c>
      <c r="G15" s="21">
        <v>631.6</v>
      </c>
      <c r="H15" s="3">
        <v>10.78</v>
      </c>
      <c r="I15" s="13">
        <f t="shared" si="0"/>
        <v>3.0292962851102399</v>
      </c>
    </row>
    <row r="16" spans="2:9">
      <c r="C16" s="20">
        <v>1.2410000000000001</v>
      </c>
      <c r="D16" s="21">
        <v>211.3</v>
      </c>
      <c r="E16" s="3">
        <v>97.98</v>
      </c>
      <c r="F16" s="3">
        <v>33.96</v>
      </c>
      <c r="G16" s="21">
        <v>625.29999999999995</v>
      </c>
      <c r="H16" s="3">
        <v>10.050000000000001</v>
      </c>
      <c r="I16" s="13">
        <f t="shared" si="0"/>
        <v>2.8851590106007099</v>
      </c>
    </row>
    <row r="17" spans="2:9">
      <c r="C17" s="20">
        <v>1.448</v>
      </c>
      <c r="D17" s="21">
        <v>185.2</v>
      </c>
      <c r="E17" s="3">
        <v>98.34</v>
      </c>
      <c r="F17" s="3">
        <v>32.630000000000003</v>
      </c>
      <c r="G17" s="21">
        <v>623</v>
      </c>
      <c r="H17" s="3">
        <v>10.27</v>
      </c>
      <c r="I17" s="13">
        <f t="shared" si="0"/>
        <v>3.0137909898866102</v>
      </c>
    </row>
    <row r="18" spans="2:9">
      <c r="C18" s="20">
        <v>1.587</v>
      </c>
      <c r="D18" s="21">
        <v>188</v>
      </c>
      <c r="E18" s="3">
        <v>99.17</v>
      </c>
      <c r="F18" s="3">
        <v>33.97</v>
      </c>
      <c r="G18" s="21">
        <v>619.6</v>
      </c>
      <c r="H18" s="3">
        <v>10.38</v>
      </c>
      <c r="I18" s="13">
        <f t="shared" si="0"/>
        <v>2.9193405946423301</v>
      </c>
    </row>
    <row r="19" spans="2:9">
      <c r="C19" s="20">
        <v>1.5780000000000001</v>
      </c>
      <c r="D19" s="21">
        <v>202.5</v>
      </c>
      <c r="E19" s="3">
        <v>99.58</v>
      </c>
      <c r="F19" s="3">
        <v>32.94</v>
      </c>
      <c r="G19" s="21">
        <v>624</v>
      </c>
      <c r="H19" s="3">
        <v>10.57</v>
      </c>
      <c r="I19" s="13">
        <f t="shared" si="0"/>
        <v>3.0230722525804499</v>
      </c>
    </row>
    <row r="20" spans="2:9">
      <c r="C20" s="20">
        <v>1.623</v>
      </c>
      <c r="D20" s="21">
        <v>195.4</v>
      </c>
      <c r="E20" s="3">
        <v>99.73</v>
      </c>
      <c r="F20" s="3">
        <v>33.28</v>
      </c>
      <c r="G20" s="21">
        <v>621.29999999999995</v>
      </c>
      <c r="H20" s="3">
        <v>10.19</v>
      </c>
      <c r="I20" s="13">
        <f t="shared" si="0"/>
        <v>2.9966947115384599</v>
      </c>
    </row>
    <row r="21" spans="2:9">
      <c r="C21" s="20">
        <v>1.4990000000000001</v>
      </c>
      <c r="D21" s="21">
        <v>201.2</v>
      </c>
      <c r="E21" s="3">
        <v>98.68</v>
      </c>
      <c r="F21" s="3">
        <v>32.61</v>
      </c>
      <c r="G21" s="21">
        <v>625.29999999999995</v>
      </c>
      <c r="H21" s="3">
        <v>10.86</v>
      </c>
      <c r="I21" s="13">
        <f t="shared" si="0"/>
        <v>3.0260656240417099</v>
      </c>
    </row>
    <row r="22" spans="2:9">
      <c r="B22" s="16">
        <v>2</v>
      </c>
      <c r="C22" s="17">
        <v>4</v>
      </c>
      <c r="D22" s="29">
        <v>249.8</v>
      </c>
      <c r="E22" s="18">
        <v>104.4</v>
      </c>
      <c r="F22" s="18">
        <v>44.25</v>
      </c>
      <c r="G22" s="19">
        <v>651.9</v>
      </c>
      <c r="H22" s="18">
        <v>8.4640000000000004</v>
      </c>
      <c r="I22" s="13">
        <f t="shared" si="0"/>
        <v>2.3593220338983101</v>
      </c>
    </row>
    <row r="23" spans="2:9">
      <c r="C23" s="20">
        <v>3.8410000000000002</v>
      </c>
      <c r="D23" s="21">
        <v>286.89999999999998</v>
      </c>
      <c r="E23" s="3">
        <v>104.5</v>
      </c>
      <c r="F23" s="3">
        <v>44.69</v>
      </c>
      <c r="G23" s="21">
        <v>646.9</v>
      </c>
      <c r="H23" s="3">
        <v>7.8920000000000003</v>
      </c>
      <c r="I23" s="13">
        <f t="shared" si="0"/>
        <v>2.33833072275677</v>
      </c>
    </row>
    <row r="24" spans="2:9">
      <c r="C24" s="20">
        <v>3.9169999999999998</v>
      </c>
      <c r="D24" s="21">
        <v>247.9</v>
      </c>
      <c r="E24" s="3">
        <v>104.6</v>
      </c>
      <c r="F24" s="3">
        <v>43.97</v>
      </c>
      <c r="G24" s="21">
        <v>641.5</v>
      </c>
      <c r="H24" s="3">
        <v>8.1129999999999995</v>
      </c>
      <c r="I24" s="13">
        <f t="shared" si="0"/>
        <v>2.3788947009324501</v>
      </c>
    </row>
    <row r="25" spans="2:9">
      <c r="C25" s="20">
        <v>3.96</v>
      </c>
      <c r="D25" s="21">
        <v>246.4</v>
      </c>
      <c r="E25" s="3">
        <v>103.6</v>
      </c>
      <c r="F25" s="3">
        <v>44.18</v>
      </c>
      <c r="G25" s="21">
        <v>642.9</v>
      </c>
      <c r="H25" s="3">
        <v>8.7509999999999994</v>
      </c>
      <c r="I25" s="13">
        <f t="shared" si="0"/>
        <v>2.3449524671797199</v>
      </c>
    </row>
    <row r="26" spans="2:9">
      <c r="C26" s="20">
        <v>3.7549999999999999</v>
      </c>
      <c r="D26" s="21">
        <v>233.5</v>
      </c>
      <c r="E26" s="3">
        <v>103.9</v>
      </c>
      <c r="F26" s="3">
        <v>44.73</v>
      </c>
      <c r="G26" s="21">
        <v>640.20000000000005</v>
      </c>
      <c r="H26" s="3">
        <v>8.7149999999999999</v>
      </c>
      <c r="I26" s="13">
        <f t="shared" si="0"/>
        <v>2.3228258439526002</v>
      </c>
    </row>
    <row r="27" spans="2:9">
      <c r="C27" s="20">
        <v>3.7040000000000002</v>
      </c>
      <c r="D27" s="21">
        <v>271.39999999999998</v>
      </c>
      <c r="E27" s="3">
        <v>103.7</v>
      </c>
      <c r="F27" s="3">
        <v>44.77</v>
      </c>
      <c r="G27" s="21">
        <v>646.79999999999995</v>
      </c>
      <c r="H27" s="3">
        <v>8.06</v>
      </c>
      <c r="I27" s="13">
        <f t="shared" si="0"/>
        <v>2.3162832253741299</v>
      </c>
    </row>
    <row r="28" spans="2:9">
      <c r="C28" s="20">
        <v>3.8330000000000002</v>
      </c>
      <c r="D28" s="21">
        <v>206.5</v>
      </c>
      <c r="E28" s="3">
        <v>102.5</v>
      </c>
      <c r="F28" s="3">
        <v>45.17</v>
      </c>
      <c r="G28" s="21">
        <v>648.6</v>
      </c>
      <c r="H28" s="3">
        <v>9.7750000000000004</v>
      </c>
      <c r="I28" s="13">
        <f t="shared" si="0"/>
        <v>2.2692052247066599</v>
      </c>
    </row>
    <row r="29" spans="2:9">
      <c r="C29" s="20">
        <v>3.96</v>
      </c>
      <c r="D29" s="21">
        <v>208.4</v>
      </c>
      <c r="E29" s="3">
        <v>104.7</v>
      </c>
      <c r="F29" s="3">
        <v>44.43</v>
      </c>
      <c r="G29" s="21">
        <v>638.20000000000005</v>
      </c>
      <c r="H29" s="3">
        <v>9.1850000000000005</v>
      </c>
      <c r="I29" s="13">
        <f t="shared" si="0"/>
        <v>2.3565158676569902</v>
      </c>
    </row>
    <row r="30" spans="2:9">
      <c r="C30" s="20">
        <v>3.2080000000000002</v>
      </c>
      <c r="D30" s="21">
        <v>188.3</v>
      </c>
      <c r="E30" s="3">
        <v>103.9</v>
      </c>
      <c r="F30" s="3">
        <v>44.4</v>
      </c>
      <c r="G30" s="21">
        <v>644.20000000000005</v>
      </c>
      <c r="H30" s="3">
        <v>9.2439999999999998</v>
      </c>
      <c r="I30" s="13">
        <f t="shared" si="0"/>
        <v>2.3400900900900901</v>
      </c>
    </row>
    <row r="31" spans="2:9">
      <c r="C31" s="20">
        <v>4.0199999999999996</v>
      </c>
      <c r="D31" s="21">
        <v>183.7</v>
      </c>
      <c r="E31" s="3">
        <v>103.8</v>
      </c>
      <c r="F31" s="3">
        <v>44.41</v>
      </c>
      <c r="G31" s="21">
        <v>642</v>
      </c>
      <c r="H31" s="3">
        <v>9.7149999999999999</v>
      </c>
      <c r="I31" s="13">
        <f t="shared" si="0"/>
        <v>2.3373114163476698</v>
      </c>
    </row>
    <row r="32" spans="2:9">
      <c r="C32" s="20">
        <v>3.9169999999999998</v>
      </c>
      <c r="D32" s="21">
        <v>203.6</v>
      </c>
      <c r="E32" s="3">
        <v>103.4</v>
      </c>
      <c r="F32" s="3">
        <v>44.86</v>
      </c>
      <c r="G32" s="21">
        <v>641.20000000000005</v>
      </c>
      <c r="H32" s="3">
        <v>9.2100000000000009</v>
      </c>
      <c r="I32" s="13">
        <f t="shared" si="0"/>
        <v>2.3049487293802899</v>
      </c>
    </row>
    <row r="33" spans="2:9">
      <c r="C33" s="20">
        <v>3.5619999999999998</v>
      </c>
      <c r="D33" s="21">
        <v>183.7</v>
      </c>
      <c r="E33" s="3">
        <v>105.1</v>
      </c>
      <c r="F33" s="3">
        <v>45.76</v>
      </c>
      <c r="G33" s="21">
        <v>642</v>
      </c>
      <c r="H33" s="3">
        <v>9.5350000000000001</v>
      </c>
      <c r="I33" s="13">
        <f t="shared" si="0"/>
        <v>2.2967657342657302</v>
      </c>
    </row>
    <row r="34" spans="2:9">
      <c r="C34" s="20">
        <v>3.3029999999999999</v>
      </c>
      <c r="D34" s="21">
        <v>255.1</v>
      </c>
      <c r="E34" s="3">
        <v>103.2</v>
      </c>
      <c r="F34" s="3">
        <v>44.54</v>
      </c>
      <c r="G34" s="21">
        <v>641.6</v>
      </c>
      <c r="H34" s="3">
        <v>8.8879999999999999</v>
      </c>
      <c r="I34" s="13">
        <f t="shared" si="0"/>
        <v>2.3170184104175999</v>
      </c>
    </row>
    <row r="35" spans="2:9">
      <c r="C35" s="20">
        <v>3.7189999999999999</v>
      </c>
      <c r="D35" s="21">
        <v>226.4</v>
      </c>
      <c r="E35" s="3">
        <v>104.7</v>
      </c>
      <c r="F35" s="3">
        <v>44.62</v>
      </c>
      <c r="G35" s="21">
        <v>642.9</v>
      </c>
      <c r="H35" s="3">
        <v>8.6660000000000004</v>
      </c>
      <c r="I35" s="13">
        <f t="shared" si="0"/>
        <v>2.34648139847602</v>
      </c>
    </row>
    <row r="36" spans="2:9">
      <c r="C36" s="20">
        <v>3.6459999999999999</v>
      </c>
      <c r="D36" s="21">
        <v>243.3</v>
      </c>
      <c r="E36" s="3">
        <v>105</v>
      </c>
      <c r="F36" s="3">
        <v>44.3</v>
      </c>
      <c r="G36" s="21">
        <v>640.20000000000005</v>
      </c>
      <c r="H36" s="3">
        <v>9.7729999999999997</v>
      </c>
      <c r="I36" s="13">
        <f t="shared" si="0"/>
        <v>2.3702031602708802</v>
      </c>
    </row>
    <row r="37" spans="2:9">
      <c r="C37" s="20">
        <v>4.0069999999999997</v>
      </c>
      <c r="D37" s="21">
        <v>235.1</v>
      </c>
      <c r="E37" s="3">
        <v>103.8</v>
      </c>
      <c r="F37" s="3">
        <v>44.71</v>
      </c>
      <c r="G37" s="21">
        <v>646.70000000000005</v>
      </c>
      <c r="H37" s="3">
        <v>9.7750000000000004</v>
      </c>
      <c r="I37" s="13">
        <f t="shared" si="0"/>
        <v>2.3216282710802898</v>
      </c>
    </row>
    <row r="38" spans="2:9">
      <c r="C38" s="20">
        <v>3.9950000000000001</v>
      </c>
      <c r="D38" s="21">
        <v>261.8</v>
      </c>
      <c r="E38" s="3">
        <v>106.5</v>
      </c>
      <c r="F38" s="3">
        <v>44.54</v>
      </c>
      <c r="G38" s="21">
        <v>641.5</v>
      </c>
      <c r="H38" s="3">
        <v>9.1850000000000005</v>
      </c>
      <c r="I38" s="13">
        <f t="shared" si="0"/>
        <v>2.39110911540189</v>
      </c>
    </row>
    <row r="39" spans="2:9">
      <c r="C39" s="20">
        <v>3.7690000000000001</v>
      </c>
      <c r="D39" s="21">
        <v>254</v>
      </c>
      <c r="E39" s="3">
        <v>106</v>
      </c>
      <c r="F39" s="3">
        <v>45.02</v>
      </c>
      <c r="G39" s="21">
        <v>646.70000000000005</v>
      </c>
      <c r="H39" s="3">
        <v>9.2439999999999998</v>
      </c>
      <c r="I39" s="13">
        <f t="shared" si="0"/>
        <v>2.3545091070635298</v>
      </c>
    </row>
    <row r="40" spans="2:9">
      <c r="C40" s="20">
        <v>3.9079999999999999</v>
      </c>
      <c r="D40" s="21">
        <v>224.6</v>
      </c>
      <c r="E40" s="3">
        <v>105.4</v>
      </c>
      <c r="F40" s="3">
        <v>44.79</v>
      </c>
      <c r="G40" s="21">
        <v>638</v>
      </c>
      <c r="H40" s="3">
        <v>9.1850000000000005</v>
      </c>
      <c r="I40" s="13">
        <f t="shared" si="0"/>
        <v>2.3532038401428901</v>
      </c>
    </row>
    <row r="41" spans="2:9">
      <c r="C41" s="20">
        <v>4.0199999999999996</v>
      </c>
      <c r="D41" s="21">
        <v>261.8</v>
      </c>
      <c r="E41" s="3">
        <v>105.8</v>
      </c>
      <c r="F41" s="3">
        <v>44.85</v>
      </c>
      <c r="G41" s="21">
        <v>643.29999999999995</v>
      </c>
      <c r="H41" s="3">
        <v>9.8360000000000003</v>
      </c>
      <c r="I41" s="13">
        <f t="shared" si="0"/>
        <v>2.3589743589743599</v>
      </c>
    </row>
    <row r="42" spans="2:9">
      <c r="B42" s="16">
        <v>3</v>
      </c>
      <c r="C42" s="17">
        <v>4.33</v>
      </c>
      <c r="D42" s="29">
        <v>169.13</v>
      </c>
      <c r="E42" s="18">
        <v>88.38</v>
      </c>
      <c r="F42" s="18">
        <v>92.08</v>
      </c>
      <c r="G42" s="19">
        <v>590</v>
      </c>
      <c r="H42" s="18">
        <v>7.7140000000000004</v>
      </c>
      <c r="I42" s="13">
        <f t="shared" si="0"/>
        <v>0.95981754995655899</v>
      </c>
    </row>
    <row r="43" spans="2:9">
      <c r="C43" s="20">
        <v>4.2240000000000002</v>
      </c>
      <c r="D43" s="21">
        <v>186.49</v>
      </c>
      <c r="E43" s="3">
        <v>88.53</v>
      </c>
      <c r="F43" s="3">
        <v>92.91</v>
      </c>
      <c r="G43" s="21">
        <v>590.70000000000005</v>
      </c>
      <c r="H43" s="3">
        <v>7.1890000000000001</v>
      </c>
      <c r="I43" s="13">
        <f t="shared" si="0"/>
        <v>0.952857604133032</v>
      </c>
    </row>
    <row r="44" spans="2:9">
      <c r="C44" s="20">
        <v>4.1269999999999998</v>
      </c>
      <c r="D44" s="21">
        <v>189.47</v>
      </c>
      <c r="E44" s="3">
        <v>88.56</v>
      </c>
      <c r="F44" s="3">
        <v>92.29</v>
      </c>
      <c r="G44" s="21">
        <v>593.5</v>
      </c>
      <c r="H44" s="3">
        <v>6.8769999999999998</v>
      </c>
      <c r="I44" s="13">
        <f t="shared" si="0"/>
        <v>0.95958392025138195</v>
      </c>
    </row>
    <row r="45" spans="2:9">
      <c r="C45" s="20">
        <v>3.9590000000000001</v>
      </c>
      <c r="D45" s="21">
        <v>193.01</v>
      </c>
      <c r="E45" s="3">
        <v>88.54</v>
      </c>
      <c r="F45" s="3">
        <v>91.44</v>
      </c>
      <c r="G45" s="21">
        <v>591.5</v>
      </c>
      <c r="H45" s="3">
        <v>7.8680000000000003</v>
      </c>
      <c r="I45" s="13">
        <f t="shared" si="0"/>
        <v>0.96828521434820702</v>
      </c>
    </row>
    <row r="46" spans="2:9">
      <c r="C46" s="20">
        <v>4.1790000000000003</v>
      </c>
      <c r="D46" s="21">
        <v>186.71</v>
      </c>
      <c r="E46" s="3">
        <v>88.39</v>
      </c>
      <c r="F46" s="3">
        <v>92.37</v>
      </c>
      <c r="G46" s="21">
        <v>591.1</v>
      </c>
      <c r="H46" s="3">
        <v>7.3380000000000001</v>
      </c>
      <c r="I46" s="13">
        <f t="shared" si="0"/>
        <v>0.95691241745155398</v>
      </c>
    </row>
    <row r="47" spans="2:9">
      <c r="C47" s="20">
        <v>4.2</v>
      </c>
      <c r="D47" s="21">
        <v>172.16</v>
      </c>
      <c r="E47" s="3">
        <v>88.45</v>
      </c>
      <c r="F47" s="3">
        <v>92.13</v>
      </c>
      <c r="G47" s="21">
        <v>587.4</v>
      </c>
      <c r="H47" s="3">
        <v>7.82</v>
      </c>
      <c r="I47" s="13">
        <f t="shared" si="0"/>
        <v>0.96005644198415296</v>
      </c>
    </row>
    <row r="48" spans="2:9">
      <c r="C48" s="20">
        <v>3.98</v>
      </c>
      <c r="D48" s="21">
        <v>167.33</v>
      </c>
      <c r="E48" s="3">
        <v>88.53</v>
      </c>
      <c r="F48" s="3">
        <v>91.87</v>
      </c>
      <c r="G48" s="21">
        <v>584.70000000000005</v>
      </c>
      <c r="H48" s="3">
        <v>7.702</v>
      </c>
      <c r="I48" s="13">
        <f t="shared" si="0"/>
        <v>0.96364427996081403</v>
      </c>
    </row>
    <row r="49" spans="2:9">
      <c r="C49" s="20">
        <v>3.988</v>
      </c>
      <c r="D49" s="21">
        <v>176.35</v>
      </c>
      <c r="E49" s="3">
        <v>88.37</v>
      </c>
      <c r="F49" s="3">
        <v>92.34</v>
      </c>
      <c r="G49" s="21">
        <v>586.1</v>
      </c>
      <c r="H49" s="3">
        <v>7.8940000000000001</v>
      </c>
      <c r="I49" s="13">
        <f t="shared" si="0"/>
        <v>0.95700671431665596</v>
      </c>
    </row>
    <row r="50" spans="2:9">
      <c r="C50" s="20">
        <v>4.2350000000000003</v>
      </c>
      <c r="D50" s="21">
        <v>185.81</v>
      </c>
      <c r="E50" s="3">
        <v>88.91</v>
      </c>
      <c r="F50" s="3">
        <v>92.24</v>
      </c>
      <c r="G50" s="21">
        <v>594.4</v>
      </c>
      <c r="H50" s="3">
        <v>7.6630000000000003</v>
      </c>
      <c r="I50" s="13">
        <f t="shared" si="0"/>
        <v>0.96389852558542899</v>
      </c>
    </row>
    <row r="51" spans="2:9">
      <c r="C51" s="20">
        <v>4.12</v>
      </c>
      <c r="D51" s="21">
        <v>189.11</v>
      </c>
      <c r="E51" s="3">
        <v>88.86</v>
      </c>
      <c r="F51" s="3">
        <v>91.98</v>
      </c>
      <c r="G51" s="21">
        <v>591.5</v>
      </c>
      <c r="H51" s="3">
        <v>7.03</v>
      </c>
      <c r="I51" s="13">
        <f t="shared" si="0"/>
        <v>0.96607958251793902</v>
      </c>
    </row>
    <row r="52" spans="2:9">
      <c r="C52" s="20">
        <v>3.702</v>
      </c>
      <c r="D52" s="21">
        <v>196.18</v>
      </c>
      <c r="E52" s="3">
        <v>89.14</v>
      </c>
      <c r="F52" s="3">
        <v>91.17</v>
      </c>
      <c r="G52" s="21">
        <v>592.70000000000005</v>
      </c>
      <c r="H52" s="3">
        <v>7.4160000000000004</v>
      </c>
      <c r="I52" s="13">
        <f t="shared" si="0"/>
        <v>0.97773390369639102</v>
      </c>
    </row>
    <row r="53" spans="2:9">
      <c r="C53" s="20">
        <v>3.585</v>
      </c>
      <c r="D53" s="21">
        <v>203.2</v>
      </c>
      <c r="E53" s="3">
        <v>89.08</v>
      </c>
      <c r="F53" s="3">
        <v>91.07</v>
      </c>
      <c r="G53" s="21">
        <v>592.20000000000005</v>
      </c>
      <c r="H53" s="3">
        <v>6.5960000000000001</v>
      </c>
      <c r="I53" s="13">
        <f t="shared" si="0"/>
        <v>0.97814867684199003</v>
      </c>
    </row>
    <row r="54" spans="2:9">
      <c r="C54" s="20">
        <v>4.3330000000000002</v>
      </c>
      <c r="D54" s="21">
        <v>200.4</v>
      </c>
      <c r="E54" s="3">
        <v>89.38</v>
      </c>
      <c r="F54" s="3">
        <v>91.91</v>
      </c>
      <c r="G54" s="21">
        <v>592.70000000000005</v>
      </c>
      <c r="H54" s="3">
        <v>6.71</v>
      </c>
      <c r="I54" s="13">
        <f t="shared" si="0"/>
        <v>0.97247307148297202</v>
      </c>
    </row>
    <row r="55" spans="2:9">
      <c r="C55" s="20">
        <v>4.2270000000000003</v>
      </c>
      <c r="D55" s="21">
        <v>181.17</v>
      </c>
      <c r="E55" s="3">
        <v>88.87</v>
      </c>
      <c r="F55" s="3">
        <v>91.41</v>
      </c>
      <c r="G55" s="21">
        <v>591.79999999999995</v>
      </c>
      <c r="H55" s="3">
        <v>7.2560000000000002</v>
      </c>
      <c r="I55" s="13">
        <f t="shared" si="0"/>
        <v>0.97221310578711295</v>
      </c>
    </row>
    <row r="56" spans="2:9">
      <c r="C56" s="20">
        <v>4.3639999999999999</v>
      </c>
      <c r="D56" s="21">
        <v>192.04</v>
      </c>
      <c r="E56" s="3">
        <v>89.78</v>
      </c>
      <c r="F56" s="3">
        <v>91.23</v>
      </c>
      <c r="G56" s="21">
        <v>590.70000000000005</v>
      </c>
      <c r="H56" s="3">
        <v>6.0789999999999997</v>
      </c>
      <c r="I56" s="13">
        <f t="shared" si="0"/>
        <v>0.984106105447769</v>
      </c>
    </row>
    <row r="57" spans="2:9">
      <c r="C57" s="20">
        <v>4.3179999999999996</v>
      </c>
      <c r="D57" s="21">
        <v>160.51</v>
      </c>
      <c r="E57" s="3">
        <v>88.25</v>
      </c>
      <c r="F57" s="3">
        <v>91.16</v>
      </c>
      <c r="G57" s="21">
        <v>590</v>
      </c>
      <c r="H57" s="3">
        <v>7.8940000000000001</v>
      </c>
      <c r="I57" s="13">
        <f t="shared" si="0"/>
        <v>0.96807810443176801</v>
      </c>
    </row>
    <row r="58" spans="2:9">
      <c r="C58" s="20">
        <v>4.298</v>
      </c>
      <c r="D58" s="21">
        <v>157.91</v>
      </c>
      <c r="E58" s="3">
        <v>89.02</v>
      </c>
      <c r="F58" s="3">
        <v>91.91</v>
      </c>
      <c r="G58" s="21">
        <v>595.20000000000005</v>
      </c>
      <c r="H58" s="3">
        <v>6.5730000000000004</v>
      </c>
      <c r="I58" s="13">
        <f t="shared" si="0"/>
        <v>0.96855619627896805</v>
      </c>
    </row>
    <row r="59" spans="2:9">
      <c r="C59" s="20">
        <v>4.1509999999999998</v>
      </c>
      <c r="D59" s="21">
        <v>171.18</v>
      </c>
      <c r="E59" s="3">
        <v>89.07</v>
      </c>
      <c r="F59" s="3">
        <v>92.49</v>
      </c>
      <c r="G59" s="21">
        <v>588.5</v>
      </c>
      <c r="H59" s="3">
        <v>7.4160000000000004</v>
      </c>
      <c r="I59" s="13">
        <f t="shared" si="0"/>
        <v>0.96302302951670404</v>
      </c>
    </row>
    <row r="60" spans="2:9">
      <c r="C60" s="20">
        <v>3.7829999999999999</v>
      </c>
      <c r="D60" s="21">
        <v>171.86</v>
      </c>
      <c r="E60" s="3">
        <v>89.96</v>
      </c>
      <c r="F60" s="3">
        <v>90.76</v>
      </c>
      <c r="G60" s="21">
        <v>592.6</v>
      </c>
      <c r="H60" s="3">
        <v>6.6689999999999996</v>
      </c>
      <c r="I60" s="13">
        <f t="shared" si="0"/>
        <v>0.99118554429264005</v>
      </c>
    </row>
    <row r="61" spans="2:9">
      <c r="C61" s="20">
        <v>4.3810000000000002</v>
      </c>
      <c r="D61" s="21">
        <v>157.91</v>
      </c>
      <c r="E61" s="3">
        <v>88.96</v>
      </c>
      <c r="F61" s="3">
        <v>91.37</v>
      </c>
      <c r="G61" s="21">
        <v>587.20000000000005</v>
      </c>
      <c r="H61" s="3">
        <v>7.4969999999999999</v>
      </c>
      <c r="I61" s="13">
        <f t="shared" si="0"/>
        <v>0.97362372770055805</v>
      </c>
    </row>
    <row r="62" spans="2:9">
      <c r="B62" s="16">
        <v>4</v>
      </c>
      <c r="C62" s="17">
        <v>3.1619999999999999</v>
      </c>
      <c r="D62" s="29">
        <v>160.6</v>
      </c>
      <c r="E62" s="18">
        <v>77.34</v>
      </c>
      <c r="F62" s="18">
        <v>35.03</v>
      </c>
      <c r="G62" s="19">
        <v>727.6</v>
      </c>
      <c r="H62" s="18">
        <v>6.1559999999999997</v>
      </c>
      <c r="I62" s="13">
        <f t="shared" si="0"/>
        <v>2.20782186697117</v>
      </c>
    </row>
    <row r="63" spans="2:9">
      <c r="C63" s="20">
        <v>3.218</v>
      </c>
      <c r="D63" s="21">
        <v>164.9</v>
      </c>
      <c r="E63" s="3">
        <v>77.010000000000005</v>
      </c>
      <c r="F63" s="3">
        <v>34.85</v>
      </c>
      <c r="G63" s="21">
        <v>727.9</v>
      </c>
      <c r="H63" s="3">
        <v>6.3310000000000004</v>
      </c>
      <c r="I63" s="13">
        <f t="shared" si="0"/>
        <v>2.2097560975609798</v>
      </c>
    </row>
    <row r="64" spans="2:9">
      <c r="C64" s="20">
        <v>2.9220000000000002</v>
      </c>
      <c r="D64" s="21">
        <v>207</v>
      </c>
      <c r="E64" s="3">
        <v>76.959999999999994</v>
      </c>
      <c r="F64" s="3">
        <v>35.36</v>
      </c>
      <c r="G64" s="21">
        <v>731.9</v>
      </c>
      <c r="H64" s="3">
        <v>6.3979999999999997</v>
      </c>
      <c r="I64" s="13">
        <f t="shared" si="0"/>
        <v>2.1764705882352899</v>
      </c>
    </row>
    <row r="65" spans="3:9">
      <c r="C65" s="20">
        <v>3.2850000000000001</v>
      </c>
      <c r="D65" s="21">
        <v>176.3</v>
      </c>
      <c r="E65" s="3">
        <v>77.05</v>
      </c>
      <c r="F65" s="3">
        <v>35.72</v>
      </c>
      <c r="G65" s="21">
        <v>734.1</v>
      </c>
      <c r="H65" s="3">
        <v>6.5960000000000001</v>
      </c>
      <c r="I65" s="13">
        <f t="shared" si="0"/>
        <v>2.1570548712206001</v>
      </c>
    </row>
    <row r="66" spans="3:9">
      <c r="C66" s="20">
        <v>3.2149999999999999</v>
      </c>
      <c r="D66" s="21">
        <v>175.3</v>
      </c>
      <c r="E66" s="3">
        <v>76.64</v>
      </c>
      <c r="F66" s="3">
        <v>35.369999999999997</v>
      </c>
      <c r="G66" s="21">
        <v>734.7</v>
      </c>
      <c r="H66" s="3">
        <v>7.0730000000000004</v>
      </c>
      <c r="I66" s="13">
        <f t="shared" si="0"/>
        <v>2.16680802940345</v>
      </c>
    </row>
    <row r="67" spans="3:9">
      <c r="C67" s="20">
        <v>3.0979999999999999</v>
      </c>
      <c r="D67" s="21">
        <v>201</v>
      </c>
      <c r="E67" s="3">
        <v>77.25</v>
      </c>
      <c r="F67" s="3">
        <v>34.56</v>
      </c>
      <c r="G67" s="21">
        <v>745.6</v>
      </c>
      <c r="H67" s="3">
        <v>7.1989999999999998</v>
      </c>
      <c r="I67" s="13">
        <f t="shared" ref="I67:I130" si="1">E67/F67</f>
        <v>2.2352430555555598</v>
      </c>
    </row>
    <row r="68" spans="3:9">
      <c r="C68" s="20">
        <v>3.2149999999999999</v>
      </c>
      <c r="D68" s="21">
        <v>206.3</v>
      </c>
      <c r="E68" s="3">
        <v>76.91</v>
      </c>
      <c r="F68" s="3">
        <v>34.65</v>
      </c>
      <c r="G68" s="21">
        <v>742</v>
      </c>
      <c r="H68" s="3">
        <v>7.0730000000000004</v>
      </c>
      <c r="I68" s="13">
        <f t="shared" si="1"/>
        <v>2.2196248196248201</v>
      </c>
    </row>
    <row r="69" spans="3:9">
      <c r="C69" s="20">
        <v>3.1970000000000001</v>
      </c>
      <c r="D69" s="21">
        <v>147.77000000000001</v>
      </c>
      <c r="E69" s="3">
        <v>77.569999999999993</v>
      </c>
      <c r="F69" s="3">
        <v>35.71</v>
      </c>
      <c r="G69" s="21">
        <v>751.5</v>
      </c>
      <c r="H69" s="3">
        <v>6.1779999999999999</v>
      </c>
      <c r="I69" s="13">
        <f t="shared" si="1"/>
        <v>2.1722206664799799</v>
      </c>
    </row>
    <row r="70" spans="3:9">
      <c r="C70" s="20">
        <v>2.8769999999999998</v>
      </c>
      <c r="D70" s="21">
        <v>141.06</v>
      </c>
      <c r="E70" s="3">
        <v>77.680000000000007</v>
      </c>
      <c r="F70" s="3">
        <v>34.28</v>
      </c>
      <c r="G70" s="21">
        <v>737.5</v>
      </c>
      <c r="H70" s="3">
        <v>6.48</v>
      </c>
      <c r="I70" s="13">
        <f t="shared" si="1"/>
        <v>2.2660443407234498</v>
      </c>
    </row>
    <row r="71" spans="3:9">
      <c r="C71" s="20">
        <v>3.1230000000000002</v>
      </c>
      <c r="D71" s="21">
        <v>152.19999999999999</v>
      </c>
      <c r="E71" s="3">
        <v>77.02</v>
      </c>
      <c r="F71" s="3">
        <v>35.479999999999997</v>
      </c>
      <c r="G71" s="21">
        <v>732.2</v>
      </c>
      <c r="H71" s="3">
        <v>7.0650000000000004</v>
      </c>
      <c r="I71" s="13">
        <f t="shared" si="1"/>
        <v>2.1708004509582901</v>
      </c>
    </row>
    <row r="72" spans="3:9">
      <c r="C72" s="20">
        <v>3.2509999999999999</v>
      </c>
      <c r="D72" s="21">
        <v>201</v>
      </c>
      <c r="E72" s="3">
        <v>77.959999999999994</v>
      </c>
      <c r="F72" s="3">
        <v>34.25</v>
      </c>
      <c r="G72" s="21">
        <v>736.3</v>
      </c>
      <c r="H72" s="3">
        <v>6.5060000000000002</v>
      </c>
      <c r="I72" s="13">
        <f t="shared" si="1"/>
        <v>2.2762043795620399</v>
      </c>
    </row>
    <row r="73" spans="3:9">
      <c r="C73" s="20">
        <v>2.4900000000000002</v>
      </c>
      <c r="D73" s="21">
        <v>176.3</v>
      </c>
      <c r="E73" s="3">
        <v>76.790000000000006</v>
      </c>
      <c r="F73" s="3">
        <v>35.83</v>
      </c>
      <c r="G73" s="21">
        <v>735.7</v>
      </c>
      <c r="H73" s="3">
        <v>6.5960000000000001</v>
      </c>
      <c r="I73" s="13">
        <f t="shared" si="1"/>
        <v>2.1431761094055299</v>
      </c>
    </row>
    <row r="74" spans="3:9">
      <c r="C74" s="20">
        <v>2.9220000000000002</v>
      </c>
      <c r="D74" s="21">
        <v>182</v>
      </c>
      <c r="E74" s="3">
        <v>77.39</v>
      </c>
      <c r="F74" s="3">
        <v>35.61</v>
      </c>
      <c r="G74" s="21">
        <v>723.1</v>
      </c>
      <c r="H74" s="3">
        <v>6.5780000000000003</v>
      </c>
      <c r="I74" s="13">
        <f t="shared" si="1"/>
        <v>2.1732659365346798</v>
      </c>
    </row>
    <row r="75" spans="3:9">
      <c r="C75" s="20">
        <v>3.2440000000000002</v>
      </c>
      <c r="D75" s="21">
        <v>164.9</v>
      </c>
      <c r="E75" s="3">
        <v>76.400000000000006</v>
      </c>
      <c r="F75" s="3">
        <v>35.03</v>
      </c>
      <c r="G75" s="21">
        <v>727.8</v>
      </c>
      <c r="H75" s="3">
        <v>6.3310000000000004</v>
      </c>
      <c r="I75" s="13">
        <f t="shared" si="1"/>
        <v>2.1809877248073102</v>
      </c>
    </row>
    <row r="76" spans="3:9">
      <c r="C76" s="20">
        <v>3.0819999999999999</v>
      </c>
      <c r="D76" s="21">
        <v>145.13</v>
      </c>
      <c r="E76" s="3">
        <v>77.510000000000005</v>
      </c>
      <c r="F76" s="3">
        <v>34.54</v>
      </c>
      <c r="G76" s="21">
        <v>727.8</v>
      </c>
      <c r="H76" s="3">
        <v>6.9470000000000001</v>
      </c>
      <c r="I76" s="13">
        <f t="shared" si="1"/>
        <v>2.2440648523451099</v>
      </c>
    </row>
    <row r="77" spans="3:9">
      <c r="C77" s="20">
        <v>2.9630000000000001</v>
      </c>
      <c r="D77" s="21">
        <v>158.5</v>
      </c>
      <c r="E77" s="3">
        <v>77.77</v>
      </c>
      <c r="F77" s="3">
        <v>34.82</v>
      </c>
      <c r="G77" s="21">
        <v>727.3</v>
      </c>
      <c r="H77" s="3">
        <v>6.3979999999999997</v>
      </c>
      <c r="I77" s="13">
        <f t="shared" si="1"/>
        <v>2.23348650201034</v>
      </c>
    </row>
    <row r="78" spans="3:9">
      <c r="C78" s="20">
        <v>3.298</v>
      </c>
      <c r="D78" s="21">
        <v>178.8</v>
      </c>
      <c r="E78" s="3">
        <v>77.27</v>
      </c>
      <c r="F78" s="3">
        <v>35.24</v>
      </c>
      <c r="G78" s="21">
        <v>740.9</v>
      </c>
      <c r="H78" s="3">
        <v>7.1989999999999998</v>
      </c>
      <c r="I78" s="13">
        <f t="shared" si="1"/>
        <v>2.1926787741203202</v>
      </c>
    </row>
    <row r="79" spans="3:9">
      <c r="C79" s="20">
        <v>3.327</v>
      </c>
      <c r="D79" s="21">
        <v>147.77000000000001</v>
      </c>
      <c r="E79" s="3">
        <v>76.709999999999994</v>
      </c>
      <c r="F79" s="3">
        <v>35.29</v>
      </c>
      <c r="G79" s="21">
        <v>721.1</v>
      </c>
      <c r="H79" s="3">
        <v>7.0730000000000004</v>
      </c>
      <c r="I79" s="13">
        <f t="shared" si="1"/>
        <v>2.1737035987531899</v>
      </c>
    </row>
    <row r="80" spans="3:9">
      <c r="C80" s="20">
        <v>3.3210000000000002</v>
      </c>
      <c r="D80" s="21">
        <v>142.05000000000001</v>
      </c>
      <c r="E80" s="3">
        <v>77.87</v>
      </c>
      <c r="F80" s="3">
        <v>34.64</v>
      </c>
      <c r="G80" s="21">
        <v>721.8</v>
      </c>
      <c r="H80" s="3">
        <v>6.798</v>
      </c>
      <c r="I80" s="13">
        <f t="shared" si="1"/>
        <v>2.2479792147805999</v>
      </c>
    </row>
    <row r="81" spans="2:9">
      <c r="C81" s="20">
        <v>3.2639999999999998</v>
      </c>
      <c r="D81" s="21">
        <v>145.13</v>
      </c>
      <c r="E81" s="3">
        <v>77.900000000000006</v>
      </c>
      <c r="F81" s="3">
        <v>35.82</v>
      </c>
      <c r="G81" s="21">
        <v>720.2</v>
      </c>
      <c r="H81" s="3">
        <v>6.3310000000000004</v>
      </c>
      <c r="I81" s="13">
        <f t="shared" si="1"/>
        <v>2.1747627024008902</v>
      </c>
    </row>
    <row r="82" spans="2:9">
      <c r="B82" s="16">
        <v>5</v>
      </c>
      <c r="C82" s="17">
        <v>1.8580000000000001</v>
      </c>
      <c r="D82" s="29">
        <v>164.8</v>
      </c>
      <c r="E82" s="18">
        <v>118.2</v>
      </c>
      <c r="F82" s="18">
        <v>44.98</v>
      </c>
      <c r="G82" s="19">
        <v>635.70000000000005</v>
      </c>
      <c r="H82" s="18">
        <v>6.12</v>
      </c>
      <c r="I82" s="13">
        <f t="shared" si="1"/>
        <v>2.6278345931525098</v>
      </c>
    </row>
    <row r="83" spans="2:9">
      <c r="C83" s="20">
        <v>1.9910000000000001</v>
      </c>
      <c r="D83" s="21">
        <v>205.4</v>
      </c>
      <c r="E83" s="3">
        <v>117.8</v>
      </c>
      <c r="F83" s="3">
        <v>44.64</v>
      </c>
      <c r="G83" s="21">
        <v>638.9</v>
      </c>
      <c r="H83" s="3">
        <v>6.1369999999999996</v>
      </c>
      <c r="I83" s="13">
        <f t="shared" si="1"/>
        <v>2.6388888888888902</v>
      </c>
    </row>
    <row r="84" spans="2:9">
      <c r="C84" s="20">
        <v>2.0299999999999998</v>
      </c>
      <c r="D84" s="21">
        <v>195.3</v>
      </c>
      <c r="E84" s="3">
        <v>117.6</v>
      </c>
      <c r="F84" s="3">
        <v>44.17</v>
      </c>
      <c r="G84" s="21">
        <v>636.9</v>
      </c>
      <c r="H84" s="3">
        <v>6.024</v>
      </c>
      <c r="I84" s="13">
        <f t="shared" si="1"/>
        <v>2.6624405705229801</v>
      </c>
    </row>
    <row r="85" spans="2:9">
      <c r="C85" s="20">
        <v>2.0699999999999998</v>
      </c>
      <c r="D85" s="21">
        <v>180</v>
      </c>
      <c r="E85" s="3">
        <v>117.1</v>
      </c>
      <c r="F85" s="3">
        <v>45.91</v>
      </c>
      <c r="G85" s="21">
        <v>635.4</v>
      </c>
      <c r="H85" s="3">
        <v>6.1139999999999999</v>
      </c>
      <c r="I85" s="13">
        <f t="shared" si="1"/>
        <v>2.55064256153344</v>
      </c>
    </row>
    <row r="86" spans="2:9">
      <c r="C86" s="20">
        <v>2.012</v>
      </c>
      <c r="D86" s="21">
        <v>211.2</v>
      </c>
      <c r="E86" s="3">
        <v>116.8</v>
      </c>
      <c r="F86" s="3">
        <v>44.26</v>
      </c>
      <c r="G86" s="21">
        <v>635.5</v>
      </c>
      <c r="H86" s="3">
        <v>6.0279999999999996</v>
      </c>
      <c r="I86" s="13">
        <f t="shared" si="1"/>
        <v>2.6389516493447802</v>
      </c>
    </row>
    <row r="87" spans="2:9">
      <c r="C87" s="20">
        <v>1.901</v>
      </c>
      <c r="D87" s="21">
        <v>159.80000000000001</v>
      </c>
      <c r="E87" s="3">
        <v>117.7</v>
      </c>
      <c r="F87" s="3">
        <v>45.64</v>
      </c>
      <c r="G87" s="21">
        <v>638.79999999999995</v>
      </c>
      <c r="H87" s="3">
        <v>6.0250000000000004</v>
      </c>
      <c r="I87" s="13">
        <f t="shared" si="1"/>
        <v>2.5788781770376898</v>
      </c>
    </row>
    <row r="88" spans="2:9">
      <c r="C88" s="20">
        <v>2.073</v>
      </c>
      <c r="D88" s="21">
        <v>164.8</v>
      </c>
      <c r="E88" s="3">
        <v>117.3</v>
      </c>
      <c r="F88" s="3">
        <v>44.78</v>
      </c>
      <c r="G88" s="21">
        <v>641.29999999999995</v>
      </c>
      <c r="H88" s="3">
        <v>6.0579999999999998</v>
      </c>
      <c r="I88" s="13">
        <f t="shared" si="1"/>
        <v>2.6194729790084899</v>
      </c>
    </row>
    <row r="89" spans="2:9">
      <c r="C89" s="20">
        <v>2.105</v>
      </c>
      <c r="D89" s="21">
        <v>189.8</v>
      </c>
      <c r="E89" s="3">
        <v>116.8</v>
      </c>
      <c r="F89" s="3">
        <v>44.71</v>
      </c>
      <c r="G89" s="21">
        <v>642.79999999999995</v>
      </c>
      <c r="H89" s="3">
        <v>6.07</v>
      </c>
      <c r="I89" s="13">
        <f t="shared" si="1"/>
        <v>2.6123909639901601</v>
      </c>
    </row>
    <row r="90" spans="2:9">
      <c r="C90" s="20">
        <v>1.833</v>
      </c>
      <c r="D90" s="21">
        <v>155</v>
      </c>
      <c r="E90" s="3">
        <v>116.7</v>
      </c>
      <c r="F90" s="3">
        <v>44.39</v>
      </c>
      <c r="G90" s="21">
        <v>636.29999999999995</v>
      </c>
      <c r="H90" s="3">
        <v>6.0970000000000004</v>
      </c>
      <c r="I90" s="13">
        <f t="shared" si="1"/>
        <v>2.6289704888488399</v>
      </c>
    </row>
    <row r="91" spans="2:9">
      <c r="C91" s="20">
        <v>2.04</v>
      </c>
      <c r="D91" s="21">
        <v>156.5</v>
      </c>
      <c r="E91" s="3">
        <v>116.3</v>
      </c>
      <c r="F91" s="3">
        <v>45.81</v>
      </c>
      <c r="G91" s="21">
        <v>638.9</v>
      </c>
      <c r="H91" s="3">
        <v>7.23</v>
      </c>
      <c r="I91" s="13">
        <f t="shared" si="1"/>
        <v>2.5387469984719502</v>
      </c>
    </row>
    <row r="92" spans="2:9">
      <c r="C92" s="20">
        <v>2.0819999999999999</v>
      </c>
      <c r="D92" s="21">
        <v>160.80000000000001</v>
      </c>
      <c r="E92" s="3">
        <v>116.6</v>
      </c>
      <c r="F92" s="3">
        <v>44.73</v>
      </c>
      <c r="G92" s="21">
        <v>634.1</v>
      </c>
      <c r="H92" s="3">
        <v>6.6130000000000004</v>
      </c>
      <c r="I92" s="13">
        <f t="shared" si="1"/>
        <v>2.6067516208361301</v>
      </c>
    </row>
    <row r="93" spans="2:9">
      <c r="C93" s="20">
        <v>2.0870000000000002</v>
      </c>
      <c r="D93" s="21">
        <v>175.5</v>
      </c>
      <c r="E93" s="3">
        <v>117.8</v>
      </c>
      <c r="F93" s="3">
        <v>45.29</v>
      </c>
      <c r="G93" s="21">
        <v>635</v>
      </c>
      <c r="H93" s="3">
        <v>7.2190000000000003</v>
      </c>
      <c r="I93" s="13">
        <f t="shared" si="1"/>
        <v>2.6010156767498298</v>
      </c>
    </row>
    <row r="94" spans="2:9">
      <c r="C94" s="20">
        <v>1.9339999999999999</v>
      </c>
      <c r="D94" s="21">
        <v>195.3</v>
      </c>
      <c r="E94" s="3">
        <v>116.2</v>
      </c>
      <c r="F94" s="3">
        <v>44.93</v>
      </c>
      <c r="G94" s="21">
        <v>634.20000000000005</v>
      </c>
      <c r="H94" s="3">
        <v>6.5270000000000001</v>
      </c>
      <c r="I94" s="13">
        <f t="shared" si="1"/>
        <v>2.5862452704206502</v>
      </c>
    </row>
    <row r="95" spans="2:9">
      <c r="C95" s="20">
        <v>2.1110000000000002</v>
      </c>
      <c r="D95" s="21">
        <v>169.9</v>
      </c>
      <c r="E95" s="3">
        <v>116.1</v>
      </c>
      <c r="F95" s="3">
        <v>45.06</v>
      </c>
      <c r="G95" s="21">
        <v>635.4</v>
      </c>
      <c r="H95" s="3">
        <v>7.5389999999999997</v>
      </c>
      <c r="I95" s="13">
        <f t="shared" si="1"/>
        <v>2.5765645805592499</v>
      </c>
    </row>
    <row r="96" spans="2:9">
      <c r="C96" s="20">
        <v>2.0190000000000001</v>
      </c>
      <c r="D96" s="21">
        <v>153.1</v>
      </c>
      <c r="E96" s="3">
        <v>117.5</v>
      </c>
      <c r="F96" s="3">
        <v>45.77</v>
      </c>
      <c r="G96" s="21">
        <v>633.5</v>
      </c>
      <c r="H96" s="3">
        <v>7.4619999999999997</v>
      </c>
      <c r="I96" s="13">
        <f t="shared" si="1"/>
        <v>2.5671837448110102</v>
      </c>
    </row>
    <row r="97" spans="2:9">
      <c r="C97" s="20">
        <v>2.0670000000000002</v>
      </c>
      <c r="D97" s="21">
        <v>164.2</v>
      </c>
      <c r="E97" s="3">
        <v>118.1</v>
      </c>
      <c r="F97" s="3">
        <v>46.11</v>
      </c>
      <c r="G97" s="21">
        <v>633.70000000000005</v>
      </c>
      <c r="H97" s="3">
        <v>7.306</v>
      </c>
      <c r="I97" s="13">
        <f t="shared" si="1"/>
        <v>2.5612665365430498</v>
      </c>
    </row>
    <row r="98" spans="2:9">
      <c r="C98" s="20">
        <v>1.9950000000000001</v>
      </c>
      <c r="D98" s="21">
        <v>164.8</v>
      </c>
      <c r="E98" s="3">
        <v>116.5</v>
      </c>
      <c r="F98" s="3">
        <v>44.73</v>
      </c>
      <c r="G98" s="21">
        <v>630.70000000000005</v>
      </c>
      <c r="H98" s="3">
        <v>6.7409999999999997</v>
      </c>
      <c r="I98" s="13">
        <f t="shared" si="1"/>
        <v>2.6045159847976702</v>
      </c>
    </row>
    <row r="99" spans="2:9">
      <c r="C99" s="20">
        <v>2.121</v>
      </c>
      <c r="D99" s="21">
        <v>159.69999999999999</v>
      </c>
      <c r="E99" s="3">
        <v>117.4</v>
      </c>
      <c r="F99" s="3">
        <v>45.45</v>
      </c>
      <c r="G99" s="21">
        <v>639.9</v>
      </c>
      <c r="H99" s="3">
        <v>7.0129999999999999</v>
      </c>
      <c r="I99" s="13">
        <f t="shared" si="1"/>
        <v>2.5830583058305798</v>
      </c>
    </row>
    <row r="100" spans="2:9">
      <c r="C100" s="20">
        <v>2.1110000000000002</v>
      </c>
      <c r="D100" s="21">
        <v>153.1</v>
      </c>
      <c r="E100" s="3">
        <v>116.3</v>
      </c>
      <c r="F100" s="3">
        <v>45.16</v>
      </c>
      <c r="G100" s="21">
        <v>638.4</v>
      </c>
      <c r="H100" s="3">
        <v>7.3040000000000003</v>
      </c>
      <c r="I100" s="13">
        <f t="shared" si="1"/>
        <v>2.5752878653675801</v>
      </c>
    </row>
    <row r="101" spans="2:9">
      <c r="C101" s="20">
        <v>2.0219999999999998</v>
      </c>
      <c r="D101" s="21">
        <v>161.6</v>
      </c>
      <c r="E101" s="3">
        <v>117.8</v>
      </c>
      <c r="F101" s="3">
        <v>44.78</v>
      </c>
      <c r="G101" s="21">
        <v>636.79999999999995</v>
      </c>
      <c r="H101" s="3">
        <v>7.84</v>
      </c>
      <c r="I101" s="13">
        <f t="shared" si="1"/>
        <v>2.6306386779812398</v>
      </c>
    </row>
    <row r="102" spans="2:9">
      <c r="B102" s="16">
        <v>6</v>
      </c>
      <c r="C102" s="17">
        <v>2.3090000000000002</v>
      </c>
      <c r="D102" s="29">
        <v>141.1</v>
      </c>
      <c r="E102" s="18">
        <v>64.98</v>
      </c>
      <c r="F102" s="18">
        <v>28.35</v>
      </c>
      <c r="G102" s="19">
        <v>557</v>
      </c>
      <c r="H102" s="18">
        <v>15.86</v>
      </c>
      <c r="I102" s="13">
        <f t="shared" si="1"/>
        <v>2.2920634920634901</v>
      </c>
    </row>
    <row r="103" spans="2:9">
      <c r="C103" s="20">
        <v>2.399</v>
      </c>
      <c r="D103" s="21">
        <v>166.8</v>
      </c>
      <c r="E103" s="3">
        <v>63.74</v>
      </c>
      <c r="F103" s="3">
        <v>28.86</v>
      </c>
      <c r="G103" s="21">
        <v>548.29999999999995</v>
      </c>
      <c r="H103" s="3">
        <v>15.52</v>
      </c>
      <c r="I103" s="13">
        <f t="shared" si="1"/>
        <v>2.2085932085932098</v>
      </c>
    </row>
    <row r="104" spans="2:9">
      <c r="C104" s="20">
        <v>2.2949999999999999</v>
      </c>
      <c r="D104" s="21">
        <v>147.6</v>
      </c>
      <c r="E104" s="3">
        <v>64.55</v>
      </c>
      <c r="F104" s="3">
        <v>29.08</v>
      </c>
      <c r="G104" s="21">
        <v>545.6</v>
      </c>
      <c r="H104" s="3">
        <v>16.22</v>
      </c>
      <c r="I104" s="13">
        <f t="shared" si="1"/>
        <v>2.2197386519945002</v>
      </c>
    </row>
    <row r="105" spans="2:9">
      <c r="C105" s="20">
        <v>2.3490000000000002</v>
      </c>
      <c r="D105" s="21">
        <v>128.9</v>
      </c>
      <c r="E105" s="3">
        <v>64.400000000000006</v>
      </c>
      <c r="F105" s="3">
        <v>29.19</v>
      </c>
      <c r="G105" s="21">
        <v>547.6</v>
      </c>
      <c r="H105" s="3">
        <v>15.46</v>
      </c>
      <c r="I105" s="13">
        <f t="shared" si="1"/>
        <v>2.2062350119904099</v>
      </c>
    </row>
    <row r="106" spans="2:9">
      <c r="C106" s="20">
        <v>2.4420000000000002</v>
      </c>
      <c r="D106" s="21">
        <v>120.1</v>
      </c>
      <c r="E106" s="3">
        <v>63.48</v>
      </c>
      <c r="F106" s="3">
        <v>29.35</v>
      </c>
      <c r="G106" s="21">
        <v>544.5</v>
      </c>
      <c r="H106" s="3">
        <v>16.3</v>
      </c>
      <c r="I106" s="13">
        <f t="shared" si="1"/>
        <v>2.1628620102214602</v>
      </c>
    </row>
    <row r="107" spans="2:9">
      <c r="C107" s="20">
        <v>2.3759999999999999</v>
      </c>
      <c r="D107" s="21">
        <v>119.6</v>
      </c>
      <c r="E107" s="3">
        <v>63.53</v>
      </c>
      <c r="F107" s="3">
        <v>29.36</v>
      </c>
      <c r="G107" s="21">
        <v>538.29999999999995</v>
      </c>
      <c r="H107" s="3">
        <v>16.75</v>
      </c>
      <c r="I107" s="13">
        <f t="shared" si="1"/>
        <v>2.1638283378746599</v>
      </c>
    </row>
    <row r="108" spans="2:9">
      <c r="C108" s="20">
        <v>2.2450000000000001</v>
      </c>
      <c r="D108" s="21">
        <v>129</v>
      </c>
      <c r="E108" s="3">
        <v>63.86</v>
      </c>
      <c r="F108" s="3">
        <v>29.02</v>
      </c>
      <c r="G108" s="21">
        <v>540.20000000000005</v>
      </c>
      <c r="H108" s="3">
        <v>16.260000000000002</v>
      </c>
      <c r="I108" s="13">
        <f t="shared" si="1"/>
        <v>2.2005513439007598</v>
      </c>
    </row>
    <row r="109" spans="2:9">
      <c r="C109" s="20">
        <v>2.3959999999999999</v>
      </c>
      <c r="D109" s="21">
        <v>119.6</v>
      </c>
      <c r="E109" s="3">
        <v>63.41</v>
      </c>
      <c r="F109" s="3">
        <v>28.5</v>
      </c>
      <c r="G109" s="21">
        <v>539.20000000000005</v>
      </c>
      <c r="H109" s="3">
        <v>16.79</v>
      </c>
      <c r="I109" s="13">
        <f t="shared" si="1"/>
        <v>2.2249122807017501</v>
      </c>
    </row>
    <row r="110" spans="2:9">
      <c r="C110" s="20">
        <v>2.149</v>
      </c>
      <c r="D110" s="21">
        <v>126.1</v>
      </c>
      <c r="E110" s="3">
        <v>63.76</v>
      </c>
      <c r="F110" s="3">
        <v>29.18</v>
      </c>
      <c r="G110" s="21">
        <v>535.1</v>
      </c>
      <c r="H110" s="3">
        <v>15.81</v>
      </c>
      <c r="I110" s="13">
        <f t="shared" si="1"/>
        <v>2.1850582590815599</v>
      </c>
    </row>
    <row r="111" spans="2:9">
      <c r="C111" s="20">
        <v>2.282</v>
      </c>
      <c r="D111" s="21">
        <v>127.3</v>
      </c>
      <c r="E111" s="3">
        <v>64.36</v>
      </c>
      <c r="F111" s="3">
        <v>29.01</v>
      </c>
      <c r="G111" s="21">
        <v>534.6</v>
      </c>
      <c r="H111" s="3">
        <v>15.59</v>
      </c>
      <c r="I111" s="13">
        <f t="shared" si="1"/>
        <v>2.21854532919683</v>
      </c>
    </row>
    <row r="112" spans="2:9">
      <c r="C112" s="20">
        <v>2.2930000000000001</v>
      </c>
      <c r="D112" s="21">
        <v>129</v>
      </c>
      <c r="E112" s="3">
        <v>64.430000000000007</v>
      </c>
      <c r="F112" s="3">
        <v>29.19</v>
      </c>
      <c r="G112" s="21">
        <v>541.29999999999995</v>
      </c>
      <c r="H112" s="3">
        <v>16.66</v>
      </c>
      <c r="I112" s="13">
        <f t="shared" si="1"/>
        <v>2.2072627612195999</v>
      </c>
    </row>
    <row r="113" spans="2:9">
      <c r="C113" s="20">
        <v>2.1259999999999999</v>
      </c>
      <c r="D113" s="21">
        <v>136</v>
      </c>
      <c r="E113" s="3">
        <v>64.849999999999994</v>
      </c>
      <c r="F113" s="3">
        <v>29.53</v>
      </c>
      <c r="G113" s="21">
        <v>539.70000000000005</v>
      </c>
      <c r="H113" s="3">
        <v>16.8</v>
      </c>
      <c r="I113" s="13">
        <f t="shared" si="1"/>
        <v>2.1960717913985799</v>
      </c>
    </row>
    <row r="114" spans="2:9">
      <c r="C114" s="20">
        <v>2.431</v>
      </c>
      <c r="D114" s="21">
        <v>140.9</v>
      </c>
      <c r="E114" s="3">
        <v>64.209999999999994</v>
      </c>
      <c r="F114" s="3">
        <v>30.38</v>
      </c>
      <c r="G114" s="21">
        <v>542.4</v>
      </c>
      <c r="H114" s="3">
        <v>15.44</v>
      </c>
      <c r="I114" s="13">
        <f t="shared" si="1"/>
        <v>2.11356155365372</v>
      </c>
    </row>
    <row r="115" spans="2:9">
      <c r="C115" s="20">
        <v>2.177</v>
      </c>
      <c r="D115" s="21">
        <v>128.9</v>
      </c>
      <c r="E115" s="3">
        <v>63.51</v>
      </c>
      <c r="F115" s="3">
        <v>30.22</v>
      </c>
      <c r="G115" s="21">
        <v>546</v>
      </c>
      <c r="H115" s="3">
        <v>16.29</v>
      </c>
      <c r="I115" s="13">
        <f t="shared" si="1"/>
        <v>2.1015883520847098</v>
      </c>
    </row>
    <row r="116" spans="2:9">
      <c r="C116" s="20">
        <v>2.3239999999999998</v>
      </c>
      <c r="D116" s="21">
        <v>126.1</v>
      </c>
      <c r="E116" s="3">
        <v>64.040000000000006</v>
      </c>
      <c r="F116" s="3">
        <v>30.38</v>
      </c>
      <c r="G116" s="21">
        <v>541.70000000000005</v>
      </c>
      <c r="H116" s="3">
        <v>15.81</v>
      </c>
      <c r="I116" s="13">
        <f t="shared" si="1"/>
        <v>2.1079657669519398</v>
      </c>
    </row>
    <row r="117" spans="2:9">
      <c r="C117" s="20">
        <v>2.3620000000000001</v>
      </c>
      <c r="D117" s="21">
        <v>134.4</v>
      </c>
      <c r="E117" s="3">
        <v>64.88</v>
      </c>
      <c r="F117" s="3">
        <v>29.18</v>
      </c>
      <c r="G117" s="21">
        <v>541.29999999999995</v>
      </c>
      <c r="H117" s="3">
        <v>16.3</v>
      </c>
      <c r="I117" s="13">
        <f t="shared" si="1"/>
        <v>2.2234407128170002</v>
      </c>
    </row>
    <row r="118" spans="2:9">
      <c r="C118" s="20">
        <v>2.3450000000000002</v>
      </c>
      <c r="D118" s="21">
        <v>128.19999999999999</v>
      </c>
      <c r="E118" s="3">
        <v>64.849999999999994</v>
      </c>
      <c r="F118" s="3">
        <v>29.75</v>
      </c>
      <c r="G118" s="21">
        <v>531.5</v>
      </c>
      <c r="H118" s="3">
        <v>15.46</v>
      </c>
      <c r="I118" s="13">
        <f t="shared" si="1"/>
        <v>2.1798319327731099</v>
      </c>
    </row>
    <row r="119" spans="2:9">
      <c r="C119" s="20">
        <v>2.3359999999999999</v>
      </c>
      <c r="D119" s="21">
        <v>146.30000000000001</v>
      </c>
      <c r="E119" s="3">
        <v>63.49</v>
      </c>
      <c r="F119" s="3">
        <v>30.75</v>
      </c>
      <c r="G119" s="21">
        <v>533.9</v>
      </c>
      <c r="H119" s="3">
        <v>15.86</v>
      </c>
      <c r="I119" s="13">
        <f t="shared" si="1"/>
        <v>2.06471544715447</v>
      </c>
    </row>
    <row r="120" spans="2:9">
      <c r="C120" s="20">
        <v>2.0550000000000002</v>
      </c>
      <c r="D120" s="21">
        <v>140.9</v>
      </c>
      <c r="E120" s="3">
        <v>63.99</v>
      </c>
      <c r="F120" s="3">
        <v>30.55</v>
      </c>
      <c r="G120" s="21">
        <v>534.1</v>
      </c>
      <c r="H120" s="3">
        <v>15.71</v>
      </c>
      <c r="I120" s="13">
        <f t="shared" si="1"/>
        <v>2.0945990180032701</v>
      </c>
    </row>
    <row r="121" spans="2:9">
      <c r="C121" s="20">
        <v>2.2069999999999999</v>
      </c>
      <c r="D121" s="21">
        <v>150.5</v>
      </c>
      <c r="E121" s="3">
        <v>64.16</v>
      </c>
      <c r="F121" s="3">
        <v>30.72</v>
      </c>
      <c r="G121" s="21">
        <v>547.6</v>
      </c>
      <c r="H121" s="3">
        <v>16.149999999999999</v>
      </c>
      <c r="I121" s="13">
        <f t="shared" si="1"/>
        <v>2.0885416666666701</v>
      </c>
    </row>
    <row r="122" spans="2:9">
      <c r="B122" s="16">
        <v>7</v>
      </c>
      <c r="C122" s="17">
        <v>2.7109999999999999</v>
      </c>
      <c r="D122" s="29">
        <v>168.2</v>
      </c>
      <c r="E122" s="18">
        <v>70.27</v>
      </c>
      <c r="F122" s="18">
        <v>22.21</v>
      </c>
      <c r="G122" s="19">
        <v>536.5</v>
      </c>
      <c r="H122" s="18">
        <v>10.89</v>
      </c>
      <c r="I122" s="13">
        <f t="shared" si="1"/>
        <v>3.16389013957677</v>
      </c>
    </row>
    <row r="123" spans="2:9">
      <c r="C123" s="20">
        <v>2.6320000000000001</v>
      </c>
      <c r="D123" s="21">
        <v>184.3</v>
      </c>
      <c r="E123" s="3">
        <v>70.13</v>
      </c>
      <c r="F123" s="3">
        <v>21.73</v>
      </c>
      <c r="G123" s="21">
        <v>541.4</v>
      </c>
      <c r="H123" s="3">
        <v>10.66</v>
      </c>
      <c r="I123" s="13">
        <f t="shared" si="1"/>
        <v>3.2273354809019801</v>
      </c>
    </row>
    <row r="124" spans="2:9">
      <c r="C124" s="20">
        <v>2.6360000000000001</v>
      </c>
      <c r="D124" s="21">
        <v>173</v>
      </c>
      <c r="E124" s="3">
        <v>71.5</v>
      </c>
      <c r="F124" s="3">
        <v>21.63</v>
      </c>
      <c r="G124" s="21">
        <v>546.4</v>
      </c>
      <c r="H124" s="3">
        <v>11.22</v>
      </c>
      <c r="I124" s="13">
        <f t="shared" si="1"/>
        <v>3.3055940822931098</v>
      </c>
    </row>
    <row r="125" spans="2:9">
      <c r="C125" s="20">
        <v>2.29</v>
      </c>
      <c r="D125" s="21">
        <v>154.6</v>
      </c>
      <c r="E125" s="3">
        <v>70.709999999999994</v>
      </c>
      <c r="F125" s="3">
        <v>22.2</v>
      </c>
      <c r="G125" s="21">
        <v>546.79999999999995</v>
      </c>
      <c r="H125" s="3">
        <v>11.58</v>
      </c>
      <c r="I125" s="13">
        <f t="shared" si="1"/>
        <v>3.18513513513513</v>
      </c>
    </row>
    <row r="126" spans="2:9">
      <c r="C126" s="20">
        <v>2.4950000000000001</v>
      </c>
      <c r="D126" s="21">
        <v>153</v>
      </c>
      <c r="E126" s="3">
        <v>71.23</v>
      </c>
      <c r="F126" s="3">
        <v>21.16</v>
      </c>
      <c r="G126" s="21">
        <v>539.4</v>
      </c>
      <c r="H126" s="3">
        <v>11.08</v>
      </c>
      <c r="I126" s="13">
        <f t="shared" si="1"/>
        <v>3.3662570888468801</v>
      </c>
    </row>
    <row r="127" spans="2:9">
      <c r="C127" s="20">
        <v>2.593</v>
      </c>
      <c r="D127" s="21">
        <v>136</v>
      </c>
      <c r="E127" s="3">
        <v>71.47</v>
      </c>
      <c r="F127" s="3">
        <v>22.39</v>
      </c>
      <c r="G127" s="21">
        <v>542.5</v>
      </c>
      <c r="H127" s="3">
        <v>11.16</v>
      </c>
      <c r="I127" s="13">
        <f t="shared" si="1"/>
        <v>3.1920500223313999</v>
      </c>
    </row>
    <row r="128" spans="2:9">
      <c r="C128" s="20">
        <v>2.625</v>
      </c>
      <c r="D128" s="21">
        <v>123.5</v>
      </c>
      <c r="E128" s="3">
        <v>71.67</v>
      </c>
      <c r="F128" s="3">
        <v>21.34</v>
      </c>
      <c r="G128" s="21">
        <v>539.1</v>
      </c>
      <c r="H128" s="3">
        <v>10.74</v>
      </c>
      <c r="I128" s="13">
        <f t="shared" si="1"/>
        <v>3.35848172446111</v>
      </c>
    </row>
    <row r="129" spans="2:9">
      <c r="C129" s="20">
        <v>2.3109999999999999</v>
      </c>
      <c r="D129" s="21">
        <v>169.6</v>
      </c>
      <c r="E129" s="3">
        <v>71.290000000000006</v>
      </c>
      <c r="F129" s="3">
        <v>22.31</v>
      </c>
      <c r="G129" s="21">
        <v>535.20000000000005</v>
      </c>
      <c r="H129" s="3">
        <v>10.41</v>
      </c>
      <c r="I129" s="13">
        <f t="shared" si="1"/>
        <v>3.1954280591662898</v>
      </c>
    </row>
    <row r="130" spans="2:9">
      <c r="C130" s="20">
        <v>2.4249999999999998</v>
      </c>
      <c r="D130" s="21">
        <v>154.19999999999999</v>
      </c>
      <c r="E130" s="3">
        <v>71.8</v>
      </c>
      <c r="F130" s="3">
        <v>22.43</v>
      </c>
      <c r="G130" s="21">
        <v>541.1</v>
      </c>
      <c r="H130" s="3">
        <v>11.68</v>
      </c>
      <c r="I130" s="13">
        <f t="shared" si="1"/>
        <v>3.2010699955416801</v>
      </c>
    </row>
    <row r="131" spans="2:9">
      <c r="C131" s="20">
        <v>2.5619999999999998</v>
      </c>
      <c r="D131" s="21">
        <v>137</v>
      </c>
      <c r="E131" s="3">
        <v>71.09</v>
      </c>
      <c r="F131" s="3">
        <v>22.89</v>
      </c>
      <c r="G131" s="21">
        <v>545.29999999999995</v>
      </c>
      <c r="H131" s="3">
        <v>11.63</v>
      </c>
      <c r="I131" s="13">
        <f t="shared" ref="I131:I194" si="2">E131/F131</f>
        <v>3.1057230231542201</v>
      </c>
    </row>
    <row r="132" spans="2:9">
      <c r="C132" s="20">
        <v>2.5830000000000002</v>
      </c>
      <c r="D132" s="21">
        <v>136</v>
      </c>
      <c r="E132" s="3">
        <v>72.209999999999994</v>
      </c>
      <c r="F132" s="3">
        <v>21.98</v>
      </c>
      <c r="G132" s="21">
        <v>545.20000000000005</v>
      </c>
      <c r="H132" s="3">
        <v>11.14</v>
      </c>
      <c r="I132" s="13">
        <f t="shared" si="2"/>
        <v>3.2852593266605998</v>
      </c>
    </row>
    <row r="133" spans="2:9">
      <c r="C133" s="20">
        <v>2.1920000000000002</v>
      </c>
      <c r="D133" s="21">
        <v>123.5</v>
      </c>
      <c r="E133" s="3">
        <v>71.33</v>
      </c>
      <c r="F133" s="3">
        <v>21.19</v>
      </c>
      <c r="G133" s="21">
        <v>541.6</v>
      </c>
      <c r="H133" s="3">
        <v>11.32</v>
      </c>
      <c r="I133" s="13">
        <f t="shared" si="2"/>
        <v>3.3662104766399201</v>
      </c>
    </row>
    <row r="134" spans="2:9">
      <c r="C134" s="20">
        <v>2.4670000000000001</v>
      </c>
      <c r="D134" s="21">
        <v>114.7</v>
      </c>
      <c r="E134" s="3">
        <v>71.66</v>
      </c>
      <c r="F134" s="3">
        <v>21.32</v>
      </c>
      <c r="G134" s="21">
        <v>539.29999999999995</v>
      </c>
      <c r="H134" s="3">
        <v>11.09</v>
      </c>
      <c r="I134" s="13">
        <f t="shared" si="2"/>
        <v>3.3611632270168901</v>
      </c>
    </row>
    <row r="135" spans="2:9">
      <c r="C135" s="20">
        <v>2.722</v>
      </c>
      <c r="D135" s="21">
        <v>118</v>
      </c>
      <c r="E135" s="3">
        <v>71.73</v>
      </c>
      <c r="F135" s="3">
        <v>21.89</v>
      </c>
      <c r="G135" s="21">
        <v>540.9</v>
      </c>
      <c r="H135" s="3">
        <v>11.29</v>
      </c>
      <c r="I135" s="13">
        <f t="shared" si="2"/>
        <v>3.2768387391503002</v>
      </c>
    </row>
    <row r="136" spans="2:9">
      <c r="C136" s="20">
        <v>2.6429999999999998</v>
      </c>
      <c r="D136" s="21">
        <v>116.5</v>
      </c>
      <c r="E136" s="3">
        <v>70.430000000000007</v>
      </c>
      <c r="F136" s="3">
        <v>21.97</v>
      </c>
      <c r="G136" s="21">
        <v>541.4</v>
      </c>
      <c r="H136" s="3">
        <v>11.02</v>
      </c>
      <c r="I136" s="13">
        <f t="shared" si="2"/>
        <v>3.2057350933090598</v>
      </c>
    </row>
    <row r="137" spans="2:9">
      <c r="C137" s="20">
        <v>2.67</v>
      </c>
      <c r="D137" s="21">
        <v>120</v>
      </c>
      <c r="E137" s="3">
        <v>70.400000000000006</v>
      </c>
      <c r="F137" s="3">
        <v>22.43</v>
      </c>
      <c r="G137" s="21">
        <v>536.5</v>
      </c>
      <c r="H137" s="3">
        <v>10.89</v>
      </c>
      <c r="I137" s="13">
        <f t="shared" si="2"/>
        <v>3.13865358894338</v>
      </c>
    </row>
    <row r="138" spans="2:9">
      <c r="C138" s="20">
        <v>2.681</v>
      </c>
      <c r="D138" s="21">
        <v>124.7</v>
      </c>
      <c r="E138" s="3">
        <v>71.680000000000007</v>
      </c>
      <c r="F138" s="3">
        <v>22.9</v>
      </c>
      <c r="G138" s="21">
        <v>536.29999999999995</v>
      </c>
      <c r="H138" s="3">
        <v>10.49</v>
      </c>
      <c r="I138" s="13">
        <f t="shared" si="2"/>
        <v>3.13013100436681</v>
      </c>
    </row>
    <row r="139" spans="2:9">
      <c r="C139" s="20">
        <v>2.7810000000000001</v>
      </c>
      <c r="D139" s="21">
        <v>127.9</v>
      </c>
      <c r="E139" s="3">
        <v>70.86</v>
      </c>
      <c r="F139" s="3">
        <v>22.41</v>
      </c>
      <c r="G139" s="21">
        <v>539.29999999999995</v>
      </c>
      <c r="H139" s="3">
        <v>11.28</v>
      </c>
      <c r="I139" s="13">
        <f t="shared" si="2"/>
        <v>3.1619812583667999</v>
      </c>
    </row>
    <row r="140" spans="2:9">
      <c r="C140" s="20">
        <v>2.5489999999999999</v>
      </c>
      <c r="D140" s="21">
        <v>134.6</v>
      </c>
      <c r="E140" s="3">
        <v>70.52</v>
      </c>
      <c r="F140" s="3">
        <v>21.42</v>
      </c>
      <c r="G140" s="21">
        <v>539.1</v>
      </c>
      <c r="H140" s="3">
        <v>10.66</v>
      </c>
      <c r="I140" s="13">
        <f t="shared" si="2"/>
        <v>3.2922502334266999</v>
      </c>
    </row>
    <row r="141" spans="2:9">
      <c r="C141" s="20">
        <v>2.52</v>
      </c>
      <c r="D141" s="21">
        <v>127.9</v>
      </c>
      <c r="E141" s="3">
        <v>71.349999999999994</v>
      </c>
      <c r="F141" s="3">
        <v>22.3</v>
      </c>
      <c r="G141" s="21">
        <v>548.6</v>
      </c>
      <c r="H141" s="3">
        <v>10.63</v>
      </c>
      <c r="I141" s="13">
        <f t="shared" si="2"/>
        <v>3.1995515695067298</v>
      </c>
    </row>
    <row r="142" spans="2:9">
      <c r="B142" s="16">
        <v>8</v>
      </c>
      <c r="C142" s="17">
        <v>4.4530000000000003</v>
      </c>
      <c r="D142" s="29">
        <v>136</v>
      </c>
      <c r="E142" s="18">
        <v>82.3</v>
      </c>
      <c r="F142" s="18">
        <v>23.17</v>
      </c>
      <c r="G142" s="19">
        <v>768.4</v>
      </c>
      <c r="H142" s="18">
        <v>9.89</v>
      </c>
      <c r="I142" s="13">
        <f t="shared" si="2"/>
        <v>3.55200690548123</v>
      </c>
    </row>
    <row r="143" spans="2:9">
      <c r="C143" s="20">
        <v>4.4870000000000001</v>
      </c>
      <c r="D143" s="21">
        <v>132.6</v>
      </c>
      <c r="E143" s="3">
        <v>81.459999999999994</v>
      </c>
      <c r="F143" s="3">
        <v>23.3</v>
      </c>
      <c r="G143" s="21">
        <v>767.2</v>
      </c>
      <c r="H143" s="3">
        <v>9.6259999999999994</v>
      </c>
      <c r="I143" s="13">
        <f t="shared" si="2"/>
        <v>3.4961373390557902</v>
      </c>
    </row>
    <row r="144" spans="2:9">
      <c r="C144" s="20">
        <v>4.2619999999999996</v>
      </c>
      <c r="D144" s="21">
        <v>133.5</v>
      </c>
      <c r="E144" s="3">
        <v>82.66</v>
      </c>
      <c r="F144" s="3">
        <v>21.87</v>
      </c>
      <c r="G144" s="21">
        <v>766.8</v>
      </c>
      <c r="H144" s="3">
        <v>9.2189999999999994</v>
      </c>
      <c r="I144" s="13">
        <f t="shared" si="2"/>
        <v>3.77960676726109</v>
      </c>
    </row>
    <row r="145" spans="3:9">
      <c r="C145" s="20">
        <v>4.4429999999999996</v>
      </c>
      <c r="D145" s="21">
        <v>144.19999999999999</v>
      </c>
      <c r="E145" s="3">
        <v>81.45</v>
      </c>
      <c r="F145" s="3">
        <v>22.81</v>
      </c>
      <c r="G145" s="21">
        <v>767.4</v>
      </c>
      <c r="H145" s="3">
        <v>9.0739999999999998</v>
      </c>
      <c r="I145" s="13">
        <f t="shared" si="2"/>
        <v>3.5708022797018901</v>
      </c>
    </row>
    <row r="146" spans="3:9">
      <c r="C146" s="20">
        <v>4.0780000000000003</v>
      </c>
      <c r="D146" s="21">
        <v>116.3</v>
      </c>
      <c r="E146" s="3">
        <v>82.55</v>
      </c>
      <c r="F146" s="3">
        <v>22.56</v>
      </c>
      <c r="G146" s="21">
        <v>763.1</v>
      </c>
      <c r="H146" s="3">
        <v>8.5340000000000007</v>
      </c>
      <c r="I146" s="13">
        <f t="shared" si="2"/>
        <v>3.6591312056737602</v>
      </c>
    </row>
    <row r="147" spans="3:9">
      <c r="C147" s="20">
        <v>4.4569999999999999</v>
      </c>
      <c r="D147" s="21">
        <v>153.6</v>
      </c>
      <c r="E147" s="3">
        <v>82.58</v>
      </c>
      <c r="F147" s="3">
        <v>22.32</v>
      </c>
      <c r="G147" s="21">
        <v>765.1</v>
      </c>
      <c r="H147" s="3">
        <v>8.6850000000000005</v>
      </c>
      <c r="I147" s="13">
        <f t="shared" si="2"/>
        <v>3.6998207885304701</v>
      </c>
    </row>
    <row r="148" spans="3:9">
      <c r="C148" s="20">
        <v>4.2439999999999998</v>
      </c>
      <c r="D148" s="21">
        <v>139</v>
      </c>
      <c r="E148" s="3">
        <v>81.819999999999993</v>
      </c>
      <c r="F148" s="3">
        <v>22.67</v>
      </c>
      <c r="G148" s="21">
        <v>766.8</v>
      </c>
      <c r="H148" s="3">
        <v>8.0120000000000005</v>
      </c>
      <c r="I148" s="13">
        <f t="shared" si="2"/>
        <v>3.60917512130569</v>
      </c>
    </row>
    <row r="149" spans="3:9">
      <c r="C149" s="20">
        <v>4.2619999999999996</v>
      </c>
      <c r="D149" s="21">
        <v>126.7</v>
      </c>
      <c r="E149" s="3">
        <v>82.88</v>
      </c>
      <c r="F149" s="3">
        <v>22.93</v>
      </c>
      <c r="G149" s="21">
        <v>767.6</v>
      </c>
      <c r="H149" s="3">
        <v>9.6259999999999994</v>
      </c>
      <c r="I149" s="13">
        <f t="shared" si="2"/>
        <v>3.6144788486698598</v>
      </c>
    </row>
    <row r="150" spans="3:9">
      <c r="C150" s="20">
        <v>3.6890000000000001</v>
      </c>
      <c r="D150" s="21">
        <v>129.30000000000001</v>
      </c>
      <c r="E150" s="3">
        <v>81.23</v>
      </c>
      <c r="F150" s="3">
        <v>21.84</v>
      </c>
      <c r="G150" s="21">
        <v>769.8</v>
      </c>
      <c r="H150" s="3">
        <v>9.1329999999999991</v>
      </c>
      <c r="I150" s="13">
        <f t="shared" si="2"/>
        <v>3.71932234432234</v>
      </c>
    </row>
    <row r="151" spans="3:9">
      <c r="C151" s="20">
        <v>3.9809999999999999</v>
      </c>
      <c r="D151" s="21">
        <v>131.69999999999999</v>
      </c>
      <c r="E151" s="3">
        <v>81.400000000000006</v>
      </c>
      <c r="F151" s="3">
        <v>22.58</v>
      </c>
      <c r="G151" s="21">
        <v>768.4</v>
      </c>
      <c r="H151" s="3">
        <v>8.5860000000000003</v>
      </c>
      <c r="I151" s="13">
        <f t="shared" si="2"/>
        <v>3.6049601417183399</v>
      </c>
    </row>
    <row r="152" spans="3:9">
      <c r="C152" s="20">
        <v>3.3679999999999999</v>
      </c>
      <c r="D152" s="21">
        <v>122.5</v>
      </c>
      <c r="E152" s="3">
        <v>81.23</v>
      </c>
      <c r="F152" s="3">
        <v>23.05</v>
      </c>
      <c r="G152" s="21">
        <v>766.8</v>
      </c>
      <c r="H152" s="3">
        <v>9.8450000000000006</v>
      </c>
      <c r="I152" s="13">
        <f t="shared" si="2"/>
        <v>3.5240780911062899</v>
      </c>
    </row>
    <row r="153" spans="3:9">
      <c r="C153" s="20">
        <v>4.4009999999999998</v>
      </c>
      <c r="D153" s="21">
        <v>136</v>
      </c>
      <c r="E153" s="3">
        <v>81.98</v>
      </c>
      <c r="F153" s="3">
        <v>22.57</v>
      </c>
      <c r="G153" s="21">
        <v>765.4</v>
      </c>
      <c r="H153" s="3">
        <v>9.1329999999999991</v>
      </c>
      <c r="I153" s="13">
        <f t="shared" si="2"/>
        <v>3.6322552060256998</v>
      </c>
    </row>
    <row r="154" spans="3:9">
      <c r="C154" s="20">
        <v>3.9910000000000001</v>
      </c>
      <c r="D154" s="21">
        <v>121.8</v>
      </c>
      <c r="E154" s="3">
        <v>81.45</v>
      </c>
      <c r="F154" s="3">
        <v>23.17</v>
      </c>
      <c r="G154" s="21">
        <v>765.9</v>
      </c>
      <c r="H154" s="3">
        <v>9.6259999999999994</v>
      </c>
      <c r="I154" s="13">
        <f t="shared" si="2"/>
        <v>3.5153215364695698</v>
      </c>
    </row>
    <row r="155" spans="3:9">
      <c r="C155" s="20">
        <v>3.6669999999999998</v>
      </c>
      <c r="D155" s="21">
        <v>136</v>
      </c>
      <c r="E155" s="3">
        <v>81.239999999999995</v>
      </c>
      <c r="F155" s="3">
        <v>23.19</v>
      </c>
      <c r="G155" s="21">
        <v>768.6</v>
      </c>
      <c r="H155" s="3">
        <v>9.2720000000000002</v>
      </c>
      <c r="I155" s="13">
        <f t="shared" si="2"/>
        <v>3.5032341526519999</v>
      </c>
    </row>
    <row r="156" spans="3:9">
      <c r="C156" s="20">
        <v>4.4569999999999999</v>
      </c>
      <c r="D156" s="21">
        <v>126.5</v>
      </c>
      <c r="E156" s="3">
        <v>83.02</v>
      </c>
      <c r="F156" s="3">
        <v>23.9</v>
      </c>
      <c r="G156" s="21">
        <v>769</v>
      </c>
      <c r="H156" s="3">
        <v>8.8360000000000003</v>
      </c>
      <c r="I156" s="13">
        <f t="shared" si="2"/>
        <v>3.47364016736402</v>
      </c>
    </row>
    <row r="157" spans="3:9">
      <c r="C157" s="20">
        <v>4.2619999999999996</v>
      </c>
      <c r="D157" s="21">
        <v>144.6</v>
      </c>
      <c r="E157" s="3">
        <v>83.34</v>
      </c>
      <c r="F157" s="3">
        <v>23.3</v>
      </c>
      <c r="G157" s="21">
        <v>765.9</v>
      </c>
      <c r="H157" s="3">
        <v>8.6850000000000005</v>
      </c>
      <c r="I157" s="13">
        <f t="shared" si="2"/>
        <v>3.5768240343347601</v>
      </c>
    </row>
    <row r="158" spans="3:9">
      <c r="C158" s="20">
        <v>3.5870000000000002</v>
      </c>
      <c r="D158" s="21">
        <v>129.30000000000001</v>
      </c>
      <c r="E158" s="3">
        <v>81.180000000000007</v>
      </c>
      <c r="F158" s="3">
        <v>23.41</v>
      </c>
      <c r="G158" s="21">
        <v>766.3</v>
      </c>
      <c r="H158" s="3">
        <v>8.5340000000000007</v>
      </c>
      <c r="I158" s="13">
        <f t="shared" si="2"/>
        <v>3.4677488252883402</v>
      </c>
    </row>
    <row r="159" spans="3:9">
      <c r="C159" s="20">
        <v>4.33</v>
      </c>
      <c r="D159" s="21">
        <v>133.5</v>
      </c>
      <c r="E159" s="3">
        <v>81.209999999999994</v>
      </c>
      <c r="F159" s="3">
        <v>22.81</v>
      </c>
      <c r="G159" s="21">
        <v>761.6</v>
      </c>
      <c r="H159" s="3">
        <v>8.0120000000000005</v>
      </c>
      <c r="I159" s="13">
        <f t="shared" si="2"/>
        <v>3.5602805786935598</v>
      </c>
    </row>
    <row r="160" spans="3:9">
      <c r="C160" s="20">
        <v>3.6</v>
      </c>
      <c r="D160" s="21">
        <v>116.3</v>
      </c>
      <c r="E160" s="3">
        <v>81.290000000000006</v>
      </c>
      <c r="F160" s="3">
        <v>22.62</v>
      </c>
      <c r="G160" s="21">
        <v>767.9</v>
      </c>
      <c r="H160" s="3">
        <v>8.8450000000000006</v>
      </c>
      <c r="I160" s="13">
        <f t="shared" si="2"/>
        <v>3.59372236958444</v>
      </c>
    </row>
    <row r="161" spans="2:9">
      <c r="C161" s="20">
        <v>4.4530000000000003</v>
      </c>
      <c r="D161" s="21">
        <v>121.8</v>
      </c>
      <c r="E161" s="3">
        <v>82.49</v>
      </c>
      <c r="F161" s="3">
        <v>23.64</v>
      </c>
      <c r="G161" s="21">
        <v>768.4</v>
      </c>
      <c r="H161" s="3">
        <v>8.0030000000000001</v>
      </c>
      <c r="I161" s="13">
        <f t="shared" si="2"/>
        <v>3.4894247038917099</v>
      </c>
    </row>
    <row r="162" spans="2:9">
      <c r="B162" s="16">
        <v>9</v>
      </c>
      <c r="C162" s="17">
        <v>1.9410000000000001</v>
      </c>
      <c r="D162" s="29">
        <v>161.69999999999999</v>
      </c>
      <c r="E162" s="18">
        <v>91.19</v>
      </c>
      <c r="F162" s="18">
        <v>35.11</v>
      </c>
      <c r="G162" s="19">
        <v>523.20000000000005</v>
      </c>
      <c r="H162" s="18">
        <v>8.8089999999999993</v>
      </c>
      <c r="I162" s="13">
        <f t="shared" si="2"/>
        <v>2.59726573625748</v>
      </c>
    </row>
    <row r="163" spans="2:9">
      <c r="C163" s="20">
        <v>1.788</v>
      </c>
      <c r="D163" s="21">
        <v>163.5</v>
      </c>
      <c r="E163" s="3">
        <v>91.11</v>
      </c>
      <c r="F163" s="3">
        <v>35.97</v>
      </c>
      <c r="G163" s="21">
        <v>524.70000000000005</v>
      </c>
      <c r="H163" s="3">
        <v>8.6790000000000003</v>
      </c>
      <c r="I163" s="13">
        <f t="shared" si="2"/>
        <v>2.5329441201000802</v>
      </c>
    </row>
    <row r="164" spans="2:9">
      <c r="C164" s="20">
        <v>1.94</v>
      </c>
      <c r="D164" s="21">
        <v>194.5</v>
      </c>
      <c r="E164" s="3">
        <v>91.44</v>
      </c>
      <c r="F164" s="3">
        <v>34.130000000000003</v>
      </c>
      <c r="G164" s="21">
        <v>521</v>
      </c>
      <c r="H164" s="3">
        <v>9.6159999999999997</v>
      </c>
      <c r="I164" s="13">
        <f t="shared" si="2"/>
        <v>2.6791678874890099</v>
      </c>
    </row>
    <row r="165" spans="2:9">
      <c r="C165" s="20">
        <v>1.9410000000000001</v>
      </c>
      <c r="D165" s="21">
        <v>160</v>
      </c>
      <c r="E165" s="3">
        <v>91.07</v>
      </c>
      <c r="F165" s="3">
        <v>34.119999999999997</v>
      </c>
      <c r="G165" s="21">
        <v>525.9</v>
      </c>
      <c r="H165" s="3">
        <v>8.9909999999999997</v>
      </c>
      <c r="I165" s="13">
        <f t="shared" si="2"/>
        <v>2.6691090269636599</v>
      </c>
    </row>
    <row r="166" spans="2:9">
      <c r="C166" s="20">
        <v>2.0449999999999999</v>
      </c>
      <c r="D166" s="21">
        <v>161.69999999999999</v>
      </c>
      <c r="E166" s="3">
        <v>91.31</v>
      </c>
      <c r="F166" s="3">
        <v>35.08</v>
      </c>
      <c r="G166" s="21">
        <v>525.20000000000005</v>
      </c>
      <c r="H166" s="3">
        <v>8.0749999999999993</v>
      </c>
      <c r="I166" s="13">
        <f t="shared" si="2"/>
        <v>2.6029076396807298</v>
      </c>
    </row>
    <row r="167" spans="2:9">
      <c r="C167" s="20">
        <v>1.9730000000000001</v>
      </c>
      <c r="D167" s="21">
        <v>144.69999999999999</v>
      </c>
      <c r="E167" s="3">
        <v>91.83</v>
      </c>
      <c r="F167" s="3">
        <v>34.58</v>
      </c>
      <c r="G167" s="21">
        <v>526.6</v>
      </c>
      <c r="H167" s="3">
        <v>8.7910000000000004</v>
      </c>
      <c r="I167" s="13">
        <f t="shared" si="2"/>
        <v>2.65558126084442</v>
      </c>
    </row>
    <row r="168" spans="2:9">
      <c r="C168" s="20">
        <v>2.0009999999999999</v>
      </c>
      <c r="D168" s="21">
        <v>163.5</v>
      </c>
      <c r="E168" s="3">
        <v>91.65</v>
      </c>
      <c r="F168" s="3">
        <v>34.4</v>
      </c>
      <c r="G168" s="21">
        <v>525.4</v>
      </c>
      <c r="H168" s="3">
        <v>8.0090000000000003</v>
      </c>
      <c r="I168" s="13">
        <f t="shared" si="2"/>
        <v>2.6642441860465098</v>
      </c>
    </row>
    <row r="169" spans="2:9">
      <c r="C169" s="20">
        <v>1.9339999999999999</v>
      </c>
      <c r="D169" s="21">
        <v>174.2</v>
      </c>
      <c r="E169" s="3">
        <v>92.07</v>
      </c>
      <c r="F169" s="3">
        <v>34.049999999999997</v>
      </c>
      <c r="G169" s="21">
        <v>526.70000000000005</v>
      </c>
      <c r="H169" s="3">
        <v>9.7270000000000003</v>
      </c>
      <c r="I169" s="13">
        <f t="shared" si="2"/>
        <v>2.70396475770925</v>
      </c>
    </row>
    <row r="170" spans="2:9">
      <c r="C170" s="20">
        <v>2.0150000000000001</v>
      </c>
      <c r="D170" s="21">
        <v>148.4</v>
      </c>
      <c r="E170" s="3">
        <v>91.49</v>
      </c>
      <c r="F170" s="3">
        <v>34.83</v>
      </c>
      <c r="G170" s="21">
        <v>531.4</v>
      </c>
      <c r="H170" s="3">
        <v>8.9429999999999996</v>
      </c>
      <c r="I170" s="13">
        <f t="shared" si="2"/>
        <v>2.6267585414872201</v>
      </c>
    </row>
    <row r="171" spans="2:9">
      <c r="C171" s="20">
        <v>1.849</v>
      </c>
      <c r="D171" s="21">
        <v>157.5</v>
      </c>
      <c r="E171" s="3">
        <v>90.05</v>
      </c>
      <c r="F171" s="3">
        <v>33.83</v>
      </c>
      <c r="G171" s="21">
        <v>528.20000000000005</v>
      </c>
      <c r="H171" s="3">
        <v>8.8089999999999993</v>
      </c>
      <c r="I171" s="13">
        <f t="shared" si="2"/>
        <v>2.6618386047886502</v>
      </c>
    </row>
    <row r="172" spans="2:9">
      <c r="C172" s="20">
        <v>1.9750000000000001</v>
      </c>
      <c r="D172" s="21">
        <v>161.69999999999999</v>
      </c>
      <c r="E172" s="3">
        <v>92.57</v>
      </c>
      <c r="F172" s="3">
        <v>34.92</v>
      </c>
      <c r="G172" s="21">
        <v>531.20000000000005</v>
      </c>
      <c r="H172" s="3">
        <v>8.9870000000000001</v>
      </c>
      <c r="I172" s="13">
        <f t="shared" si="2"/>
        <v>2.65091638029782</v>
      </c>
    </row>
    <row r="173" spans="2:9">
      <c r="C173" s="20">
        <v>1.843</v>
      </c>
      <c r="D173" s="21">
        <v>163.5</v>
      </c>
      <c r="E173" s="3">
        <v>91.78</v>
      </c>
      <c r="F173" s="3">
        <v>33.119999999999997</v>
      </c>
      <c r="G173" s="21">
        <v>536.4</v>
      </c>
      <c r="H173" s="3">
        <v>9.3279999999999994</v>
      </c>
      <c r="I173" s="13">
        <f t="shared" si="2"/>
        <v>2.77113526570048</v>
      </c>
    </row>
    <row r="174" spans="2:9">
      <c r="C174" s="20">
        <v>1.788</v>
      </c>
      <c r="D174" s="21">
        <v>148.4</v>
      </c>
      <c r="E174" s="3">
        <v>91.28</v>
      </c>
      <c r="F174" s="3">
        <v>33.979999999999997</v>
      </c>
      <c r="G174" s="21">
        <v>528.5</v>
      </c>
      <c r="H174" s="3">
        <v>8.5410000000000004</v>
      </c>
      <c r="I174" s="13">
        <f t="shared" si="2"/>
        <v>2.6862860506180102</v>
      </c>
    </row>
    <row r="175" spans="2:9">
      <c r="C175" s="20">
        <v>1.98</v>
      </c>
      <c r="D175" s="21">
        <v>145</v>
      </c>
      <c r="E175" s="3">
        <v>91.29</v>
      </c>
      <c r="F175" s="3">
        <v>34.83</v>
      </c>
      <c r="G175" s="21">
        <v>527.6</v>
      </c>
      <c r="H175" s="3">
        <v>9.6720000000000006</v>
      </c>
      <c r="I175" s="13">
        <f t="shared" si="2"/>
        <v>2.6210163652024101</v>
      </c>
    </row>
    <row r="176" spans="2:9">
      <c r="C176" s="20">
        <v>1.7170000000000001</v>
      </c>
      <c r="D176" s="21">
        <v>143.4</v>
      </c>
      <c r="E176" s="3">
        <v>91.78</v>
      </c>
      <c r="F176" s="3">
        <v>33.19</v>
      </c>
      <c r="G176" s="21">
        <v>523.6</v>
      </c>
      <c r="H176" s="3">
        <v>8.8089999999999993</v>
      </c>
      <c r="I176" s="13">
        <f t="shared" si="2"/>
        <v>2.76529075022597</v>
      </c>
    </row>
    <row r="177" spans="2:9">
      <c r="C177" s="20">
        <v>2.0270000000000001</v>
      </c>
      <c r="D177" s="21">
        <v>144.69999999999999</v>
      </c>
      <c r="E177" s="3">
        <v>91.02</v>
      </c>
      <c r="F177" s="3">
        <v>34.869999999999997</v>
      </c>
      <c r="G177" s="21">
        <v>522.9</v>
      </c>
      <c r="H177" s="3">
        <v>9.6720000000000006</v>
      </c>
      <c r="I177" s="13">
        <f t="shared" si="2"/>
        <v>2.6102667049039301</v>
      </c>
    </row>
    <row r="178" spans="2:9">
      <c r="C178" s="20">
        <v>1.9410000000000001</v>
      </c>
      <c r="D178" s="21">
        <v>151.69999999999999</v>
      </c>
      <c r="E178" s="3">
        <v>91.47</v>
      </c>
      <c r="F178" s="3">
        <v>33.28</v>
      </c>
      <c r="G178" s="21">
        <v>522.79999999999995</v>
      </c>
      <c r="H178" s="3">
        <v>8.9640000000000004</v>
      </c>
      <c r="I178" s="13">
        <f t="shared" si="2"/>
        <v>2.7484975961538498</v>
      </c>
    </row>
    <row r="179" spans="2:9">
      <c r="C179" s="20">
        <v>1.859</v>
      </c>
      <c r="D179" s="21">
        <v>150.80000000000001</v>
      </c>
      <c r="E179" s="3">
        <v>91.61</v>
      </c>
      <c r="F179" s="3">
        <v>34.909999999999997</v>
      </c>
      <c r="G179" s="21">
        <v>523.1</v>
      </c>
      <c r="H179" s="3">
        <v>8.5410000000000004</v>
      </c>
      <c r="I179" s="13">
        <f t="shared" si="2"/>
        <v>2.6241764537381802</v>
      </c>
    </row>
    <row r="180" spans="2:9">
      <c r="C180" s="20">
        <v>1.7589999999999999</v>
      </c>
      <c r="D180" s="21">
        <v>154.19999999999999</v>
      </c>
      <c r="E180" s="3">
        <v>92.41</v>
      </c>
      <c r="F180" s="3">
        <v>33.229999999999997</v>
      </c>
      <c r="G180" s="21">
        <v>523.6</v>
      </c>
      <c r="H180" s="3">
        <v>8.0269999999999992</v>
      </c>
      <c r="I180" s="13">
        <f t="shared" si="2"/>
        <v>2.78092085464941</v>
      </c>
    </row>
    <row r="181" spans="2:9">
      <c r="C181" s="20">
        <v>1.992</v>
      </c>
      <c r="D181" s="21">
        <v>157.5</v>
      </c>
      <c r="E181" s="3">
        <v>92.44</v>
      </c>
      <c r="F181" s="3">
        <v>33.76</v>
      </c>
      <c r="G181" s="21">
        <v>522.79999999999995</v>
      </c>
      <c r="H181" s="3">
        <v>8.4139999999999997</v>
      </c>
      <c r="I181" s="13">
        <f t="shared" si="2"/>
        <v>2.7381516587677699</v>
      </c>
    </row>
    <row r="182" spans="2:9">
      <c r="B182" s="16">
        <v>10</v>
      </c>
      <c r="C182" s="17">
        <v>2.113</v>
      </c>
      <c r="D182" s="29">
        <v>163.9</v>
      </c>
      <c r="E182" s="18">
        <v>100.6</v>
      </c>
      <c r="F182" s="18">
        <v>31.09</v>
      </c>
      <c r="G182" s="19">
        <v>549.4</v>
      </c>
      <c r="H182" s="18">
        <v>5.1760000000000002</v>
      </c>
      <c r="I182" s="13">
        <f t="shared" si="2"/>
        <v>3.2357671276937898</v>
      </c>
    </row>
    <row r="183" spans="2:9">
      <c r="C183" s="20">
        <v>2.1110000000000002</v>
      </c>
      <c r="D183" s="21">
        <v>182.8</v>
      </c>
      <c r="E183" s="3">
        <v>102.9</v>
      </c>
      <c r="F183" s="3">
        <v>30.89</v>
      </c>
      <c r="G183" s="21">
        <v>548.9</v>
      </c>
      <c r="H183" s="3">
        <v>5.4459999999999997</v>
      </c>
      <c r="I183" s="13">
        <f t="shared" si="2"/>
        <v>3.3311751375849799</v>
      </c>
    </row>
    <row r="184" spans="2:9">
      <c r="C184" s="20">
        <v>2.1080000000000001</v>
      </c>
      <c r="D184" s="21">
        <v>195.3</v>
      </c>
      <c r="E184" s="3">
        <v>100.4</v>
      </c>
      <c r="F184" s="3">
        <v>31.48</v>
      </c>
      <c r="G184" s="21">
        <v>546.29999999999995</v>
      </c>
      <c r="H184" s="3">
        <v>7.4450000000000003</v>
      </c>
      <c r="I184" s="13">
        <f t="shared" si="2"/>
        <v>3.1893265565438398</v>
      </c>
    </row>
    <row r="185" spans="2:9">
      <c r="C185" s="20">
        <v>2.0950000000000002</v>
      </c>
      <c r="D185" s="21">
        <v>199.7</v>
      </c>
      <c r="E185" s="3">
        <v>100.9</v>
      </c>
      <c r="F185" s="3">
        <v>30.76</v>
      </c>
      <c r="G185" s="21">
        <v>546.79999999999995</v>
      </c>
      <c r="H185" s="3">
        <v>6.3029999999999999</v>
      </c>
      <c r="I185" s="13">
        <f t="shared" si="2"/>
        <v>3.2802340702210699</v>
      </c>
    </row>
    <row r="186" spans="2:9">
      <c r="C186" s="20">
        <v>2.0249999999999999</v>
      </c>
      <c r="D186" s="21">
        <v>196</v>
      </c>
      <c r="E186" s="3">
        <v>101.4</v>
      </c>
      <c r="F186" s="3">
        <v>31.29</v>
      </c>
      <c r="G186" s="21">
        <v>546.4</v>
      </c>
      <c r="H186" s="3">
        <v>6.5540000000000003</v>
      </c>
      <c r="I186" s="13">
        <f t="shared" si="2"/>
        <v>3.2406519654841799</v>
      </c>
    </row>
    <row r="187" spans="2:9">
      <c r="C187" s="20">
        <v>1.966</v>
      </c>
      <c r="D187" s="21">
        <v>202.8</v>
      </c>
      <c r="E187" s="3">
        <v>101.6</v>
      </c>
      <c r="F187" s="3">
        <v>30.64</v>
      </c>
      <c r="G187" s="21">
        <v>542.4</v>
      </c>
      <c r="H187" s="3">
        <v>6.4989999999999997</v>
      </c>
      <c r="I187" s="13">
        <f t="shared" si="2"/>
        <v>3.3159268929503898</v>
      </c>
    </row>
    <row r="188" spans="2:9">
      <c r="C188" s="20">
        <v>1.85</v>
      </c>
      <c r="D188" s="21">
        <v>181</v>
      </c>
      <c r="E188" s="3">
        <v>101.9</v>
      </c>
      <c r="F188" s="3">
        <v>31.45</v>
      </c>
      <c r="G188" s="21">
        <v>554.6</v>
      </c>
      <c r="H188" s="3">
        <v>5.633</v>
      </c>
      <c r="I188" s="13">
        <f t="shared" si="2"/>
        <v>3.2400635930047699</v>
      </c>
    </row>
    <row r="189" spans="2:9">
      <c r="C189" s="20">
        <v>2.004</v>
      </c>
      <c r="D189" s="21">
        <v>193.2</v>
      </c>
      <c r="E189" s="3">
        <v>102.3</v>
      </c>
      <c r="F189" s="3">
        <v>30.12</v>
      </c>
      <c r="G189" s="21">
        <v>546.79999999999995</v>
      </c>
      <c r="H189" s="3">
        <v>6.6109999999999998</v>
      </c>
      <c r="I189" s="13">
        <f t="shared" si="2"/>
        <v>3.3964143426294799</v>
      </c>
    </row>
    <row r="190" spans="2:9">
      <c r="C190" s="20">
        <v>2.0950000000000002</v>
      </c>
      <c r="D190" s="21">
        <v>209.9</v>
      </c>
      <c r="E190" s="3">
        <v>102.8</v>
      </c>
      <c r="F190" s="3">
        <v>31.34</v>
      </c>
      <c r="G190" s="21">
        <v>544</v>
      </c>
      <c r="H190" s="3">
        <v>5.9669999999999996</v>
      </c>
      <c r="I190" s="13">
        <f t="shared" si="2"/>
        <v>3.28015315890236</v>
      </c>
    </row>
    <row r="191" spans="2:9">
      <c r="C191" s="20">
        <v>2.024</v>
      </c>
      <c r="D191" s="21">
        <v>181</v>
      </c>
      <c r="E191" s="3">
        <v>101.4</v>
      </c>
      <c r="F191" s="3">
        <v>31.54</v>
      </c>
      <c r="G191" s="21">
        <v>548.9</v>
      </c>
      <c r="H191" s="3">
        <v>5.8659999999999997</v>
      </c>
      <c r="I191" s="13">
        <f t="shared" si="2"/>
        <v>3.2149651236525001</v>
      </c>
    </row>
    <row r="192" spans="2:9">
      <c r="C192" s="20">
        <v>2.0430000000000001</v>
      </c>
      <c r="D192" s="21">
        <v>195.3</v>
      </c>
      <c r="E192" s="3">
        <v>101.2</v>
      </c>
      <c r="F192" s="3">
        <v>32.76</v>
      </c>
      <c r="G192" s="21">
        <v>543.20000000000005</v>
      </c>
      <c r="H192" s="3">
        <v>5.5609999999999999</v>
      </c>
      <c r="I192" s="13">
        <f t="shared" si="2"/>
        <v>3.0891330891330901</v>
      </c>
    </row>
    <row r="193" spans="2:9">
      <c r="C193" s="20">
        <v>2.0270000000000001</v>
      </c>
      <c r="D193" s="21">
        <v>171.1</v>
      </c>
      <c r="E193" s="3">
        <v>101.8</v>
      </c>
      <c r="F193" s="3">
        <v>31.45</v>
      </c>
      <c r="G193" s="21">
        <v>550.29999999999995</v>
      </c>
      <c r="H193" s="3">
        <v>5.28</v>
      </c>
      <c r="I193" s="13">
        <f t="shared" si="2"/>
        <v>3.2368839427662999</v>
      </c>
    </row>
    <row r="194" spans="2:9">
      <c r="C194" s="20">
        <v>2.0920000000000001</v>
      </c>
      <c r="D194" s="21">
        <v>172.1</v>
      </c>
      <c r="E194" s="3">
        <v>100.6</v>
      </c>
      <c r="F194" s="3">
        <v>30.6</v>
      </c>
      <c r="G194" s="21">
        <v>545.5</v>
      </c>
      <c r="H194" s="3">
        <v>5.4450000000000003</v>
      </c>
      <c r="I194" s="13">
        <f t="shared" si="2"/>
        <v>3.2875816993464002</v>
      </c>
    </row>
    <row r="195" spans="2:9">
      <c r="C195" s="20">
        <v>2.089</v>
      </c>
      <c r="D195" s="21">
        <v>200.6</v>
      </c>
      <c r="E195" s="3">
        <v>102.5</v>
      </c>
      <c r="F195" s="3">
        <v>30.64</v>
      </c>
      <c r="G195" s="21">
        <v>543.9</v>
      </c>
      <c r="H195" s="3">
        <v>5.73</v>
      </c>
      <c r="I195" s="13">
        <f t="shared" ref="I195:I258" si="3">E195/F195</f>
        <v>3.3453002610966101</v>
      </c>
    </row>
    <row r="196" spans="2:9">
      <c r="C196" s="20">
        <v>2.0249999999999999</v>
      </c>
      <c r="D196" s="21">
        <v>172.1</v>
      </c>
      <c r="E196" s="3">
        <v>102.8</v>
      </c>
      <c r="F196" s="3">
        <v>30.59</v>
      </c>
      <c r="G196" s="21">
        <v>544.4</v>
      </c>
      <c r="H196" s="3">
        <v>6.3029999999999999</v>
      </c>
      <c r="I196" s="13">
        <f t="shared" si="3"/>
        <v>3.36057535142203</v>
      </c>
    </row>
    <row r="197" spans="2:9">
      <c r="C197" s="20">
        <v>2.073</v>
      </c>
      <c r="D197" s="21">
        <v>185.6</v>
      </c>
      <c r="E197" s="3">
        <v>102.6</v>
      </c>
      <c r="F197" s="3">
        <v>29.24</v>
      </c>
      <c r="G197" s="21">
        <v>546.29999999999995</v>
      </c>
      <c r="H197" s="3">
        <v>7.08</v>
      </c>
      <c r="I197" s="13">
        <f t="shared" si="3"/>
        <v>3.5088919288645699</v>
      </c>
    </row>
    <row r="198" spans="2:9">
      <c r="C198" s="20">
        <v>2.081</v>
      </c>
      <c r="D198" s="21">
        <v>193.2</v>
      </c>
      <c r="E198" s="3">
        <v>101.5</v>
      </c>
      <c r="F198" s="3">
        <v>31.37</v>
      </c>
      <c r="G198" s="21">
        <v>549.9</v>
      </c>
      <c r="H198" s="3">
        <v>7.3689999999999998</v>
      </c>
      <c r="I198" s="13">
        <f t="shared" si="3"/>
        <v>3.2355753905004798</v>
      </c>
    </row>
    <row r="199" spans="2:9">
      <c r="C199" s="20">
        <v>2.133</v>
      </c>
      <c r="D199" s="21">
        <v>195.7</v>
      </c>
      <c r="E199" s="3">
        <v>100.9</v>
      </c>
      <c r="F199" s="3">
        <v>29.98</v>
      </c>
      <c r="G199" s="21">
        <v>544.6</v>
      </c>
      <c r="H199" s="3">
        <v>7.8179999999999996</v>
      </c>
      <c r="I199" s="13">
        <f t="shared" si="3"/>
        <v>3.36557705136758</v>
      </c>
    </row>
    <row r="200" spans="2:9">
      <c r="C200" s="20">
        <v>2.1230000000000002</v>
      </c>
      <c r="D200" s="21">
        <v>199.7</v>
      </c>
      <c r="E200" s="3">
        <v>101.6</v>
      </c>
      <c r="F200" s="3">
        <v>29.52</v>
      </c>
      <c r="G200" s="21">
        <v>546.9</v>
      </c>
      <c r="H200" s="3">
        <v>7.218</v>
      </c>
      <c r="I200" s="13">
        <f t="shared" si="3"/>
        <v>3.4417344173441702</v>
      </c>
    </row>
    <row r="201" spans="2:9">
      <c r="C201" s="20">
        <v>2.14</v>
      </c>
      <c r="D201" s="21">
        <v>196</v>
      </c>
      <c r="E201" s="3">
        <v>102.5</v>
      </c>
      <c r="F201" s="3">
        <v>28.55</v>
      </c>
      <c r="G201" s="21">
        <v>545.29999999999995</v>
      </c>
      <c r="H201" s="3">
        <v>6.0860000000000003</v>
      </c>
      <c r="I201" s="13">
        <f t="shared" si="3"/>
        <v>3.5901926444833601</v>
      </c>
    </row>
    <row r="202" spans="2:9">
      <c r="B202" s="16">
        <v>11</v>
      </c>
      <c r="C202" s="17">
        <v>4.3019999999999996</v>
      </c>
      <c r="D202" s="29">
        <v>146.9</v>
      </c>
      <c r="E202" s="18">
        <v>115.5</v>
      </c>
      <c r="F202" s="18">
        <v>33.03</v>
      </c>
      <c r="G202" s="19">
        <v>812.6</v>
      </c>
      <c r="H202" s="18">
        <v>7.42</v>
      </c>
      <c r="I202" s="13">
        <f t="shared" si="3"/>
        <v>3.49682107175295</v>
      </c>
    </row>
    <row r="203" spans="2:9">
      <c r="C203" s="20">
        <v>4.3380000000000001</v>
      </c>
      <c r="D203" s="21">
        <v>123.3</v>
      </c>
      <c r="E203" s="3">
        <v>114.9</v>
      </c>
      <c r="F203" s="3">
        <v>32.29</v>
      </c>
      <c r="G203" s="21">
        <v>808.6</v>
      </c>
      <c r="H203" s="3">
        <v>8.6859999999999999</v>
      </c>
      <c r="I203" s="13">
        <f t="shared" si="3"/>
        <v>3.5583772065654999</v>
      </c>
    </row>
    <row r="204" spans="2:9">
      <c r="C204" s="20">
        <v>4.0010000000000003</v>
      </c>
      <c r="D204" s="21">
        <v>119.6</v>
      </c>
      <c r="E204" s="3">
        <v>114.3</v>
      </c>
      <c r="F204" s="3">
        <v>33.93</v>
      </c>
      <c r="G204" s="21">
        <v>811.6</v>
      </c>
      <c r="H204" s="3">
        <v>8.7460000000000004</v>
      </c>
      <c r="I204" s="13">
        <f t="shared" si="3"/>
        <v>3.3687002652519902</v>
      </c>
    </row>
    <row r="205" spans="2:9">
      <c r="C205" s="20">
        <v>4.4169999999999998</v>
      </c>
      <c r="D205" s="21">
        <v>108.6</v>
      </c>
      <c r="E205" s="3">
        <v>115.9</v>
      </c>
      <c r="F205" s="3">
        <v>33.25</v>
      </c>
      <c r="G205" s="21">
        <v>809</v>
      </c>
      <c r="H205" s="3">
        <v>8.5459999999999994</v>
      </c>
      <c r="I205" s="13">
        <f t="shared" si="3"/>
        <v>3.4857142857142902</v>
      </c>
    </row>
    <row r="206" spans="2:9">
      <c r="C206" s="20">
        <v>4.13</v>
      </c>
      <c r="D206" s="21">
        <v>121.9</v>
      </c>
      <c r="E206" s="3">
        <v>114.6</v>
      </c>
      <c r="F206" s="3">
        <v>33.729999999999997</v>
      </c>
      <c r="G206" s="21">
        <v>805.7</v>
      </c>
      <c r="H206" s="3">
        <v>8.4930000000000003</v>
      </c>
      <c r="I206" s="13">
        <f t="shared" si="3"/>
        <v>3.3975689297361402</v>
      </c>
    </row>
    <row r="207" spans="2:9">
      <c r="C207" s="20">
        <v>3.895</v>
      </c>
      <c r="D207" s="21">
        <v>105.3</v>
      </c>
      <c r="E207" s="3">
        <v>115.2</v>
      </c>
      <c r="F207" s="3">
        <v>32.9</v>
      </c>
      <c r="G207" s="21">
        <v>804.7</v>
      </c>
      <c r="H207" s="3">
        <v>7.96</v>
      </c>
      <c r="I207" s="13">
        <f t="shared" si="3"/>
        <v>3.5015197568389098</v>
      </c>
    </row>
    <row r="208" spans="2:9">
      <c r="C208" s="20">
        <v>3.9609999999999999</v>
      </c>
      <c r="D208" s="21">
        <v>120.2</v>
      </c>
      <c r="E208" s="3">
        <v>116.1</v>
      </c>
      <c r="F208" s="3">
        <v>33.049999999999997</v>
      </c>
      <c r="G208" s="21">
        <v>807.4</v>
      </c>
      <c r="H208" s="3">
        <v>8.2309999999999999</v>
      </c>
      <c r="I208" s="13">
        <f t="shared" si="3"/>
        <v>3.5128593040847198</v>
      </c>
    </row>
    <row r="209" spans="2:9">
      <c r="C209" s="20">
        <v>4.4560000000000004</v>
      </c>
      <c r="D209" s="21">
        <v>115.5</v>
      </c>
      <c r="E209" s="3">
        <v>114.2</v>
      </c>
      <c r="F209" s="3">
        <v>32.06</v>
      </c>
      <c r="G209" s="21">
        <v>802.1</v>
      </c>
      <c r="H209" s="3">
        <v>8.0489999999999995</v>
      </c>
      <c r="I209" s="13">
        <f t="shared" si="3"/>
        <v>3.56207111665627</v>
      </c>
    </row>
    <row r="210" spans="2:9">
      <c r="C210" s="20">
        <v>4.3019999999999996</v>
      </c>
      <c r="D210" s="21">
        <v>118.7</v>
      </c>
      <c r="E210" s="3">
        <v>114.8</v>
      </c>
      <c r="F210" s="3">
        <v>32.21</v>
      </c>
      <c r="G210" s="21">
        <v>806.3</v>
      </c>
      <c r="H210" s="3">
        <v>8.2750000000000004</v>
      </c>
      <c r="I210" s="13">
        <f t="shared" si="3"/>
        <v>3.5641105246817801</v>
      </c>
    </row>
    <row r="211" spans="2:9">
      <c r="C211" s="20">
        <v>4.5250000000000004</v>
      </c>
      <c r="D211" s="21">
        <v>113.2</v>
      </c>
      <c r="E211" s="3">
        <v>114.2</v>
      </c>
      <c r="F211" s="3">
        <v>33.68</v>
      </c>
      <c r="G211" s="21">
        <v>814.1</v>
      </c>
      <c r="H211" s="3">
        <v>8.7629999999999999</v>
      </c>
      <c r="I211" s="13">
        <f t="shared" si="3"/>
        <v>3.3907363420427599</v>
      </c>
    </row>
    <row r="212" spans="2:9">
      <c r="C212" s="20">
        <v>4.3179999999999996</v>
      </c>
      <c r="D212" s="21">
        <v>109.6</v>
      </c>
      <c r="E212" s="3">
        <v>114.7</v>
      </c>
      <c r="F212" s="3">
        <v>32.44</v>
      </c>
      <c r="G212" s="21">
        <v>817.6</v>
      </c>
      <c r="H212" s="3">
        <v>8.0109999999999992</v>
      </c>
      <c r="I212" s="13">
        <f t="shared" si="3"/>
        <v>3.5357583230579501</v>
      </c>
    </row>
    <row r="213" spans="2:9">
      <c r="C213" s="20">
        <v>4.548</v>
      </c>
      <c r="D213" s="21">
        <v>115.5</v>
      </c>
      <c r="E213" s="3">
        <v>115.6</v>
      </c>
      <c r="F213" s="3">
        <v>34.729999999999997</v>
      </c>
      <c r="G213" s="21">
        <v>809.8</v>
      </c>
      <c r="H213" s="3">
        <v>8.4329999999999998</v>
      </c>
      <c r="I213" s="13">
        <f t="shared" si="3"/>
        <v>3.3285344082925401</v>
      </c>
    </row>
    <row r="214" spans="2:9">
      <c r="C214" s="20">
        <v>4.4050000000000002</v>
      </c>
      <c r="D214" s="21">
        <v>119.6</v>
      </c>
      <c r="E214" s="3">
        <v>116.2</v>
      </c>
      <c r="F214" s="3">
        <v>33.82</v>
      </c>
      <c r="G214" s="21">
        <v>813</v>
      </c>
      <c r="H214" s="3">
        <v>8.9949999999999992</v>
      </c>
      <c r="I214" s="13">
        <f t="shared" si="3"/>
        <v>3.4358367829686598</v>
      </c>
    </row>
    <row r="215" spans="2:9">
      <c r="C215" s="20">
        <v>4.3019999999999996</v>
      </c>
      <c r="D215" s="21">
        <v>118.7</v>
      </c>
      <c r="E215" s="3">
        <v>114.3</v>
      </c>
      <c r="F215" s="3">
        <v>33.61</v>
      </c>
      <c r="G215" s="21">
        <v>814.3</v>
      </c>
      <c r="H215" s="3">
        <v>7.1619999999999999</v>
      </c>
      <c r="I215" s="13">
        <f t="shared" si="3"/>
        <v>3.4007735792918798</v>
      </c>
    </row>
    <row r="216" spans="2:9">
      <c r="C216" s="20">
        <v>4.2430000000000003</v>
      </c>
      <c r="D216" s="21">
        <v>108.8</v>
      </c>
      <c r="E216" s="3">
        <v>116.4</v>
      </c>
      <c r="F216" s="3">
        <v>33.950000000000003</v>
      </c>
      <c r="G216" s="21">
        <v>812.2</v>
      </c>
      <c r="H216" s="3">
        <v>7.4640000000000004</v>
      </c>
      <c r="I216" s="13">
        <f t="shared" si="3"/>
        <v>3.4285714285714302</v>
      </c>
    </row>
    <row r="217" spans="2:9">
      <c r="C217" s="20">
        <v>4.194</v>
      </c>
      <c r="D217" s="21">
        <v>116.1</v>
      </c>
      <c r="E217" s="3">
        <v>115.3</v>
      </c>
      <c r="F217" s="3">
        <v>33.65</v>
      </c>
      <c r="G217" s="21">
        <v>810</v>
      </c>
      <c r="H217" s="3">
        <v>7.4020000000000001</v>
      </c>
      <c r="I217" s="13">
        <f t="shared" si="3"/>
        <v>3.4264487369985099</v>
      </c>
    </row>
    <row r="218" spans="2:9">
      <c r="C218" s="20">
        <v>4.1680000000000001</v>
      </c>
      <c r="D218" s="21">
        <v>110.7</v>
      </c>
      <c r="E218" s="3">
        <v>116.4</v>
      </c>
      <c r="F218" s="3">
        <v>34.229999999999997</v>
      </c>
      <c r="G218" s="21">
        <v>809.4</v>
      </c>
      <c r="H218" s="3">
        <v>8.2750000000000004</v>
      </c>
      <c r="I218" s="13">
        <f t="shared" si="3"/>
        <v>3.4005258545135901</v>
      </c>
    </row>
    <row r="219" spans="2:9">
      <c r="C219" s="20">
        <v>4.0979999999999999</v>
      </c>
      <c r="D219" s="21">
        <v>122</v>
      </c>
      <c r="E219" s="3">
        <v>115.6</v>
      </c>
      <c r="F219" s="3">
        <v>35.71</v>
      </c>
      <c r="G219" s="21">
        <v>805.4</v>
      </c>
      <c r="H219" s="3">
        <v>8.8699999999999992</v>
      </c>
      <c r="I219" s="13">
        <f t="shared" si="3"/>
        <v>3.2371884626155101</v>
      </c>
    </row>
    <row r="220" spans="2:9">
      <c r="C220" s="20">
        <v>4.1070000000000002</v>
      </c>
      <c r="D220" s="21">
        <v>117.6</v>
      </c>
      <c r="E220" s="3">
        <v>115.3</v>
      </c>
      <c r="F220" s="3">
        <v>33.450000000000003</v>
      </c>
      <c r="G220" s="21">
        <v>802.4</v>
      </c>
      <c r="H220" s="3">
        <v>8.7810000000000006</v>
      </c>
      <c r="I220" s="13">
        <f t="shared" si="3"/>
        <v>3.4469357249626298</v>
      </c>
    </row>
    <row r="221" spans="2:9">
      <c r="C221" s="20">
        <v>4.2270000000000003</v>
      </c>
      <c r="D221" s="21">
        <v>105.1</v>
      </c>
      <c r="E221" s="3">
        <v>116.2</v>
      </c>
      <c r="F221" s="3">
        <v>34.58</v>
      </c>
      <c r="G221" s="21">
        <v>801.3</v>
      </c>
      <c r="H221" s="3">
        <v>8.7629999999999999</v>
      </c>
      <c r="I221" s="13">
        <f t="shared" si="3"/>
        <v>3.3603238866396801</v>
      </c>
    </row>
    <row r="222" spans="2:9">
      <c r="B222" s="16">
        <v>12</v>
      </c>
      <c r="C222" s="17">
        <v>3.323</v>
      </c>
      <c r="D222" s="29">
        <v>241.1</v>
      </c>
      <c r="E222" s="18">
        <v>106.1</v>
      </c>
      <c r="F222" s="18">
        <v>28.98</v>
      </c>
      <c r="G222" s="19">
        <v>568.20000000000005</v>
      </c>
      <c r="H222" s="18">
        <v>8.4510000000000005</v>
      </c>
      <c r="I222" s="13">
        <f t="shared" si="3"/>
        <v>3.6611456176673598</v>
      </c>
    </row>
    <row r="223" spans="2:9">
      <c r="C223" s="20">
        <v>3.2250000000000001</v>
      </c>
      <c r="D223" s="21">
        <v>222.4</v>
      </c>
      <c r="E223" s="3">
        <v>104.9</v>
      </c>
      <c r="F223" s="3">
        <v>28.46</v>
      </c>
      <c r="G223" s="21">
        <v>567.9</v>
      </c>
      <c r="H223" s="3">
        <v>8.0820000000000007</v>
      </c>
      <c r="I223" s="13">
        <f t="shared" si="3"/>
        <v>3.6858749121574101</v>
      </c>
    </row>
    <row r="224" spans="2:9">
      <c r="C224" s="20">
        <v>2.92</v>
      </c>
      <c r="D224" s="21">
        <v>252.1</v>
      </c>
      <c r="E224" s="3">
        <v>104.8</v>
      </c>
      <c r="F224" s="3">
        <v>28.02</v>
      </c>
      <c r="G224" s="21">
        <v>560.5</v>
      </c>
      <c r="H224" s="3">
        <v>7.9989999999999997</v>
      </c>
      <c r="I224" s="13">
        <f t="shared" si="3"/>
        <v>3.7401855817273399</v>
      </c>
    </row>
    <row r="225" spans="3:9">
      <c r="C225" s="20">
        <v>2.6680000000000001</v>
      </c>
      <c r="D225" s="21">
        <v>232.3</v>
      </c>
      <c r="E225" s="3">
        <v>104.7</v>
      </c>
      <c r="F225" s="3">
        <v>28.18</v>
      </c>
      <c r="G225" s="21">
        <v>562.5</v>
      </c>
      <c r="H225" s="3">
        <v>7.7830000000000004</v>
      </c>
      <c r="I225" s="13">
        <f t="shared" si="3"/>
        <v>3.7154009936124899</v>
      </c>
    </row>
    <row r="226" spans="3:9">
      <c r="C226" s="20">
        <v>3.2549999999999999</v>
      </c>
      <c r="D226" s="21">
        <v>272.5</v>
      </c>
      <c r="E226" s="3">
        <v>105.6</v>
      </c>
      <c r="F226" s="3">
        <v>28.45</v>
      </c>
      <c r="G226" s="21">
        <v>565.29999999999995</v>
      </c>
      <c r="H226" s="3">
        <v>7.9450000000000003</v>
      </c>
      <c r="I226" s="13">
        <f t="shared" si="3"/>
        <v>3.7117750439367301</v>
      </c>
    </row>
    <row r="227" spans="3:9">
      <c r="C227" s="20">
        <v>3.355</v>
      </c>
      <c r="D227" s="21">
        <v>233.1</v>
      </c>
      <c r="E227" s="3">
        <v>104.6</v>
      </c>
      <c r="F227" s="3">
        <v>28.37</v>
      </c>
      <c r="G227" s="21">
        <v>563.9</v>
      </c>
      <c r="H227" s="3">
        <v>8.0809999999999995</v>
      </c>
      <c r="I227" s="13">
        <f t="shared" si="3"/>
        <v>3.68699330278463</v>
      </c>
    </row>
    <row r="228" spans="3:9">
      <c r="C228" s="20">
        <v>3.145</v>
      </c>
      <c r="D228" s="21">
        <v>232.3</v>
      </c>
      <c r="E228" s="3">
        <v>104.9</v>
      </c>
      <c r="F228" s="3">
        <v>27.48</v>
      </c>
      <c r="G228" s="21">
        <v>568.79999999999995</v>
      </c>
      <c r="H228" s="3">
        <v>7.8879999999999999</v>
      </c>
      <c r="I228" s="13">
        <f t="shared" si="3"/>
        <v>3.8173216885007299</v>
      </c>
    </row>
    <row r="229" spans="3:9">
      <c r="C229" s="20">
        <v>3.4550000000000001</v>
      </c>
      <c r="D229" s="21">
        <v>216.8</v>
      </c>
      <c r="E229" s="3">
        <v>104.8</v>
      </c>
      <c r="F229" s="3">
        <v>27.43</v>
      </c>
      <c r="G229" s="21">
        <v>563.1</v>
      </c>
      <c r="H229" s="3">
        <v>7.9930000000000003</v>
      </c>
      <c r="I229" s="13">
        <f t="shared" si="3"/>
        <v>3.8206343419613602</v>
      </c>
    </row>
    <row r="230" spans="3:9">
      <c r="C230" s="20">
        <v>3.47</v>
      </c>
      <c r="D230" s="21">
        <v>223.5</v>
      </c>
      <c r="E230" s="3">
        <v>105.3</v>
      </c>
      <c r="F230" s="3">
        <v>27.64</v>
      </c>
      <c r="G230" s="21">
        <v>563.1</v>
      </c>
      <c r="H230" s="3">
        <v>7.6769999999999996</v>
      </c>
      <c r="I230" s="13">
        <f t="shared" si="3"/>
        <v>3.8096960926193901</v>
      </c>
    </row>
    <row r="231" spans="3:9">
      <c r="C231" s="20">
        <v>3.415</v>
      </c>
      <c r="D231" s="21">
        <v>224.1</v>
      </c>
      <c r="E231" s="3">
        <v>105.2</v>
      </c>
      <c r="F231" s="3">
        <v>28.21</v>
      </c>
      <c r="G231" s="21">
        <v>565.29999999999995</v>
      </c>
      <c r="H231" s="3">
        <v>7.2990000000000004</v>
      </c>
      <c r="I231" s="13">
        <f t="shared" si="3"/>
        <v>3.7291740517547001</v>
      </c>
    </row>
    <row r="232" spans="3:9">
      <c r="C232" s="20">
        <v>3.3559999999999999</v>
      </c>
      <c r="D232" s="21">
        <v>247</v>
      </c>
      <c r="E232" s="3">
        <v>106.7</v>
      </c>
      <c r="F232" s="3">
        <v>27.91</v>
      </c>
      <c r="G232" s="21">
        <v>568.20000000000005</v>
      </c>
      <c r="H232" s="3">
        <v>7.4240000000000004</v>
      </c>
      <c r="I232" s="13">
        <f t="shared" si="3"/>
        <v>3.8230025080616299</v>
      </c>
    </row>
    <row r="233" spans="3:9">
      <c r="C233" s="20">
        <v>3.323</v>
      </c>
      <c r="D233" s="21">
        <v>235.4</v>
      </c>
      <c r="E233" s="3">
        <v>105.3</v>
      </c>
      <c r="F233" s="3">
        <v>28.34</v>
      </c>
      <c r="G233" s="21">
        <v>560.5</v>
      </c>
      <c r="H233" s="3">
        <v>7.4420000000000002</v>
      </c>
      <c r="I233" s="13">
        <f t="shared" si="3"/>
        <v>3.71559633027523</v>
      </c>
    </row>
    <row r="234" spans="3:9">
      <c r="C234" s="20">
        <v>3.274</v>
      </c>
      <c r="D234" s="21">
        <v>264.39999999999998</v>
      </c>
      <c r="E234" s="3">
        <v>105.9</v>
      </c>
      <c r="F234" s="3">
        <v>28.12</v>
      </c>
      <c r="G234" s="21">
        <v>567.29999999999995</v>
      </c>
      <c r="H234" s="3">
        <v>7.4359999999999999</v>
      </c>
      <c r="I234" s="13">
        <f t="shared" si="3"/>
        <v>3.7660028449502101</v>
      </c>
    </row>
    <row r="235" spans="3:9">
      <c r="C235" s="20">
        <v>3.2549999999999999</v>
      </c>
      <c r="D235" s="21">
        <v>252.7</v>
      </c>
      <c r="E235" s="3">
        <v>106.4</v>
      </c>
      <c r="F235" s="3">
        <v>28.45</v>
      </c>
      <c r="G235" s="21">
        <v>567.29999999999995</v>
      </c>
      <c r="H235" s="3">
        <v>7.2220000000000004</v>
      </c>
      <c r="I235" s="13">
        <f t="shared" si="3"/>
        <v>3.7398945518453401</v>
      </c>
    </row>
    <row r="236" spans="3:9">
      <c r="C236" s="20">
        <v>3.2519999999999998</v>
      </c>
      <c r="D236" s="21">
        <v>232.3</v>
      </c>
      <c r="E236" s="3">
        <v>104.2</v>
      </c>
      <c r="F236" s="3">
        <v>28.18</v>
      </c>
      <c r="G236" s="21">
        <v>565.29999999999995</v>
      </c>
      <c r="H236" s="3">
        <v>7.4420000000000002</v>
      </c>
      <c r="I236" s="13">
        <f t="shared" si="3"/>
        <v>3.6976579134137699</v>
      </c>
    </row>
    <row r="237" spans="3:9">
      <c r="C237" s="20">
        <v>3.4169999999999998</v>
      </c>
      <c r="D237" s="21">
        <v>247</v>
      </c>
      <c r="E237" s="3">
        <v>106.3</v>
      </c>
      <c r="F237" s="3">
        <v>27.76</v>
      </c>
      <c r="G237" s="21">
        <v>563.1</v>
      </c>
      <c r="H237" s="3">
        <v>7.2930000000000001</v>
      </c>
      <c r="I237" s="13">
        <f t="shared" si="3"/>
        <v>3.8292507204610899</v>
      </c>
    </row>
    <row r="238" spans="3:9">
      <c r="C238" s="20">
        <v>3.1760000000000002</v>
      </c>
      <c r="D238" s="21">
        <v>215.3</v>
      </c>
      <c r="E238" s="3">
        <v>106.5</v>
      </c>
      <c r="F238" s="3">
        <v>27.45</v>
      </c>
      <c r="G238" s="21">
        <v>568.79999999999995</v>
      </c>
      <c r="H238" s="3">
        <v>7.2140000000000004</v>
      </c>
      <c r="I238" s="13">
        <f t="shared" si="3"/>
        <v>3.8797814207650299</v>
      </c>
    </row>
    <row r="239" spans="3:9">
      <c r="C239" s="20">
        <v>3.3969999999999998</v>
      </c>
      <c r="D239" s="21">
        <v>224.1</v>
      </c>
      <c r="E239" s="3">
        <v>105.8</v>
      </c>
      <c r="F239" s="3">
        <v>27.19</v>
      </c>
      <c r="G239" s="21">
        <v>563.9</v>
      </c>
      <c r="H239" s="3">
        <v>7.8879999999999999</v>
      </c>
      <c r="I239" s="13">
        <f t="shared" si="3"/>
        <v>3.8911364472232401</v>
      </c>
    </row>
    <row r="240" spans="3:9">
      <c r="C240" s="20">
        <v>3.1320000000000001</v>
      </c>
      <c r="D240" s="21">
        <v>252.7</v>
      </c>
      <c r="E240" s="3">
        <v>105.2</v>
      </c>
      <c r="F240" s="3">
        <v>27.87</v>
      </c>
      <c r="G240" s="21">
        <v>567</v>
      </c>
      <c r="H240" s="3">
        <v>7.7830000000000004</v>
      </c>
      <c r="I240" s="13">
        <f t="shared" si="3"/>
        <v>3.7746681019016899</v>
      </c>
    </row>
    <row r="241" spans="2:9">
      <c r="C241" s="20">
        <v>3.3180000000000001</v>
      </c>
      <c r="D241" s="21">
        <v>241.1</v>
      </c>
      <c r="E241" s="3">
        <v>106.8</v>
      </c>
      <c r="F241" s="3">
        <v>27.39</v>
      </c>
      <c r="G241" s="21">
        <v>560.5</v>
      </c>
      <c r="H241" s="3">
        <v>7.7030000000000003</v>
      </c>
      <c r="I241" s="13">
        <f t="shared" si="3"/>
        <v>3.89923329682366</v>
      </c>
    </row>
    <row r="242" spans="2:9">
      <c r="B242" s="16">
        <v>13</v>
      </c>
      <c r="C242" s="17">
        <v>3.04</v>
      </c>
      <c r="D242" s="29">
        <v>163.19999999999999</v>
      </c>
      <c r="E242" s="18">
        <v>80.84</v>
      </c>
      <c r="F242" s="18">
        <v>17.91</v>
      </c>
      <c r="G242" s="19">
        <v>576.4</v>
      </c>
      <c r="H242" s="18">
        <v>7.2190000000000003</v>
      </c>
      <c r="I242" s="13">
        <f t="shared" si="3"/>
        <v>4.5136795086543797</v>
      </c>
    </row>
    <row r="243" spans="2:9">
      <c r="C243" s="20">
        <v>2.8889999999999998</v>
      </c>
      <c r="D243" s="21">
        <v>177.6</v>
      </c>
      <c r="E243" s="3">
        <v>80.069999999999993</v>
      </c>
      <c r="F243" s="3">
        <v>18.14</v>
      </c>
      <c r="G243" s="21">
        <v>590.6</v>
      </c>
      <c r="H243" s="3">
        <v>6.2990000000000004</v>
      </c>
      <c r="I243" s="13">
        <f t="shared" si="3"/>
        <v>4.4140022050716601</v>
      </c>
    </row>
    <row r="244" spans="2:9">
      <c r="C244" s="20">
        <v>2.9329999999999998</v>
      </c>
      <c r="D244" s="21">
        <v>191.7</v>
      </c>
      <c r="E244" s="3">
        <v>79.63</v>
      </c>
      <c r="F244" s="3">
        <v>17.760000000000002</v>
      </c>
      <c r="G244" s="21">
        <v>597.5</v>
      </c>
      <c r="H244" s="3">
        <v>7.5590000000000002</v>
      </c>
      <c r="I244" s="13">
        <f t="shared" si="3"/>
        <v>4.4836711711711699</v>
      </c>
    </row>
    <row r="245" spans="2:9">
      <c r="C245" s="20">
        <v>2.68</v>
      </c>
      <c r="D245" s="21">
        <v>207.9</v>
      </c>
      <c r="E245" s="3">
        <v>79.709999999999994</v>
      </c>
      <c r="F245" s="3">
        <v>17.23</v>
      </c>
      <c r="G245" s="21">
        <v>569.6</v>
      </c>
      <c r="H245" s="3">
        <v>6.6260000000000003</v>
      </c>
      <c r="I245" s="13">
        <f t="shared" si="3"/>
        <v>4.62623331398723</v>
      </c>
    </row>
    <row r="246" spans="2:9">
      <c r="C246" s="20">
        <v>3.0019999999999998</v>
      </c>
      <c r="D246" s="21">
        <v>163</v>
      </c>
      <c r="E246" s="3">
        <v>80.23</v>
      </c>
      <c r="F246" s="3">
        <v>17.78</v>
      </c>
      <c r="G246" s="21">
        <v>573.5</v>
      </c>
      <c r="H246" s="3">
        <v>7.1139999999999999</v>
      </c>
      <c r="I246" s="13">
        <f t="shared" si="3"/>
        <v>4.5123734533183404</v>
      </c>
    </row>
    <row r="247" spans="2:9">
      <c r="C247" s="20">
        <v>2.7909999999999999</v>
      </c>
      <c r="D247" s="21">
        <v>174.9</v>
      </c>
      <c r="E247" s="3">
        <v>80.78</v>
      </c>
      <c r="F247" s="3">
        <v>17.649999999999999</v>
      </c>
      <c r="G247" s="21">
        <v>556.29999999999995</v>
      </c>
      <c r="H247" s="3">
        <v>6.4080000000000004</v>
      </c>
      <c r="I247" s="13">
        <f t="shared" si="3"/>
        <v>4.5767705382436299</v>
      </c>
    </row>
    <row r="248" spans="2:9">
      <c r="C248" s="20">
        <v>2.9369999999999998</v>
      </c>
      <c r="D248" s="21">
        <v>157</v>
      </c>
      <c r="E248" s="3">
        <v>80.650000000000006</v>
      </c>
      <c r="F248" s="3">
        <v>18.190000000000001</v>
      </c>
      <c r="G248" s="21">
        <v>553.70000000000005</v>
      </c>
      <c r="H248" s="3">
        <v>6.7729999999999997</v>
      </c>
      <c r="I248" s="13">
        <f t="shared" si="3"/>
        <v>4.4337548103353503</v>
      </c>
    </row>
    <row r="249" spans="2:9">
      <c r="C249" s="20">
        <v>2.9129999999999998</v>
      </c>
      <c r="D249" s="21">
        <v>195.9</v>
      </c>
      <c r="E249" s="3">
        <v>79.12</v>
      </c>
      <c r="F249" s="3">
        <v>18.23</v>
      </c>
      <c r="G249" s="21">
        <v>519.4</v>
      </c>
      <c r="H249" s="3">
        <v>6.6349999999999998</v>
      </c>
      <c r="I249" s="13">
        <f t="shared" si="3"/>
        <v>4.3400987383433902</v>
      </c>
    </row>
    <row r="250" spans="2:9">
      <c r="C250" s="20">
        <v>3.0870000000000002</v>
      </c>
      <c r="D250" s="21">
        <v>158.69999999999999</v>
      </c>
      <c r="E250" s="3">
        <v>79.34</v>
      </c>
      <c r="F250" s="3">
        <v>18.350000000000001</v>
      </c>
      <c r="G250" s="21">
        <v>530.5</v>
      </c>
      <c r="H250" s="3">
        <v>7.2190000000000003</v>
      </c>
      <c r="I250" s="13">
        <f t="shared" si="3"/>
        <v>4.3237057220708399</v>
      </c>
    </row>
    <row r="251" spans="2:9">
      <c r="C251" s="20">
        <v>2.621</v>
      </c>
      <c r="D251" s="21">
        <v>165.1</v>
      </c>
      <c r="E251" s="3">
        <v>79.849999999999994</v>
      </c>
      <c r="F251" s="3">
        <v>17.18</v>
      </c>
      <c r="G251" s="21">
        <v>529.6</v>
      </c>
      <c r="H251" s="3">
        <v>7.0060000000000002</v>
      </c>
      <c r="I251" s="13">
        <f t="shared" si="3"/>
        <v>4.6478463329452904</v>
      </c>
    </row>
    <row r="252" spans="2:9">
      <c r="C252" s="20">
        <v>2.74</v>
      </c>
      <c r="D252" s="21">
        <v>178</v>
      </c>
      <c r="E252" s="3">
        <v>79.510000000000005</v>
      </c>
      <c r="F252" s="3">
        <v>17.829999999999998</v>
      </c>
      <c r="G252" s="21">
        <v>502.6</v>
      </c>
      <c r="H252" s="3">
        <v>6.8140000000000001</v>
      </c>
      <c r="I252" s="13">
        <f t="shared" si="3"/>
        <v>4.4593381940549603</v>
      </c>
    </row>
    <row r="253" spans="2:9">
      <c r="C253" s="20">
        <v>2.7879999999999998</v>
      </c>
      <c r="D253" s="21">
        <v>163.19999999999999</v>
      </c>
      <c r="E253" s="3">
        <v>79.540000000000006</v>
      </c>
      <c r="F253" s="3">
        <v>17.559999999999999</v>
      </c>
      <c r="G253" s="21">
        <v>509.7</v>
      </c>
      <c r="H253" s="3">
        <v>6.6349999999999998</v>
      </c>
      <c r="I253" s="13">
        <f t="shared" si="3"/>
        <v>4.5296127562642399</v>
      </c>
    </row>
    <row r="254" spans="2:9">
      <c r="C254" s="20">
        <v>3.02</v>
      </c>
      <c r="D254" s="21">
        <v>179</v>
      </c>
      <c r="E254" s="3">
        <v>80.62</v>
      </c>
      <c r="F254" s="3">
        <v>18.97</v>
      </c>
      <c r="G254" s="21">
        <v>486.7</v>
      </c>
      <c r="H254" s="3">
        <v>7.5590000000000002</v>
      </c>
      <c r="I254" s="13">
        <f t="shared" si="3"/>
        <v>4.24986821296784</v>
      </c>
    </row>
    <row r="255" spans="2:9">
      <c r="C255" s="20">
        <v>3.113</v>
      </c>
      <c r="D255" s="21">
        <v>182.2</v>
      </c>
      <c r="E255" s="3">
        <v>80.150000000000006</v>
      </c>
      <c r="F255" s="3">
        <v>18.260000000000002</v>
      </c>
      <c r="G255" s="21">
        <v>513.5</v>
      </c>
      <c r="H255" s="3">
        <v>7.7569999999999997</v>
      </c>
      <c r="I255" s="13">
        <f t="shared" si="3"/>
        <v>4.38937568455641</v>
      </c>
    </row>
    <row r="256" spans="2:9">
      <c r="C256" s="20">
        <v>2.9329999999999998</v>
      </c>
      <c r="D256" s="21">
        <v>165.1</v>
      </c>
      <c r="E256" s="3">
        <v>80.27</v>
      </c>
      <c r="F256" s="3">
        <v>18.32</v>
      </c>
      <c r="G256" s="21">
        <v>517</v>
      </c>
      <c r="H256" s="3">
        <v>6.2169999999999996</v>
      </c>
      <c r="I256" s="13">
        <f t="shared" si="3"/>
        <v>4.3815502183406103</v>
      </c>
    </row>
    <row r="257" spans="2:9">
      <c r="C257" s="20">
        <v>2.9369999999999998</v>
      </c>
      <c r="D257" s="21">
        <v>207.5</v>
      </c>
      <c r="E257" s="3">
        <v>79.36</v>
      </c>
      <c r="F257" s="3">
        <v>18.39</v>
      </c>
      <c r="G257" s="21">
        <v>519.4</v>
      </c>
      <c r="H257" s="3">
        <v>6.1740000000000004</v>
      </c>
      <c r="I257" s="13">
        <f t="shared" si="3"/>
        <v>4.3153887982599199</v>
      </c>
    </row>
    <row r="258" spans="2:9">
      <c r="C258" s="20">
        <v>2.6789999999999998</v>
      </c>
      <c r="D258" s="21">
        <v>191.3</v>
      </c>
      <c r="E258" s="3">
        <v>80.569999999999993</v>
      </c>
      <c r="F258" s="3">
        <v>17.87</v>
      </c>
      <c r="G258" s="21">
        <v>522</v>
      </c>
      <c r="H258" s="3">
        <v>6.44</v>
      </c>
      <c r="I258" s="13">
        <f t="shared" si="3"/>
        <v>4.5086737548964697</v>
      </c>
    </row>
    <row r="259" spans="2:9">
      <c r="C259" s="20">
        <v>2.7549999999999999</v>
      </c>
      <c r="D259" s="21">
        <v>174.5</v>
      </c>
      <c r="E259" s="3">
        <v>79.290000000000006</v>
      </c>
      <c r="F259" s="3">
        <v>17.36</v>
      </c>
      <c r="G259" s="21">
        <v>468</v>
      </c>
      <c r="H259" s="3">
        <v>6.5410000000000004</v>
      </c>
      <c r="I259" s="13">
        <f t="shared" ref="I259:I322" si="4">E259/F259</f>
        <v>4.5673963133640596</v>
      </c>
    </row>
    <row r="260" spans="2:9">
      <c r="C260" s="20">
        <v>2.68</v>
      </c>
      <c r="D260" s="21">
        <v>165.1</v>
      </c>
      <c r="E260" s="3">
        <v>79.12</v>
      </c>
      <c r="F260" s="3">
        <v>17.66</v>
      </c>
      <c r="G260" s="21">
        <v>519.4</v>
      </c>
      <c r="H260" s="3">
        <v>7.9690000000000003</v>
      </c>
      <c r="I260" s="13">
        <f t="shared" si="4"/>
        <v>4.4801812004529999</v>
      </c>
    </row>
    <row r="261" spans="2:9">
      <c r="C261" s="20">
        <v>2.9329999999999998</v>
      </c>
      <c r="D261" s="21">
        <v>157</v>
      </c>
      <c r="E261" s="3">
        <v>80.489999999999995</v>
      </c>
      <c r="F261" s="3">
        <v>18.47</v>
      </c>
      <c r="G261" s="21">
        <v>513.5</v>
      </c>
      <c r="H261" s="3">
        <v>6.8140000000000001</v>
      </c>
      <c r="I261" s="13">
        <f t="shared" si="4"/>
        <v>4.3578776394152703</v>
      </c>
    </row>
    <row r="262" spans="2:9">
      <c r="B262" s="16">
        <v>14</v>
      </c>
      <c r="C262" s="17">
        <v>2.0939999999999999</v>
      </c>
      <c r="D262" s="29">
        <v>121.6</v>
      </c>
      <c r="E262" s="18">
        <v>89.47</v>
      </c>
      <c r="F262" s="18">
        <v>25.5</v>
      </c>
      <c r="G262" s="19">
        <v>544.79999999999995</v>
      </c>
      <c r="H262" s="18">
        <v>8.5960000000000001</v>
      </c>
      <c r="I262" s="13">
        <f t="shared" si="4"/>
        <v>3.5086274509803901</v>
      </c>
    </row>
    <row r="263" spans="2:9">
      <c r="C263" s="20">
        <v>1.9610000000000001</v>
      </c>
      <c r="D263" s="21">
        <v>112.6</v>
      </c>
      <c r="E263" s="3">
        <v>88.65</v>
      </c>
      <c r="F263" s="3">
        <v>26.27</v>
      </c>
      <c r="G263" s="21">
        <v>549.20000000000005</v>
      </c>
      <c r="H263" s="3">
        <v>9.4860000000000007</v>
      </c>
      <c r="I263" s="13">
        <f t="shared" si="4"/>
        <v>3.3745717548534402</v>
      </c>
    </row>
    <row r="264" spans="2:9">
      <c r="C264" s="20">
        <v>2.4060000000000001</v>
      </c>
      <c r="D264" s="21">
        <v>104.6</v>
      </c>
      <c r="E264" s="3">
        <v>90.65</v>
      </c>
      <c r="F264" s="3">
        <v>26.05</v>
      </c>
      <c r="G264" s="21">
        <v>551.20000000000005</v>
      </c>
      <c r="H264" s="3">
        <v>9.125</v>
      </c>
      <c r="I264" s="13">
        <f t="shared" si="4"/>
        <v>3.4798464491362799</v>
      </c>
    </row>
    <row r="265" spans="2:9">
      <c r="C265" s="20">
        <v>2.4380000000000002</v>
      </c>
      <c r="D265" s="21">
        <v>105</v>
      </c>
      <c r="E265" s="3">
        <v>89.46</v>
      </c>
      <c r="F265" s="3">
        <v>26.94</v>
      </c>
      <c r="G265" s="21">
        <v>548.9</v>
      </c>
      <c r="H265" s="3">
        <v>8.5969999999999995</v>
      </c>
      <c r="I265" s="13">
        <f t="shared" si="4"/>
        <v>3.3207126948775101</v>
      </c>
    </row>
    <row r="266" spans="2:9">
      <c r="C266" s="20">
        <v>2.5030000000000001</v>
      </c>
      <c r="D266" s="21">
        <v>111.4</v>
      </c>
      <c r="E266" s="3">
        <v>89.23</v>
      </c>
      <c r="F266" s="3">
        <v>25.98</v>
      </c>
      <c r="G266" s="21">
        <v>547.1</v>
      </c>
      <c r="H266" s="3">
        <v>9.67</v>
      </c>
      <c r="I266" s="13">
        <f t="shared" si="4"/>
        <v>3.4345650500384899</v>
      </c>
    </row>
    <row r="267" spans="2:9">
      <c r="C267" s="20">
        <v>2.3820000000000001</v>
      </c>
      <c r="D267" s="21">
        <v>124.4</v>
      </c>
      <c r="E267" s="3">
        <v>89.35</v>
      </c>
      <c r="F267" s="3">
        <v>26.69</v>
      </c>
      <c r="G267" s="21">
        <v>545.4</v>
      </c>
      <c r="H267" s="3">
        <v>9.5380000000000003</v>
      </c>
      <c r="I267" s="13">
        <f t="shared" si="4"/>
        <v>3.3476957662045699</v>
      </c>
    </row>
    <row r="268" spans="2:9">
      <c r="C268" s="20">
        <v>2.46</v>
      </c>
      <c r="D268" s="21">
        <v>103.6</v>
      </c>
      <c r="E268" s="3">
        <v>88.36</v>
      </c>
      <c r="F268" s="3">
        <v>26.61</v>
      </c>
      <c r="G268" s="21">
        <v>545</v>
      </c>
      <c r="H268" s="3">
        <v>9.1969999999999992</v>
      </c>
      <c r="I268" s="13">
        <f t="shared" si="4"/>
        <v>3.3205561818865101</v>
      </c>
    </row>
    <row r="269" spans="2:9">
      <c r="C269" s="20">
        <v>4.4290000000000003</v>
      </c>
      <c r="D269" s="21">
        <v>112.8</v>
      </c>
      <c r="E269" s="3">
        <v>88.94</v>
      </c>
      <c r="F269" s="3">
        <v>25.94</v>
      </c>
      <c r="G269" s="21">
        <v>546.79999999999995</v>
      </c>
      <c r="H269" s="3">
        <v>9.5380000000000003</v>
      </c>
      <c r="I269" s="13">
        <f t="shared" si="4"/>
        <v>3.4286815728604498</v>
      </c>
    </row>
    <row r="270" spans="2:9">
      <c r="C270" s="20">
        <v>2.3849999999999998</v>
      </c>
      <c r="D270" s="21">
        <v>105</v>
      </c>
      <c r="E270" s="3">
        <v>88.35</v>
      </c>
      <c r="F270" s="3">
        <v>26.76</v>
      </c>
      <c r="G270" s="21">
        <v>544.1</v>
      </c>
      <c r="H270" s="3">
        <v>9.125</v>
      </c>
      <c r="I270" s="13">
        <f t="shared" si="4"/>
        <v>3.3015695067264601</v>
      </c>
    </row>
    <row r="271" spans="2:9">
      <c r="C271" s="20">
        <v>2.2719999999999998</v>
      </c>
      <c r="D271" s="21">
        <v>107.1</v>
      </c>
      <c r="E271" s="3">
        <v>88.91</v>
      </c>
      <c r="F271" s="3">
        <v>25.51</v>
      </c>
      <c r="G271" s="21">
        <v>552.5</v>
      </c>
      <c r="H271" s="3">
        <v>9.3309999999999995</v>
      </c>
      <c r="I271" s="13">
        <f t="shared" si="4"/>
        <v>3.48529988239906</v>
      </c>
    </row>
    <row r="272" spans="2:9">
      <c r="C272" s="20">
        <v>2.34</v>
      </c>
      <c r="D272" s="21">
        <v>112.8</v>
      </c>
      <c r="E272" s="3">
        <v>90.57</v>
      </c>
      <c r="F272" s="3">
        <v>27.4</v>
      </c>
      <c r="G272" s="21">
        <v>551.20000000000005</v>
      </c>
      <c r="H272" s="3">
        <v>8.8989999999999991</v>
      </c>
      <c r="I272" s="13">
        <f t="shared" si="4"/>
        <v>3.3054744525547402</v>
      </c>
    </row>
    <row r="273" spans="2:9">
      <c r="C273" s="20">
        <v>2.1139999999999999</v>
      </c>
      <c r="D273" s="21">
        <v>121.6</v>
      </c>
      <c r="E273" s="3">
        <v>90.46</v>
      </c>
      <c r="F273" s="3">
        <v>25.91</v>
      </c>
      <c r="G273" s="21">
        <v>545.1</v>
      </c>
      <c r="H273" s="3">
        <v>8.2940000000000005</v>
      </c>
      <c r="I273" s="13">
        <f t="shared" si="4"/>
        <v>3.49131609417213</v>
      </c>
    </row>
    <row r="274" spans="2:9">
      <c r="C274" s="20">
        <v>2.0379999999999998</v>
      </c>
      <c r="D274" s="21">
        <v>120.8</v>
      </c>
      <c r="E274" s="3">
        <v>89.67</v>
      </c>
      <c r="F274" s="3">
        <v>26.91</v>
      </c>
      <c r="G274" s="21">
        <v>545.6</v>
      </c>
      <c r="H274" s="3">
        <v>9.4860000000000007</v>
      </c>
      <c r="I274" s="13">
        <f t="shared" si="4"/>
        <v>3.3322185061315501</v>
      </c>
    </row>
    <row r="275" spans="2:9">
      <c r="C275" s="20">
        <v>2.06</v>
      </c>
      <c r="D275" s="21">
        <v>124.6</v>
      </c>
      <c r="E275" s="3">
        <v>90.42</v>
      </c>
      <c r="F275" s="3">
        <v>25.12</v>
      </c>
      <c r="G275" s="21">
        <v>545.79999999999995</v>
      </c>
      <c r="H275" s="3">
        <v>8.5310000000000006</v>
      </c>
      <c r="I275" s="13">
        <f t="shared" si="4"/>
        <v>3.5995222929936301</v>
      </c>
    </row>
    <row r="276" spans="2:9">
      <c r="C276" s="20">
        <v>1.853</v>
      </c>
      <c r="D276" s="21">
        <v>117.6</v>
      </c>
      <c r="E276" s="3">
        <v>88.89</v>
      </c>
      <c r="F276" s="3">
        <v>25.73</v>
      </c>
      <c r="G276" s="21">
        <v>560.79999999999995</v>
      </c>
      <c r="H276" s="3">
        <v>9.07</v>
      </c>
      <c r="I276" s="13">
        <f t="shared" si="4"/>
        <v>3.4547221142635101</v>
      </c>
    </row>
    <row r="277" spans="2:9">
      <c r="C277" s="20">
        <v>2.4289999999999998</v>
      </c>
      <c r="D277" s="21">
        <v>120.8</v>
      </c>
      <c r="E277" s="3">
        <v>90.87</v>
      </c>
      <c r="F277" s="3">
        <v>26.87</v>
      </c>
      <c r="G277" s="21">
        <v>549.4</v>
      </c>
      <c r="H277" s="3">
        <v>8.0570000000000004</v>
      </c>
      <c r="I277" s="13">
        <f t="shared" si="4"/>
        <v>3.3818384815779701</v>
      </c>
    </row>
    <row r="278" spans="2:9">
      <c r="C278" s="20">
        <v>2.2160000000000002</v>
      </c>
      <c r="D278" s="21">
        <v>124.4</v>
      </c>
      <c r="E278" s="3">
        <v>88.68</v>
      </c>
      <c r="F278" s="3">
        <v>26.98</v>
      </c>
      <c r="G278" s="21">
        <v>545.5</v>
      </c>
      <c r="H278" s="3">
        <v>8.4580000000000002</v>
      </c>
      <c r="I278" s="13">
        <f t="shared" si="4"/>
        <v>3.2868791697553701</v>
      </c>
    </row>
    <row r="279" spans="2:9">
      <c r="C279" s="20">
        <v>2.3849999999999998</v>
      </c>
      <c r="D279" s="21">
        <v>135.19999999999999</v>
      </c>
      <c r="E279" s="3">
        <v>90.67</v>
      </c>
      <c r="F279" s="3">
        <v>25.12</v>
      </c>
      <c r="G279" s="21">
        <v>548.20000000000005</v>
      </c>
      <c r="H279" s="3">
        <v>8.5310000000000006</v>
      </c>
      <c r="I279" s="13">
        <f t="shared" si="4"/>
        <v>3.6094745222929898</v>
      </c>
    </row>
    <row r="280" spans="2:9">
      <c r="C280" s="20">
        <v>2.2530000000000001</v>
      </c>
      <c r="D280" s="21">
        <v>123.1</v>
      </c>
      <c r="E280" s="3">
        <v>90.65</v>
      </c>
      <c r="F280" s="3">
        <v>27.45</v>
      </c>
      <c r="G280" s="21">
        <v>546.70000000000005</v>
      </c>
      <c r="H280" s="3">
        <v>8.2940000000000005</v>
      </c>
      <c r="I280" s="13">
        <f t="shared" si="4"/>
        <v>3.3023679417122001</v>
      </c>
    </row>
    <row r="281" spans="2:9">
      <c r="C281" s="20">
        <v>2.3849999999999998</v>
      </c>
      <c r="D281" s="21">
        <v>107.1</v>
      </c>
      <c r="E281" s="3">
        <v>89.57</v>
      </c>
      <c r="F281" s="3">
        <v>27.19</v>
      </c>
      <c r="G281" s="21">
        <v>544.79999999999995</v>
      </c>
      <c r="H281" s="3">
        <v>9.5380000000000003</v>
      </c>
      <c r="I281" s="13">
        <f t="shared" si="4"/>
        <v>3.2942258183155602</v>
      </c>
    </row>
    <row r="282" spans="2:9">
      <c r="B282" s="16">
        <v>15</v>
      </c>
      <c r="C282" s="17">
        <v>2.41</v>
      </c>
      <c r="D282" s="29">
        <v>121</v>
      </c>
      <c r="E282" s="18">
        <v>93.44</v>
      </c>
      <c r="F282" s="18">
        <v>25.22</v>
      </c>
      <c r="G282" s="19">
        <v>506.9</v>
      </c>
      <c r="H282" s="18">
        <v>8.9369999999999994</v>
      </c>
      <c r="I282" s="13">
        <f t="shared" si="4"/>
        <v>3.70499603489294</v>
      </c>
    </row>
    <row r="283" spans="2:9">
      <c r="C283" s="20">
        <v>2.3959999999999999</v>
      </c>
      <c r="D283" s="21">
        <v>116.8</v>
      </c>
      <c r="E283" s="3">
        <v>92.93</v>
      </c>
      <c r="F283" s="3">
        <v>25.45</v>
      </c>
      <c r="G283" s="21">
        <v>503.2</v>
      </c>
      <c r="H283" s="3">
        <v>8.1509999999999998</v>
      </c>
      <c r="I283" s="13">
        <f t="shared" si="4"/>
        <v>3.6514734774066802</v>
      </c>
    </row>
    <row r="284" spans="2:9">
      <c r="C284" s="20">
        <v>2.351</v>
      </c>
      <c r="D284" s="21">
        <v>112.9</v>
      </c>
      <c r="E284" s="3">
        <v>92.89</v>
      </c>
      <c r="F284" s="3">
        <v>24.3</v>
      </c>
      <c r="G284" s="21">
        <v>508.6</v>
      </c>
      <c r="H284" s="3">
        <v>8.8390000000000004</v>
      </c>
      <c r="I284" s="13">
        <f t="shared" si="4"/>
        <v>3.82263374485597</v>
      </c>
    </row>
    <row r="285" spans="2:9">
      <c r="C285" s="20">
        <v>2.3959999999999999</v>
      </c>
      <c r="D285" s="21">
        <v>111.1</v>
      </c>
      <c r="E285" s="3">
        <v>92.18</v>
      </c>
      <c r="F285" s="3">
        <v>24.14</v>
      </c>
      <c r="G285" s="21">
        <v>503.9</v>
      </c>
      <c r="H285" s="3">
        <v>8.7319999999999993</v>
      </c>
      <c r="I285" s="13">
        <f t="shared" si="4"/>
        <v>3.8185584092792002</v>
      </c>
    </row>
    <row r="286" spans="2:9">
      <c r="C286" s="20">
        <v>2.387</v>
      </c>
      <c r="D286" s="21">
        <v>95.26</v>
      </c>
      <c r="E286" s="3">
        <v>92.34</v>
      </c>
      <c r="F286" s="3">
        <v>24.76</v>
      </c>
      <c r="G286" s="21">
        <v>500.9</v>
      </c>
      <c r="H286" s="3">
        <v>9.141</v>
      </c>
      <c r="I286" s="13">
        <f t="shared" si="4"/>
        <v>3.72940226171244</v>
      </c>
    </row>
    <row r="287" spans="2:9">
      <c r="C287" s="20">
        <v>2.3730000000000002</v>
      </c>
      <c r="D287" s="21">
        <v>106.3</v>
      </c>
      <c r="E287" s="3">
        <v>93.28</v>
      </c>
      <c r="F287" s="3">
        <v>23.26</v>
      </c>
      <c r="G287" s="21">
        <v>505.6</v>
      </c>
      <c r="H287" s="3">
        <v>9.52</v>
      </c>
      <c r="I287" s="13">
        <f t="shared" si="4"/>
        <v>4.0103181427343104</v>
      </c>
    </row>
    <row r="288" spans="2:9">
      <c r="C288" s="20">
        <v>2.294</v>
      </c>
      <c r="D288" s="21">
        <v>94.75</v>
      </c>
      <c r="E288" s="3">
        <v>93.1</v>
      </c>
      <c r="F288" s="3">
        <v>23.47</v>
      </c>
      <c r="G288" s="21">
        <v>504.9</v>
      </c>
      <c r="H288" s="3">
        <v>9.36</v>
      </c>
      <c r="I288" s="13">
        <f t="shared" si="4"/>
        <v>3.9667660843630199</v>
      </c>
    </row>
    <row r="289" spans="2:9">
      <c r="C289" s="20">
        <v>2.2349999999999999</v>
      </c>
      <c r="D289" s="21">
        <v>112.2</v>
      </c>
      <c r="E289" s="3">
        <v>93.45</v>
      </c>
      <c r="F289" s="3">
        <v>23.87</v>
      </c>
      <c r="G289" s="21">
        <v>504.8</v>
      </c>
      <c r="H289" s="3">
        <v>8.84</v>
      </c>
      <c r="I289" s="13">
        <f t="shared" si="4"/>
        <v>3.9149560117302098</v>
      </c>
    </row>
    <row r="290" spans="2:9">
      <c r="C290" s="20">
        <v>2.3570000000000002</v>
      </c>
      <c r="D290" s="21">
        <v>113.5</v>
      </c>
      <c r="E290" s="3">
        <v>92.94</v>
      </c>
      <c r="F290" s="3">
        <v>24.74</v>
      </c>
      <c r="G290" s="21">
        <v>507.1</v>
      </c>
      <c r="H290" s="3">
        <v>8.7170000000000005</v>
      </c>
      <c r="I290" s="13">
        <f t="shared" si="4"/>
        <v>3.7566693613581199</v>
      </c>
    </row>
    <row r="291" spans="2:9">
      <c r="C291" s="20">
        <v>2.3969999999999998</v>
      </c>
      <c r="D291" s="21">
        <v>99.08</v>
      </c>
      <c r="E291" s="3">
        <v>92.49</v>
      </c>
      <c r="F291" s="3">
        <v>24.45</v>
      </c>
      <c r="G291" s="21">
        <v>508.3</v>
      </c>
      <c r="H291" s="3">
        <v>9.9890000000000008</v>
      </c>
      <c r="I291" s="13">
        <f t="shared" si="4"/>
        <v>3.78282208588957</v>
      </c>
    </row>
    <row r="292" spans="2:9">
      <c r="C292" s="20">
        <v>2.242</v>
      </c>
      <c r="D292" s="21">
        <v>117.5</v>
      </c>
      <c r="E292" s="3">
        <v>92.18</v>
      </c>
      <c r="F292" s="3">
        <v>24.76</v>
      </c>
      <c r="G292" s="21">
        <v>503.4</v>
      </c>
      <c r="H292" s="3">
        <v>9.9870000000000001</v>
      </c>
      <c r="I292" s="13">
        <f t="shared" si="4"/>
        <v>3.7229402261712399</v>
      </c>
    </row>
    <row r="293" spans="2:9">
      <c r="C293" s="20">
        <v>2.3660000000000001</v>
      </c>
      <c r="D293" s="21">
        <v>103</v>
      </c>
      <c r="E293" s="3">
        <v>92.49</v>
      </c>
      <c r="F293" s="3">
        <v>25.78</v>
      </c>
      <c r="G293" s="21">
        <v>506.2</v>
      </c>
      <c r="H293" s="3">
        <v>9.9960000000000004</v>
      </c>
      <c r="I293" s="13">
        <f t="shared" si="4"/>
        <v>3.5876648564778901</v>
      </c>
    </row>
    <row r="294" spans="2:9">
      <c r="C294" s="20">
        <v>2.1579999999999999</v>
      </c>
      <c r="D294" s="21">
        <v>106.3</v>
      </c>
      <c r="E294" s="3">
        <v>93.92</v>
      </c>
      <c r="F294" s="3">
        <v>24.17</v>
      </c>
      <c r="G294" s="21">
        <v>506.7</v>
      </c>
      <c r="H294" s="3">
        <v>9.5030000000000001</v>
      </c>
      <c r="I294" s="13">
        <f t="shared" si="4"/>
        <v>3.8858088539511799</v>
      </c>
    </row>
    <row r="295" spans="2:9">
      <c r="C295" s="20">
        <v>2.2559999999999998</v>
      </c>
      <c r="D295" s="21">
        <v>88.06</v>
      </c>
      <c r="E295" s="3">
        <v>93.18</v>
      </c>
      <c r="F295" s="3">
        <v>24.13</v>
      </c>
      <c r="G295" s="21">
        <v>504.3</v>
      </c>
      <c r="H295" s="3">
        <v>8.5259999999999998</v>
      </c>
      <c r="I295" s="13">
        <f t="shared" si="4"/>
        <v>3.86158309158724</v>
      </c>
    </row>
    <row r="296" spans="2:9">
      <c r="C296" s="20">
        <v>2.3069999999999999</v>
      </c>
      <c r="D296" s="21">
        <v>116.6</v>
      </c>
      <c r="E296" s="3">
        <v>93.74</v>
      </c>
      <c r="F296" s="3">
        <v>24.14</v>
      </c>
      <c r="G296" s="21">
        <v>503.2</v>
      </c>
      <c r="H296" s="3">
        <v>9.8770000000000007</v>
      </c>
      <c r="I296" s="13">
        <f t="shared" si="4"/>
        <v>3.88318144159072</v>
      </c>
    </row>
    <row r="297" spans="2:9">
      <c r="C297" s="20">
        <v>2.3690000000000002</v>
      </c>
      <c r="D297" s="21">
        <v>103</v>
      </c>
      <c r="E297" s="3">
        <v>92.38</v>
      </c>
      <c r="F297" s="3">
        <v>24.87</v>
      </c>
      <c r="G297" s="21">
        <v>508.5</v>
      </c>
      <c r="H297" s="3">
        <v>8.5259999999999998</v>
      </c>
      <c r="I297" s="13">
        <f t="shared" si="4"/>
        <v>3.7145154804985898</v>
      </c>
    </row>
    <row r="298" spans="2:9">
      <c r="C298" s="20">
        <v>2.3140000000000001</v>
      </c>
      <c r="D298" s="21">
        <v>121</v>
      </c>
      <c r="E298" s="3">
        <v>93.28</v>
      </c>
      <c r="F298" s="3">
        <v>23.46</v>
      </c>
      <c r="G298" s="21">
        <v>508.3</v>
      </c>
      <c r="H298" s="3">
        <v>8.9550000000000001</v>
      </c>
      <c r="I298" s="13">
        <f t="shared" si="4"/>
        <v>3.9761295822676899</v>
      </c>
    </row>
    <row r="299" spans="2:9">
      <c r="C299" s="20">
        <v>2.2069999999999999</v>
      </c>
      <c r="D299" s="21">
        <v>112.2</v>
      </c>
      <c r="E299" s="3">
        <v>93.67</v>
      </c>
      <c r="F299" s="3">
        <v>24.76</v>
      </c>
      <c r="G299" s="21">
        <v>512</v>
      </c>
      <c r="H299" s="3">
        <v>8.2439999999999998</v>
      </c>
      <c r="I299" s="13">
        <f t="shared" si="4"/>
        <v>3.7831179321486301</v>
      </c>
    </row>
    <row r="300" spans="2:9">
      <c r="C300" s="20">
        <v>2.1320000000000001</v>
      </c>
      <c r="D300" s="21">
        <v>106.3</v>
      </c>
      <c r="E300" s="3">
        <v>92.91</v>
      </c>
      <c r="F300" s="3">
        <v>24.38</v>
      </c>
      <c r="G300" s="21">
        <v>507.7</v>
      </c>
      <c r="H300" s="3">
        <v>9.6029999999999998</v>
      </c>
      <c r="I300" s="13">
        <f t="shared" si="4"/>
        <v>3.8109105824446301</v>
      </c>
    </row>
    <row r="301" spans="2:9">
      <c r="C301" s="20">
        <v>2.3140000000000001</v>
      </c>
      <c r="D301" s="21">
        <v>94.8</v>
      </c>
      <c r="E301" s="3">
        <v>92.18</v>
      </c>
      <c r="F301" s="3">
        <v>25.22</v>
      </c>
      <c r="G301" s="21">
        <v>510.8</v>
      </c>
      <c r="H301" s="3">
        <v>9.9239999999999995</v>
      </c>
      <c r="I301" s="13">
        <f t="shared" si="4"/>
        <v>3.65503568596352</v>
      </c>
    </row>
    <row r="302" spans="2:9">
      <c r="B302" s="16">
        <v>16</v>
      </c>
      <c r="C302" s="17">
        <v>1.8540000000000001</v>
      </c>
      <c r="D302" s="29">
        <v>188.5</v>
      </c>
      <c r="E302" s="18">
        <v>76.62</v>
      </c>
      <c r="F302" s="18">
        <v>24.96</v>
      </c>
      <c r="G302" s="19">
        <v>664.3</v>
      </c>
      <c r="H302" s="18">
        <v>17.989999999999998</v>
      </c>
      <c r="I302" s="13">
        <f t="shared" si="4"/>
        <v>3.0697115384615401</v>
      </c>
    </row>
    <row r="303" spans="2:9">
      <c r="C303" s="20">
        <v>1.7969999999999999</v>
      </c>
      <c r="D303" s="21">
        <v>268.10000000000002</v>
      </c>
      <c r="E303" s="3">
        <v>75.19</v>
      </c>
      <c r="F303" s="3">
        <v>24.58</v>
      </c>
      <c r="G303" s="21">
        <v>659.3</v>
      </c>
      <c r="H303" s="3">
        <v>17.670000000000002</v>
      </c>
      <c r="I303" s="13">
        <f t="shared" si="4"/>
        <v>3.0589910496338502</v>
      </c>
    </row>
    <row r="304" spans="2:9">
      <c r="C304" s="20">
        <v>1.829</v>
      </c>
      <c r="D304" s="21">
        <v>253</v>
      </c>
      <c r="E304" s="3">
        <v>75.89</v>
      </c>
      <c r="F304" s="3">
        <v>24.04</v>
      </c>
      <c r="G304" s="21">
        <v>665.1</v>
      </c>
      <c r="H304" s="3">
        <v>17.440000000000001</v>
      </c>
      <c r="I304" s="13">
        <f t="shared" si="4"/>
        <v>3.1568219633943402</v>
      </c>
    </row>
    <row r="305" spans="3:9">
      <c r="C305" s="20">
        <v>1.8859999999999999</v>
      </c>
      <c r="D305" s="21">
        <v>226.2</v>
      </c>
      <c r="E305" s="3">
        <v>75.319999999999993</v>
      </c>
      <c r="F305" s="3">
        <v>23.82</v>
      </c>
      <c r="G305" s="21">
        <v>663.1</v>
      </c>
      <c r="H305" s="3">
        <v>18.809999999999999</v>
      </c>
      <c r="I305" s="13">
        <f t="shared" si="4"/>
        <v>3.1620486985726299</v>
      </c>
    </row>
    <row r="306" spans="3:9">
      <c r="C306" s="20">
        <v>1.9279999999999999</v>
      </c>
      <c r="D306" s="21">
        <v>225.7</v>
      </c>
      <c r="E306" s="3">
        <v>75.12</v>
      </c>
      <c r="F306" s="3">
        <v>24.65</v>
      </c>
      <c r="G306" s="21">
        <v>660.4</v>
      </c>
      <c r="H306" s="3">
        <v>18.04</v>
      </c>
      <c r="I306" s="13">
        <f t="shared" si="4"/>
        <v>3.0474645030426002</v>
      </c>
    </row>
    <row r="307" spans="3:9">
      <c r="C307" s="20">
        <v>1.9550000000000001</v>
      </c>
      <c r="D307" s="21">
        <v>178.9</v>
      </c>
      <c r="E307" s="3">
        <v>76.45</v>
      </c>
      <c r="F307" s="3">
        <v>24.97</v>
      </c>
      <c r="G307" s="21">
        <v>657.1</v>
      </c>
      <c r="H307" s="3">
        <v>17.79</v>
      </c>
      <c r="I307" s="13">
        <f t="shared" si="4"/>
        <v>3.0616740088105701</v>
      </c>
    </row>
    <row r="308" spans="3:9">
      <c r="C308" s="20">
        <v>1.9870000000000001</v>
      </c>
      <c r="D308" s="21">
        <v>210.8</v>
      </c>
      <c r="E308" s="3">
        <v>76.98</v>
      </c>
      <c r="F308" s="3">
        <v>24.65</v>
      </c>
      <c r="G308" s="21">
        <v>657.8</v>
      </c>
      <c r="H308" s="3">
        <v>18.88</v>
      </c>
      <c r="I308" s="13">
        <f t="shared" si="4"/>
        <v>3.1229208924949301</v>
      </c>
    </row>
    <row r="309" spans="3:9">
      <c r="C309" s="20">
        <v>1.925</v>
      </c>
      <c r="D309" s="21">
        <v>202.4</v>
      </c>
      <c r="E309" s="3">
        <v>76.349999999999994</v>
      </c>
      <c r="F309" s="3">
        <v>24.51</v>
      </c>
      <c r="G309" s="21">
        <v>662.1</v>
      </c>
      <c r="H309" s="3">
        <v>18.29</v>
      </c>
      <c r="I309" s="13">
        <f t="shared" si="4"/>
        <v>3.1150550795593599</v>
      </c>
    </row>
    <row r="310" spans="3:9">
      <c r="C310" s="20">
        <v>1.954</v>
      </c>
      <c r="D310" s="21">
        <v>213.3</v>
      </c>
      <c r="E310" s="3">
        <v>76.72</v>
      </c>
      <c r="F310" s="3">
        <v>24.27</v>
      </c>
      <c r="G310" s="21">
        <v>664.2</v>
      </c>
      <c r="H310" s="3">
        <v>17.25</v>
      </c>
      <c r="I310" s="13">
        <f t="shared" si="4"/>
        <v>3.1611042439225399</v>
      </c>
    </row>
    <row r="311" spans="3:9">
      <c r="C311" s="20">
        <v>1.901</v>
      </c>
      <c r="D311" s="21">
        <v>249.7</v>
      </c>
      <c r="E311" s="3">
        <v>76.23</v>
      </c>
      <c r="F311" s="3">
        <v>24.66</v>
      </c>
      <c r="G311" s="21">
        <v>672.4</v>
      </c>
      <c r="H311" s="3">
        <v>19.29</v>
      </c>
      <c r="I311" s="13">
        <f t="shared" si="4"/>
        <v>3.0912408759124101</v>
      </c>
    </row>
    <row r="312" spans="3:9">
      <c r="C312" s="20">
        <v>1.9870000000000001</v>
      </c>
      <c r="D312" s="21">
        <v>206</v>
      </c>
      <c r="E312" s="3">
        <v>76.19</v>
      </c>
      <c r="F312" s="3">
        <v>24.24</v>
      </c>
      <c r="G312" s="21">
        <v>671.1</v>
      </c>
      <c r="H312" s="3">
        <v>19.600000000000001</v>
      </c>
      <c r="I312" s="13">
        <f t="shared" si="4"/>
        <v>3.1431518151815201</v>
      </c>
    </row>
    <row r="313" spans="3:9">
      <c r="C313" s="20">
        <v>1.885</v>
      </c>
      <c r="D313" s="21">
        <v>213.3</v>
      </c>
      <c r="E313" s="3">
        <v>76.290000000000006</v>
      </c>
      <c r="F313" s="3">
        <v>23.16</v>
      </c>
      <c r="G313" s="21">
        <v>674</v>
      </c>
      <c r="H313" s="3">
        <v>17.989999999999998</v>
      </c>
      <c r="I313" s="13">
        <f t="shared" si="4"/>
        <v>3.2940414507772</v>
      </c>
    </row>
    <row r="314" spans="3:9">
      <c r="C314" s="20">
        <v>1.93</v>
      </c>
      <c r="D314" s="21">
        <v>202.4</v>
      </c>
      <c r="E314" s="3">
        <v>76.38</v>
      </c>
      <c r="F314" s="3">
        <v>23.85</v>
      </c>
      <c r="G314" s="21">
        <v>678.1</v>
      </c>
      <c r="H314" s="3">
        <v>18.440000000000001</v>
      </c>
      <c r="I314" s="13">
        <f t="shared" si="4"/>
        <v>3.20251572327044</v>
      </c>
    </row>
    <row r="315" spans="3:9">
      <c r="C315" s="20">
        <v>1.9279999999999999</v>
      </c>
      <c r="D315" s="21">
        <v>180.4</v>
      </c>
      <c r="E315" s="3">
        <v>76.17</v>
      </c>
      <c r="F315" s="3">
        <v>23.87</v>
      </c>
      <c r="G315" s="21">
        <v>669.6</v>
      </c>
      <c r="H315" s="3">
        <v>17.670000000000002</v>
      </c>
      <c r="I315" s="13">
        <f t="shared" si="4"/>
        <v>3.1910347716799299</v>
      </c>
    </row>
    <row r="316" spans="3:9">
      <c r="C316" s="20">
        <v>2.0099999999999998</v>
      </c>
      <c r="D316" s="21">
        <v>178.1</v>
      </c>
      <c r="E316" s="3">
        <v>76.27</v>
      </c>
      <c r="F316" s="3">
        <v>23.56</v>
      </c>
      <c r="G316" s="21">
        <v>679.9</v>
      </c>
      <c r="H316" s="3">
        <v>19.36</v>
      </c>
      <c r="I316" s="13">
        <f t="shared" si="4"/>
        <v>3.2372665534804801</v>
      </c>
    </row>
    <row r="317" spans="3:9">
      <c r="C317" s="20">
        <v>1.8160000000000001</v>
      </c>
      <c r="D317" s="21">
        <v>176.8</v>
      </c>
      <c r="E317" s="3">
        <v>75.83</v>
      </c>
      <c r="F317" s="3">
        <v>23.98</v>
      </c>
      <c r="G317" s="21">
        <v>671.1</v>
      </c>
      <c r="H317" s="3">
        <v>18.29</v>
      </c>
      <c r="I317" s="13">
        <f t="shared" si="4"/>
        <v>3.1622185154295201</v>
      </c>
    </row>
    <row r="318" spans="3:9">
      <c r="C318" s="20">
        <v>1.911</v>
      </c>
      <c r="D318" s="21">
        <v>203.6</v>
      </c>
      <c r="E318" s="3">
        <v>75.12</v>
      </c>
      <c r="F318" s="3">
        <v>24.18</v>
      </c>
      <c r="G318" s="21">
        <v>672.4</v>
      </c>
      <c r="H318" s="3">
        <v>17.670000000000002</v>
      </c>
      <c r="I318" s="13">
        <f t="shared" si="4"/>
        <v>3.10669975186104</v>
      </c>
    </row>
    <row r="319" spans="3:9">
      <c r="C319" s="20">
        <v>1.89</v>
      </c>
      <c r="D319" s="21">
        <v>239.4</v>
      </c>
      <c r="E319" s="3">
        <v>75.87</v>
      </c>
      <c r="F319" s="3">
        <v>24.78</v>
      </c>
      <c r="G319" s="21">
        <v>670.7</v>
      </c>
      <c r="H319" s="3">
        <v>17.79</v>
      </c>
      <c r="I319" s="13">
        <f t="shared" si="4"/>
        <v>3.0617433414043602</v>
      </c>
    </row>
    <row r="320" spans="3:9">
      <c r="C320" s="20">
        <v>1.6619999999999999</v>
      </c>
      <c r="D320" s="21">
        <v>235.8</v>
      </c>
      <c r="E320" s="3">
        <v>75.12</v>
      </c>
      <c r="F320" s="3">
        <v>24.65</v>
      </c>
      <c r="G320" s="21">
        <v>664.2</v>
      </c>
      <c r="H320" s="3">
        <v>17.440000000000001</v>
      </c>
      <c r="I320" s="13">
        <f t="shared" si="4"/>
        <v>3.0474645030426002</v>
      </c>
    </row>
    <row r="321" spans="2:9">
      <c r="C321" s="20">
        <v>1.8879999999999999</v>
      </c>
      <c r="D321" s="21">
        <v>188.5</v>
      </c>
      <c r="E321" s="3">
        <v>75.819999999999993</v>
      </c>
      <c r="F321" s="3">
        <v>24.32</v>
      </c>
      <c r="G321" s="21">
        <v>657.1</v>
      </c>
      <c r="H321" s="3">
        <v>17.53</v>
      </c>
      <c r="I321" s="13">
        <f t="shared" si="4"/>
        <v>3.1175986842105301</v>
      </c>
    </row>
    <row r="322" spans="2:9">
      <c r="B322" s="16">
        <v>17</v>
      </c>
      <c r="C322" s="17">
        <v>2.5230000000000001</v>
      </c>
      <c r="D322" s="29">
        <v>197.3</v>
      </c>
      <c r="E322" s="18">
        <v>101.6</v>
      </c>
      <c r="F322" s="18">
        <v>30.59</v>
      </c>
      <c r="G322" s="19">
        <v>665.3</v>
      </c>
      <c r="H322" s="18">
        <v>15.3</v>
      </c>
      <c r="I322" s="13">
        <f t="shared" si="4"/>
        <v>3.3213468453743098</v>
      </c>
    </row>
    <row r="323" spans="2:9">
      <c r="C323" s="20">
        <v>2.36</v>
      </c>
      <c r="D323" s="21">
        <v>183</v>
      </c>
      <c r="E323" s="3">
        <v>100.6</v>
      </c>
      <c r="F323" s="3">
        <v>30.68</v>
      </c>
      <c r="G323" s="21">
        <v>661.9</v>
      </c>
      <c r="H323" s="3">
        <v>16.11</v>
      </c>
      <c r="I323" s="13">
        <f t="shared" ref="I323:I386" si="5">E323/F323</f>
        <v>3.2790091264667498</v>
      </c>
    </row>
    <row r="324" spans="2:9">
      <c r="C324" s="20">
        <v>2.5630000000000002</v>
      </c>
      <c r="D324" s="21">
        <v>169.4</v>
      </c>
      <c r="E324" s="3">
        <v>100.4</v>
      </c>
      <c r="F324" s="3">
        <v>31.21</v>
      </c>
      <c r="G324" s="21">
        <v>663.4</v>
      </c>
      <c r="H324" s="3">
        <v>15.32</v>
      </c>
      <c r="I324" s="13">
        <f t="shared" si="5"/>
        <v>3.2169176545978901</v>
      </c>
    </row>
    <row r="325" spans="2:9">
      <c r="C325" s="20">
        <v>2.5310000000000001</v>
      </c>
      <c r="D325" s="21">
        <v>173.3</v>
      </c>
      <c r="E325" s="3">
        <v>101.3</v>
      </c>
      <c r="F325" s="3">
        <v>31.18</v>
      </c>
      <c r="G325" s="21">
        <v>669.2</v>
      </c>
      <c r="H325" s="3">
        <v>16.03</v>
      </c>
      <c r="I325" s="13">
        <f t="shared" si="5"/>
        <v>3.2488774855676699</v>
      </c>
    </row>
    <row r="326" spans="2:9">
      <c r="C326" s="20">
        <v>2.5379999999999998</v>
      </c>
      <c r="D326" s="21">
        <v>215.3</v>
      </c>
      <c r="E326" s="3">
        <v>101.6</v>
      </c>
      <c r="F326" s="3">
        <v>31.39</v>
      </c>
      <c r="G326" s="21">
        <v>665.4</v>
      </c>
      <c r="H326" s="3">
        <v>16.89</v>
      </c>
      <c r="I326" s="13">
        <f t="shared" si="5"/>
        <v>3.2366995858553702</v>
      </c>
    </row>
    <row r="327" spans="2:9">
      <c r="C327" s="20">
        <v>2.5659999999999998</v>
      </c>
      <c r="D327" s="21">
        <v>214.8</v>
      </c>
      <c r="E327" s="3">
        <v>100.5</v>
      </c>
      <c r="F327" s="3">
        <v>31.1</v>
      </c>
      <c r="G327" s="21">
        <v>666.9</v>
      </c>
      <c r="H327" s="3">
        <v>16.739999999999998</v>
      </c>
      <c r="I327" s="13">
        <f t="shared" si="5"/>
        <v>3.2315112540192898</v>
      </c>
    </row>
    <row r="328" spans="2:9">
      <c r="C328" s="20">
        <v>2.3759999999999999</v>
      </c>
      <c r="D328" s="21">
        <v>229.5</v>
      </c>
      <c r="E328" s="3">
        <v>100.2</v>
      </c>
      <c r="F328" s="3">
        <v>30.87</v>
      </c>
      <c r="G328" s="21">
        <v>674</v>
      </c>
      <c r="H328" s="3">
        <v>14.96</v>
      </c>
      <c r="I328" s="13">
        <f t="shared" si="5"/>
        <v>3.2458697764820199</v>
      </c>
    </row>
    <row r="329" spans="2:9">
      <c r="C329" s="20">
        <v>2.56</v>
      </c>
      <c r="D329" s="21">
        <v>246.7</v>
      </c>
      <c r="E329" s="3">
        <v>100.7</v>
      </c>
      <c r="F329" s="3">
        <v>31.29</v>
      </c>
      <c r="G329" s="21">
        <v>669.2</v>
      </c>
      <c r="H329" s="3">
        <v>14.81</v>
      </c>
      <c r="I329" s="13">
        <f t="shared" si="5"/>
        <v>3.2182806008309401</v>
      </c>
    </row>
    <row r="330" spans="2:9">
      <c r="C330" s="20">
        <v>2.492</v>
      </c>
      <c r="D330" s="21">
        <v>215.8</v>
      </c>
      <c r="E330" s="3">
        <v>101.3</v>
      </c>
      <c r="F330" s="3">
        <v>31.45</v>
      </c>
      <c r="G330" s="21">
        <v>668.6</v>
      </c>
      <c r="H330" s="3">
        <v>15.32</v>
      </c>
      <c r="I330" s="13">
        <f t="shared" si="5"/>
        <v>3.2209856915739299</v>
      </c>
    </row>
    <row r="331" spans="2:9">
      <c r="C331" s="20">
        <v>2.36</v>
      </c>
      <c r="D331" s="21">
        <v>183</v>
      </c>
      <c r="E331" s="3">
        <v>101.9</v>
      </c>
      <c r="F331" s="3">
        <v>30.98</v>
      </c>
      <c r="G331" s="21">
        <v>665.7</v>
      </c>
      <c r="H331" s="3">
        <v>14.87</v>
      </c>
      <c r="I331" s="13">
        <f t="shared" si="5"/>
        <v>3.2892188508715301</v>
      </c>
    </row>
    <row r="332" spans="2:9">
      <c r="C332" s="20">
        <v>2.242</v>
      </c>
      <c r="D332" s="21">
        <v>190.9</v>
      </c>
      <c r="E332" s="3">
        <v>100.7</v>
      </c>
      <c r="F332" s="3">
        <v>30.42</v>
      </c>
      <c r="G332" s="21">
        <v>662.7</v>
      </c>
      <c r="H332" s="3">
        <v>15.83</v>
      </c>
      <c r="I332" s="13">
        <f t="shared" si="5"/>
        <v>3.3103221564759999</v>
      </c>
    </row>
    <row r="333" spans="2:9">
      <c r="C333" s="20">
        <v>2.3170000000000002</v>
      </c>
      <c r="D333" s="21">
        <v>204.1</v>
      </c>
      <c r="E333" s="3">
        <v>102.3</v>
      </c>
      <c r="F333" s="3">
        <v>30.83</v>
      </c>
      <c r="G333" s="21">
        <v>659.3</v>
      </c>
      <c r="H333" s="3">
        <v>16.670000000000002</v>
      </c>
      <c r="I333" s="13">
        <f t="shared" si="5"/>
        <v>3.3181965617904599</v>
      </c>
    </row>
    <row r="334" spans="2:9">
      <c r="C334" s="20">
        <v>2.4870000000000001</v>
      </c>
      <c r="D334" s="21">
        <v>192.9</v>
      </c>
      <c r="E334" s="3">
        <v>102.1</v>
      </c>
      <c r="F334" s="3">
        <v>31.27</v>
      </c>
      <c r="G334" s="21">
        <v>659.4</v>
      </c>
      <c r="H334" s="3">
        <v>16.809999999999999</v>
      </c>
      <c r="I334" s="13">
        <f t="shared" si="5"/>
        <v>3.2651103293891901</v>
      </c>
    </row>
    <row r="335" spans="2:9">
      <c r="C335" s="20">
        <v>2.5670000000000002</v>
      </c>
      <c r="D335" s="21">
        <v>182.2</v>
      </c>
      <c r="E335" s="3">
        <v>101.7</v>
      </c>
      <c r="F335" s="3">
        <v>30.13</v>
      </c>
      <c r="G335" s="21">
        <v>662.6</v>
      </c>
      <c r="H335" s="3">
        <v>15.34</v>
      </c>
      <c r="I335" s="13">
        <f t="shared" si="5"/>
        <v>3.3753733820112801</v>
      </c>
    </row>
    <row r="336" spans="2:9">
      <c r="C336" s="20">
        <v>2.387</v>
      </c>
      <c r="D336" s="21">
        <v>202.7</v>
      </c>
      <c r="E336" s="3">
        <v>100.3</v>
      </c>
      <c r="F336" s="3">
        <v>30.67</v>
      </c>
      <c r="G336" s="21">
        <v>663.9</v>
      </c>
      <c r="H336" s="3">
        <v>15.98</v>
      </c>
      <c r="I336" s="13">
        <f t="shared" si="5"/>
        <v>3.27029670687969</v>
      </c>
    </row>
    <row r="337" spans="2:11">
      <c r="C337" s="20">
        <v>2.5139999999999998</v>
      </c>
      <c r="D337" s="21">
        <v>232.4</v>
      </c>
      <c r="E337" s="3">
        <v>101.8</v>
      </c>
      <c r="F337" s="3">
        <v>31.65</v>
      </c>
      <c r="G337" s="21">
        <v>666.9</v>
      </c>
      <c r="H337" s="3">
        <v>15.59</v>
      </c>
      <c r="I337" s="13">
        <f t="shared" si="5"/>
        <v>3.2164296998420201</v>
      </c>
    </row>
    <row r="338" spans="2:11">
      <c r="C338" s="20">
        <v>2.4830000000000001</v>
      </c>
      <c r="D338" s="21">
        <v>227.9</v>
      </c>
      <c r="E338" s="3">
        <v>102.6</v>
      </c>
      <c r="F338" s="3">
        <v>31.03</v>
      </c>
      <c r="G338" s="21">
        <v>668.2</v>
      </c>
      <c r="H338" s="3">
        <v>14.76</v>
      </c>
      <c r="I338" s="13">
        <f t="shared" si="5"/>
        <v>3.3064776023203302</v>
      </c>
    </row>
    <row r="339" spans="2:11">
      <c r="C339" s="20">
        <v>2.5430000000000001</v>
      </c>
      <c r="D339" s="21">
        <v>200.7</v>
      </c>
      <c r="E339" s="3">
        <v>100.3</v>
      </c>
      <c r="F339" s="3">
        <v>31.21</v>
      </c>
      <c r="G339" s="21">
        <v>665.8</v>
      </c>
      <c r="H339" s="3">
        <v>14.84</v>
      </c>
      <c r="I339" s="13">
        <f t="shared" si="5"/>
        <v>3.2137135533482901</v>
      </c>
    </row>
    <row r="340" spans="2:11">
      <c r="C340" s="20">
        <v>2.5489999999999999</v>
      </c>
      <c r="D340" s="21">
        <v>192.9</v>
      </c>
      <c r="E340" s="3">
        <v>100.9</v>
      </c>
      <c r="F340" s="3">
        <v>31.82</v>
      </c>
      <c r="G340" s="21">
        <v>663.5</v>
      </c>
      <c r="H340" s="3">
        <v>14.24</v>
      </c>
      <c r="I340" s="13">
        <f t="shared" si="5"/>
        <v>3.17096165933375</v>
      </c>
    </row>
    <row r="341" spans="2:11">
      <c r="C341" s="20">
        <v>2.206</v>
      </c>
      <c r="D341" s="21">
        <v>180.4</v>
      </c>
      <c r="E341" s="3">
        <v>100.2</v>
      </c>
      <c r="F341" s="3">
        <v>30.28</v>
      </c>
      <c r="G341" s="21">
        <v>660.6</v>
      </c>
      <c r="H341" s="3">
        <v>15.98</v>
      </c>
      <c r="I341" s="13">
        <f t="shared" si="5"/>
        <v>3.3091149273447802</v>
      </c>
    </row>
    <row r="342" spans="2:11">
      <c r="B342" s="16">
        <v>18</v>
      </c>
      <c r="C342" s="17">
        <v>2.8340000000000001</v>
      </c>
      <c r="D342" s="29">
        <v>186.8</v>
      </c>
      <c r="E342" s="18">
        <v>91.88</v>
      </c>
      <c r="F342" s="18">
        <v>20.45</v>
      </c>
      <c r="G342" s="19">
        <v>576.55799999999999</v>
      </c>
      <c r="H342" s="18">
        <v>8.9009999999999998</v>
      </c>
      <c r="I342" s="13">
        <f t="shared" si="5"/>
        <v>4.4929095354523199</v>
      </c>
      <c r="K342" s="3">
        <f>G342+573</f>
        <v>1149.558</v>
      </c>
    </row>
    <row r="343" spans="2:11">
      <c r="C343" s="20">
        <v>2.8239999999999998</v>
      </c>
      <c r="D343" s="21">
        <v>126.2</v>
      </c>
      <c r="E343" s="3">
        <v>92.4</v>
      </c>
      <c r="F343" s="3">
        <v>21.03</v>
      </c>
      <c r="G343" s="21">
        <v>576.07000000000005</v>
      </c>
      <c r="H343" s="3">
        <v>8.1579999999999995</v>
      </c>
      <c r="I343" s="13">
        <f t="shared" si="5"/>
        <v>4.3937232524964296</v>
      </c>
      <c r="K343" s="3">
        <f t="shared" ref="K343:K361" si="6">G343+573</f>
        <v>1149.07</v>
      </c>
    </row>
    <row r="344" spans="2:11">
      <c r="C344" s="20">
        <v>2.8170000000000002</v>
      </c>
      <c r="D344" s="21">
        <v>132.69999999999999</v>
      </c>
      <c r="E344" s="3">
        <v>91.38</v>
      </c>
      <c r="F344" s="3">
        <v>21.05</v>
      </c>
      <c r="G344" s="21">
        <v>576.77099999999996</v>
      </c>
      <c r="H344" s="3">
        <v>8.8339999999999996</v>
      </c>
      <c r="I344" s="13">
        <f t="shared" si="5"/>
        <v>4.3410926365795701</v>
      </c>
      <c r="K344" s="3">
        <f t="shared" si="6"/>
        <v>1149.771</v>
      </c>
    </row>
    <row r="345" spans="2:11">
      <c r="C345" s="20">
        <v>2.774</v>
      </c>
      <c r="D345" s="21">
        <v>134.6</v>
      </c>
      <c r="E345" s="3">
        <v>91.78</v>
      </c>
      <c r="F345" s="3">
        <v>21.73</v>
      </c>
      <c r="G345" s="21">
        <v>576.34299999999996</v>
      </c>
      <c r="H345" s="3">
        <v>7.1139999999999999</v>
      </c>
      <c r="I345" s="13">
        <f t="shared" si="5"/>
        <v>4.2236539346525497</v>
      </c>
      <c r="K345" s="3">
        <f t="shared" si="6"/>
        <v>1149.3430000000001</v>
      </c>
    </row>
    <row r="346" spans="2:11">
      <c r="C346" s="20">
        <v>2.7210000000000001</v>
      </c>
      <c r="D346" s="21">
        <v>145.80000000000001</v>
      </c>
      <c r="E346" s="3">
        <v>92.11</v>
      </c>
      <c r="F346" s="3">
        <v>20.87</v>
      </c>
      <c r="G346" s="21">
        <v>576.55399999999997</v>
      </c>
      <c r="H346" s="3">
        <v>7.64</v>
      </c>
      <c r="I346" s="13">
        <f t="shared" si="5"/>
        <v>4.4135122184954501</v>
      </c>
      <c r="K346" s="3">
        <f t="shared" si="6"/>
        <v>1149.5540000000001</v>
      </c>
    </row>
    <row r="347" spans="2:11">
      <c r="C347" s="20">
        <v>2.6019999999999999</v>
      </c>
      <c r="D347" s="21">
        <v>124.6</v>
      </c>
      <c r="E347" s="3">
        <v>92.67</v>
      </c>
      <c r="F347" s="3">
        <v>20.260000000000002</v>
      </c>
      <c r="G347" s="21">
        <v>576.51099999999997</v>
      </c>
      <c r="H347" s="3">
        <v>8.1579999999999995</v>
      </c>
      <c r="I347" s="13">
        <f t="shared" si="5"/>
        <v>4.57403751233959</v>
      </c>
      <c r="K347" s="3">
        <f t="shared" si="6"/>
        <v>1149.511</v>
      </c>
    </row>
    <row r="348" spans="2:11">
      <c r="C348" s="20">
        <v>2.8460000000000001</v>
      </c>
      <c r="D348" s="21">
        <v>118.2</v>
      </c>
      <c r="E348" s="3">
        <v>92.53</v>
      </c>
      <c r="F348" s="3">
        <v>21.48</v>
      </c>
      <c r="G348" s="21">
        <v>576.43499999999995</v>
      </c>
      <c r="H348" s="3">
        <v>7.5359999999999996</v>
      </c>
      <c r="I348" s="13">
        <f t="shared" si="5"/>
        <v>4.3077281191806298</v>
      </c>
      <c r="K348" s="3">
        <f t="shared" si="6"/>
        <v>1149.4349999999999</v>
      </c>
    </row>
    <row r="349" spans="2:11">
      <c r="C349" s="20">
        <v>2.64</v>
      </c>
      <c r="D349" s="21">
        <v>143.69999999999999</v>
      </c>
      <c r="E349" s="3">
        <v>91.34</v>
      </c>
      <c r="F349" s="3">
        <v>21.29</v>
      </c>
      <c r="G349" s="21">
        <v>576.59799999999996</v>
      </c>
      <c r="H349" s="3">
        <v>7.33</v>
      </c>
      <c r="I349" s="13">
        <f t="shared" si="5"/>
        <v>4.2902771254109897</v>
      </c>
      <c r="K349" s="3">
        <f t="shared" si="6"/>
        <v>1149.598</v>
      </c>
    </row>
    <row r="350" spans="2:11">
      <c r="C350" s="20">
        <v>2.794</v>
      </c>
      <c r="D350" s="21">
        <v>132.69999999999999</v>
      </c>
      <c r="E350" s="3">
        <v>91.48</v>
      </c>
      <c r="F350" s="3">
        <v>21.61</v>
      </c>
      <c r="G350" s="21">
        <v>576.50599999999997</v>
      </c>
      <c r="H350" s="3">
        <v>8.1649999999999991</v>
      </c>
      <c r="I350" s="13">
        <f t="shared" si="5"/>
        <v>4.2332253586302597</v>
      </c>
      <c r="K350" s="3">
        <f t="shared" si="6"/>
        <v>1149.5060000000001</v>
      </c>
    </row>
    <row r="351" spans="2:11">
      <c r="C351" s="20">
        <v>2.8180000000000001</v>
      </c>
      <c r="D351" s="21">
        <v>134.6</v>
      </c>
      <c r="E351" s="3">
        <v>91.09</v>
      </c>
      <c r="F351" s="3">
        <v>21.36</v>
      </c>
      <c r="G351" s="21">
        <v>575.82500000000005</v>
      </c>
      <c r="H351" s="3">
        <v>8.9009999999999998</v>
      </c>
      <c r="I351" s="13">
        <f t="shared" si="5"/>
        <v>4.2645131086142296</v>
      </c>
      <c r="K351" s="3">
        <f t="shared" si="6"/>
        <v>1148.825</v>
      </c>
    </row>
    <row r="352" spans="2:11">
      <c r="C352" s="20">
        <v>2.6389999999999998</v>
      </c>
      <c r="D352" s="21">
        <v>124.6</v>
      </c>
      <c r="E352" s="3">
        <v>92.98</v>
      </c>
      <c r="F352" s="3">
        <v>21.54</v>
      </c>
      <c r="G352" s="21">
        <v>575.82899999999995</v>
      </c>
      <c r="H352" s="3">
        <v>8.5540000000000003</v>
      </c>
      <c r="I352" s="13">
        <f t="shared" si="5"/>
        <v>4.3166202414113304</v>
      </c>
      <c r="K352" s="3">
        <f t="shared" si="6"/>
        <v>1148.829</v>
      </c>
    </row>
    <row r="353" spans="2:11">
      <c r="C353" s="20">
        <v>2.7210000000000001</v>
      </c>
      <c r="D353" s="21">
        <v>196.3</v>
      </c>
      <c r="E353" s="3">
        <v>92.86</v>
      </c>
      <c r="F353" s="3">
        <v>20.47</v>
      </c>
      <c r="G353" s="21">
        <v>575.56799999999998</v>
      </c>
      <c r="H353" s="3">
        <v>8.8919999999999995</v>
      </c>
      <c r="I353" s="13">
        <f t="shared" si="5"/>
        <v>4.5363947239863203</v>
      </c>
      <c r="K353" s="3">
        <f t="shared" si="6"/>
        <v>1148.568</v>
      </c>
    </row>
    <row r="354" spans="2:11">
      <c r="C354" s="20">
        <v>2.855</v>
      </c>
      <c r="D354" s="21">
        <v>126.7</v>
      </c>
      <c r="E354" s="3">
        <v>92.57</v>
      </c>
      <c r="F354" s="3">
        <v>21.96</v>
      </c>
      <c r="G354" s="21">
        <v>575.59299999999996</v>
      </c>
      <c r="H354" s="3">
        <v>8.5730000000000004</v>
      </c>
      <c r="I354" s="13">
        <f t="shared" si="5"/>
        <v>4.2153916211293296</v>
      </c>
      <c r="K354" s="3">
        <f t="shared" si="6"/>
        <v>1148.5930000000001</v>
      </c>
    </row>
    <row r="355" spans="2:11">
      <c r="C355" s="20">
        <v>2.7349999999999999</v>
      </c>
      <c r="D355" s="21">
        <v>118.1</v>
      </c>
      <c r="E355" s="3">
        <v>91.82</v>
      </c>
      <c r="F355" s="3">
        <v>20.45</v>
      </c>
      <c r="G355" s="21">
        <v>575.90200000000004</v>
      </c>
      <c r="H355" s="3">
        <v>8.2539999999999996</v>
      </c>
      <c r="I355" s="13">
        <f t="shared" si="5"/>
        <v>4.4899755501222502</v>
      </c>
      <c r="K355" s="3">
        <f t="shared" si="6"/>
        <v>1148.902</v>
      </c>
    </row>
    <row r="356" spans="2:11">
      <c r="C356" s="20">
        <v>2.7930000000000001</v>
      </c>
      <c r="D356" s="21">
        <v>121.5</v>
      </c>
      <c r="E356" s="3">
        <v>91.76</v>
      </c>
      <c r="F356" s="3">
        <v>21.01</v>
      </c>
      <c r="G356" s="21">
        <v>576.005</v>
      </c>
      <c r="H356" s="3">
        <v>7.5030000000000001</v>
      </c>
      <c r="I356" s="13">
        <f t="shared" si="5"/>
        <v>4.3674440742503604</v>
      </c>
      <c r="K356" s="3">
        <f t="shared" si="6"/>
        <v>1149.0050000000001</v>
      </c>
    </row>
    <row r="357" spans="2:11">
      <c r="C357" s="20">
        <v>2.8650000000000002</v>
      </c>
      <c r="D357" s="21">
        <v>140.6</v>
      </c>
      <c r="E357" s="3">
        <v>91.67</v>
      </c>
      <c r="F357" s="3">
        <v>20.38</v>
      </c>
      <c r="G357" s="21">
        <v>575.17899999999997</v>
      </c>
      <c r="H357" s="3">
        <v>7.3710000000000004</v>
      </c>
      <c r="I357" s="13">
        <f t="shared" si="5"/>
        <v>4.4980372914622198</v>
      </c>
      <c r="K357" s="3">
        <f t="shared" si="6"/>
        <v>1148.1790000000001</v>
      </c>
    </row>
    <row r="358" spans="2:11">
      <c r="C358" s="20">
        <v>2.3889999999999998</v>
      </c>
      <c r="D358" s="21">
        <v>132.69999999999999</v>
      </c>
      <c r="E358" s="3">
        <v>92.56</v>
      </c>
      <c r="F358" s="3">
        <v>20.86</v>
      </c>
      <c r="G358" s="21">
        <v>576.39</v>
      </c>
      <c r="H358" s="3">
        <v>8.1649999999999991</v>
      </c>
      <c r="I358" s="13">
        <f t="shared" si="5"/>
        <v>4.4372003835091096</v>
      </c>
      <c r="K358" s="3">
        <f t="shared" si="6"/>
        <v>1149.3900000000001</v>
      </c>
    </row>
    <row r="359" spans="2:11">
      <c r="C359" s="20">
        <v>2.3969999999999998</v>
      </c>
      <c r="D359" s="21">
        <v>140.6</v>
      </c>
      <c r="E359" s="3">
        <v>92.97</v>
      </c>
      <c r="F359" s="3">
        <v>20.75</v>
      </c>
      <c r="G359" s="21">
        <v>576.42399999999998</v>
      </c>
      <c r="H359" s="3">
        <v>8.9009999999999998</v>
      </c>
      <c r="I359" s="13">
        <f t="shared" si="5"/>
        <v>4.4804819277108399</v>
      </c>
      <c r="K359" s="3">
        <f t="shared" si="6"/>
        <v>1149.424</v>
      </c>
    </row>
    <row r="360" spans="2:11">
      <c r="C360" s="20">
        <v>2.4209999999999998</v>
      </c>
      <c r="D360" s="21">
        <v>148.5</v>
      </c>
      <c r="E360" s="3">
        <v>91.76</v>
      </c>
      <c r="F360" s="3">
        <v>20.49</v>
      </c>
      <c r="G360" s="21">
        <v>576.13</v>
      </c>
      <c r="H360" s="3">
        <v>8.8339999999999996</v>
      </c>
      <c r="I360" s="13">
        <f t="shared" si="5"/>
        <v>4.4782820888238204</v>
      </c>
      <c r="K360" s="3">
        <f t="shared" si="6"/>
        <v>1149.1300000000001</v>
      </c>
    </row>
    <row r="361" spans="2:11">
      <c r="C361" s="20">
        <v>2.5619999999999998</v>
      </c>
      <c r="D361" s="21">
        <v>126.2</v>
      </c>
      <c r="E361" s="3">
        <v>92.61</v>
      </c>
      <c r="F361" s="3">
        <v>20.21</v>
      </c>
      <c r="G361" s="21">
        <v>576.15700000000004</v>
      </c>
      <c r="H361" s="3">
        <v>8.4269999999999996</v>
      </c>
      <c r="I361" s="13">
        <f t="shared" si="5"/>
        <v>4.5823849579416098</v>
      </c>
      <c r="K361" s="3">
        <f t="shared" si="6"/>
        <v>1149.1569999999999</v>
      </c>
    </row>
    <row r="362" spans="2:11">
      <c r="B362" s="16">
        <v>19</v>
      </c>
      <c r="C362" s="17">
        <v>2.8860000000000001</v>
      </c>
      <c r="D362" s="29">
        <v>184.7</v>
      </c>
      <c r="E362" s="18">
        <v>96.16</v>
      </c>
      <c r="F362" s="18">
        <v>30.97</v>
      </c>
      <c r="G362" s="19">
        <v>573.4</v>
      </c>
      <c r="H362" s="18">
        <v>8.8079999999999998</v>
      </c>
      <c r="I362" s="13">
        <f t="shared" si="5"/>
        <v>3.1049402647723601</v>
      </c>
    </row>
    <row r="363" spans="2:11">
      <c r="C363" s="20">
        <v>2.8279999999999998</v>
      </c>
      <c r="D363" s="21">
        <v>180.2</v>
      </c>
      <c r="E363" s="3">
        <v>96.66</v>
      </c>
      <c r="F363" s="3">
        <v>31.42</v>
      </c>
      <c r="G363" s="21">
        <v>580.9</v>
      </c>
      <c r="H363" s="3">
        <v>7.6539999999999999</v>
      </c>
      <c r="I363" s="13">
        <f t="shared" si="5"/>
        <v>3.0763844684914101</v>
      </c>
    </row>
    <row r="364" spans="2:11">
      <c r="C364" s="20">
        <v>2.8450000000000002</v>
      </c>
      <c r="D364" s="21">
        <v>199.3</v>
      </c>
      <c r="E364" s="3">
        <v>95.72</v>
      </c>
      <c r="F364" s="3">
        <v>31.56</v>
      </c>
      <c r="G364" s="21">
        <v>583</v>
      </c>
      <c r="H364" s="3">
        <v>7.8819999999999997</v>
      </c>
      <c r="I364" s="13">
        <f t="shared" si="5"/>
        <v>3.0329531051964498</v>
      </c>
    </row>
    <row r="365" spans="2:11">
      <c r="C365" s="20">
        <v>2.8639999999999999</v>
      </c>
      <c r="D365" s="21">
        <v>182.7</v>
      </c>
      <c r="E365" s="3">
        <v>95.89</v>
      </c>
      <c r="F365" s="3">
        <v>31.13</v>
      </c>
      <c r="G365" s="21">
        <v>575.4</v>
      </c>
      <c r="H365" s="3">
        <v>7.4340000000000002</v>
      </c>
      <c r="I365" s="13">
        <f t="shared" si="5"/>
        <v>3.0803083841953098</v>
      </c>
    </row>
    <row r="366" spans="2:11">
      <c r="C366" s="20">
        <v>2.6850000000000001</v>
      </c>
      <c r="D366" s="21">
        <v>201.9</v>
      </c>
      <c r="E366" s="3">
        <v>96.21</v>
      </c>
      <c r="F366" s="3">
        <v>31.72</v>
      </c>
      <c r="G366" s="21">
        <v>578.5</v>
      </c>
      <c r="H366" s="3">
        <v>7.601</v>
      </c>
      <c r="I366" s="13">
        <f t="shared" si="5"/>
        <v>3.0331021437578798</v>
      </c>
    </row>
    <row r="367" spans="2:11">
      <c r="C367" s="20">
        <v>2.6019999999999999</v>
      </c>
      <c r="D367" s="21">
        <v>208.2</v>
      </c>
      <c r="E367" s="3">
        <v>95.44</v>
      </c>
      <c r="F367" s="3">
        <v>31.36</v>
      </c>
      <c r="G367" s="21">
        <v>583.70000000000005</v>
      </c>
      <c r="H367" s="3">
        <v>7.5359999999999996</v>
      </c>
      <c r="I367" s="13">
        <f t="shared" si="5"/>
        <v>3.0433673469387799</v>
      </c>
    </row>
    <row r="368" spans="2:11">
      <c r="C368" s="20">
        <v>2.8220000000000001</v>
      </c>
      <c r="D368" s="21">
        <v>226.5</v>
      </c>
      <c r="E368" s="3">
        <v>96.45</v>
      </c>
      <c r="F368" s="3">
        <v>31.53</v>
      </c>
      <c r="G368" s="21">
        <v>597.29999999999995</v>
      </c>
      <c r="H368" s="3">
        <v>7.5030000000000001</v>
      </c>
      <c r="I368" s="13">
        <f t="shared" si="5"/>
        <v>3.05899143672693</v>
      </c>
    </row>
    <row r="369" spans="2:9">
      <c r="C369" s="20">
        <v>2.8660000000000001</v>
      </c>
      <c r="D369" s="21">
        <v>184.7</v>
      </c>
      <c r="E369" s="3">
        <v>96.95</v>
      </c>
      <c r="F369" s="3">
        <v>31.29</v>
      </c>
      <c r="G369" s="21">
        <v>608.70000000000005</v>
      </c>
      <c r="H369" s="3">
        <v>8.2530000000000001</v>
      </c>
      <c r="I369" s="13">
        <f t="shared" si="5"/>
        <v>3.09843400447427</v>
      </c>
    </row>
    <row r="370" spans="2:9">
      <c r="C370" s="20">
        <v>2.8650000000000002</v>
      </c>
      <c r="D370" s="21">
        <v>187.5</v>
      </c>
      <c r="E370" s="3">
        <v>95.64</v>
      </c>
      <c r="F370" s="3">
        <v>31.24</v>
      </c>
      <c r="G370" s="21">
        <v>611.70000000000005</v>
      </c>
      <c r="H370" s="3">
        <v>8.9009999999999998</v>
      </c>
      <c r="I370" s="13">
        <f t="shared" si="5"/>
        <v>3.0614596670934699</v>
      </c>
    </row>
    <row r="371" spans="2:9">
      <c r="C371" s="20">
        <v>2.8380000000000001</v>
      </c>
      <c r="D371" s="21">
        <v>182.7</v>
      </c>
      <c r="E371" s="3">
        <v>95.91</v>
      </c>
      <c r="F371" s="3">
        <v>30.65</v>
      </c>
      <c r="G371" s="21">
        <v>619.6</v>
      </c>
      <c r="H371" s="3">
        <v>8.8919999999999995</v>
      </c>
      <c r="I371" s="13">
        <f t="shared" si="5"/>
        <v>3.1292006525285498</v>
      </c>
    </row>
    <row r="372" spans="2:9">
      <c r="C372" s="20">
        <v>2.5990000000000002</v>
      </c>
      <c r="D372" s="21">
        <v>193.3</v>
      </c>
      <c r="E372" s="3">
        <v>96.73</v>
      </c>
      <c r="F372" s="3">
        <v>31.47</v>
      </c>
      <c r="G372" s="21">
        <v>624.4</v>
      </c>
      <c r="H372" s="3">
        <v>8.8079999999999998</v>
      </c>
      <c r="I372" s="13">
        <f t="shared" si="5"/>
        <v>3.07372100413092</v>
      </c>
    </row>
    <row r="373" spans="2:9">
      <c r="C373" s="20">
        <v>2.8250000000000002</v>
      </c>
      <c r="D373" s="21">
        <v>209.7</v>
      </c>
      <c r="E373" s="3">
        <v>96.77</v>
      </c>
      <c r="F373" s="3">
        <v>31.78</v>
      </c>
      <c r="G373" s="21">
        <v>633.9</v>
      </c>
      <c r="H373" s="3">
        <v>7.81</v>
      </c>
      <c r="I373" s="13">
        <f t="shared" si="5"/>
        <v>3.0449968533669001</v>
      </c>
    </row>
    <row r="374" spans="2:9">
      <c r="C374" s="20">
        <v>2.835</v>
      </c>
      <c r="D374" s="21">
        <v>219.1</v>
      </c>
      <c r="E374" s="3">
        <v>95.65</v>
      </c>
      <c r="F374" s="3">
        <v>32.21</v>
      </c>
      <c r="G374" s="21">
        <v>613.1</v>
      </c>
      <c r="H374" s="3">
        <v>8.1579999999999995</v>
      </c>
      <c r="I374" s="13">
        <f t="shared" si="5"/>
        <v>2.9695746662527198</v>
      </c>
    </row>
    <row r="375" spans="2:9">
      <c r="C375" s="20">
        <v>2.8279999999999998</v>
      </c>
      <c r="D375" s="21">
        <v>220.9</v>
      </c>
      <c r="E375" s="3">
        <v>95.12</v>
      </c>
      <c r="F375" s="3">
        <v>32.229999999999997</v>
      </c>
      <c r="G375" s="21">
        <v>616</v>
      </c>
      <c r="H375" s="3">
        <v>7.64</v>
      </c>
      <c r="I375" s="13">
        <f t="shared" si="5"/>
        <v>2.9512876202295999</v>
      </c>
    </row>
    <row r="376" spans="2:9">
      <c r="C376" s="20">
        <v>2.6720000000000002</v>
      </c>
      <c r="D376" s="21">
        <v>176.3</v>
      </c>
      <c r="E376" s="3">
        <v>96.61</v>
      </c>
      <c r="F376" s="3">
        <v>31.43</v>
      </c>
      <c r="G376" s="21">
        <v>601.6</v>
      </c>
      <c r="H376" s="3">
        <v>7.5359999999999996</v>
      </c>
      <c r="I376" s="13">
        <f t="shared" si="5"/>
        <v>3.0738148265987899</v>
      </c>
    </row>
    <row r="377" spans="2:9">
      <c r="C377" s="20">
        <v>2.8559999999999999</v>
      </c>
      <c r="D377" s="21">
        <v>194.2</v>
      </c>
      <c r="E377" s="3">
        <v>96.7</v>
      </c>
      <c r="F377" s="3">
        <v>32.340000000000003</v>
      </c>
      <c r="G377" s="21">
        <v>598.1</v>
      </c>
      <c r="H377" s="3">
        <v>8.1649999999999991</v>
      </c>
      <c r="I377" s="13">
        <f t="shared" si="5"/>
        <v>2.9901051329622801</v>
      </c>
    </row>
    <row r="378" spans="2:9">
      <c r="C378" s="20">
        <v>2.83</v>
      </c>
      <c r="D378" s="21">
        <v>177.4</v>
      </c>
      <c r="E378" s="3">
        <v>95.23</v>
      </c>
      <c r="F378" s="3">
        <v>32.729999999999997</v>
      </c>
      <c r="G378" s="21">
        <v>592.4</v>
      </c>
      <c r="H378" s="3">
        <v>8.1579999999999995</v>
      </c>
      <c r="I378" s="13">
        <f t="shared" si="5"/>
        <v>2.9095630919645599</v>
      </c>
    </row>
    <row r="379" spans="2:9">
      <c r="C379" s="20">
        <v>2.8319999999999999</v>
      </c>
      <c r="D379" s="21">
        <v>202.9</v>
      </c>
      <c r="E379" s="3">
        <v>95.89</v>
      </c>
      <c r="F379" s="3">
        <v>32.049999999999997</v>
      </c>
      <c r="G379" s="21">
        <v>592.5</v>
      </c>
      <c r="H379" s="3">
        <v>7.33</v>
      </c>
      <c r="I379" s="13">
        <f t="shared" si="5"/>
        <v>2.9918876755070198</v>
      </c>
    </row>
    <row r="380" spans="2:9">
      <c r="C380" s="20">
        <v>2.87</v>
      </c>
      <c r="D380" s="21">
        <v>186.5</v>
      </c>
      <c r="E380" s="3">
        <v>95.45</v>
      </c>
      <c r="F380" s="3">
        <v>31.24</v>
      </c>
      <c r="G380" s="21">
        <v>578</v>
      </c>
      <c r="H380" s="3">
        <v>8.8339999999999996</v>
      </c>
      <c r="I380" s="13">
        <f t="shared" si="5"/>
        <v>3.05537772087068</v>
      </c>
    </row>
    <row r="381" spans="2:9">
      <c r="C381" s="20">
        <v>2.8860000000000001</v>
      </c>
      <c r="D381" s="21">
        <v>206.4</v>
      </c>
      <c r="E381" s="3">
        <v>95.12</v>
      </c>
      <c r="F381" s="3">
        <v>31.16</v>
      </c>
      <c r="G381" s="21">
        <v>576</v>
      </c>
      <c r="H381" s="3">
        <v>8.9540000000000006</v>
      </c>
      <c r="I381" s="13">
        <f t="shared" si="5"/>
        <v>3.0526315789473699</v>
      </c>
    </row>
    <row r="382" spans="2:9">
      <c r="B382" s="16">
        <v>20</v>
      </c>
      <c r="C382" s="17">
        <v>2.9620000000000002</v>
      </c>
      <c r="D382" s="29">
        <v>176.1</v>
      </c>
      <c r="E382" s="18">
        <v>109.6</v>
      </c>
      <c r="F382" s="18">
        <v>48.99</v>
      </c>
      <c r="G382" s="19">
        <v>601</v>
      </c>
      <c r="H382" s="18">
        <v>6.1150000000000002</v>
      </c>
      <c r="I382" s="13">
        <f t="shared" si="5"/>
        <v>2.2371912635231701</v>
      </c>
    </row>
    <row r="383" spans="2:9">
      <c r="C383" s="20">
        <v>2.9359999999999999</v>
      </c>
      <c r="D383" s="21">
        <v>177</v>
      </c>
      <c r="E383" s="3">
        <v>110.8</v>
      </c>
      <c r="F383" s="3">
        <v>48.67</v>
      </c>
      <c r="G383" s="21">
        <v>603.9</v>
      </c>
      <c r="H383" s="3">
        <v>6.3419999999999996</v>
      </c>
      <c r="I383" s="13">
        <f t="shared" si="5"/>
        <v>2.2765564002465601</v>
      </c>
    </row>
    <row r="384" spans="2:9">
      <c r="C384" s="20">
        <v>2.9550000000000001</v>
      </c>
      <c r="D384" s="21">
        <v>176.6</v>
      </c>
      <c r="E384" s="3">
        <v>110.3</v>
      </c>
      <c r="F384" s="3">
        <v>47.21</v>
      </c>
      <c r="G384" s="21">
        <v>606.29999999999995</v>
      </c>
      <c r="H384" s="3">
        <v>6.3920000000000003</v>
      </c>
      <c r="I384" s="13">
        <f t="shared" si="5"/>
        <v>2.3363694132599</v>
      </c>
    </row>
    <row r="385" spans="3:9">
      <c r="C385" s="20">
        <v>2.9220000000000002</v>
      </c>
      <c r="D385" s="21">
        <v>176.4</v>
      </c>
      <c r="E385" s="3">
        <v>111.4</v>
      </c>
      <c r="F385" s="3">
        <v>47.92</v>
      </c>
      <c r="G385" s="21">
        <v>600.1</v>
      </c>
      <c r="H385" s="3">
        <v>6.194</v>
      </c>
      <c r="I385" s="13">
        <f t="shared" si="5"/>
        <v>2.3247078464106798</v>
      </c>
    </row>
    <row r="386" spans="3:9">
      <c r="C386" s="20">
        <v>2.8809999999999998</v>
      </c>
      <c r="D386" s="21">
        <v>176.3</v>
      </c>
      <c r="E386" s="3">
        <v>109.5</v>
      </c>
      <c r="F386" s="3">
        <v>48.23</v>
      </c>
      <c r="G386" s="21">
        <v>603.70000000000005</v>
      </c>
      <c r="H386" s="3">
        <v>6.3419999999999996</v>
      </c>
      <c r="I386" s="13">
        <f t="shared" si="5"/>
        <v>2.2703711382956699</v>
      </c>
    </row>
    <row r="387" spans="3:9">
      <c r="C387" s="20">
        <v>2.8769999999999998</v>
      </c>
      <c r="D387" s="21">
        <v>176.5</v>
      </c>
      <c r="E387" s="3">
        <v>109.9</v>
      </c>
      <c r="F387" s="3">
        <v>48.98</v>
      </c>
      <c r="G387" s="21">
        <v>599.4</v>
      </c>
      <c r="H387" s="3">
        <v>6.2</v>
      </c>
      <c r="I387" s="13">
        <f t="shared" ref="I387:I450" si="7">E387/F387</f>
        <v>2.2437729685585999</v>
      </c>
    </row>
    <row r="388" spans="3:9">
      <c r="C388" s="20">
        <v>2.907</v>
      </c>
      <c r="D388" s="21">
        <v>176</v>
      </c>
      <c r="E388" s="3">
        <v>110.4</v>
      </c>
      <c r="F388" s="3">
        <v>47.62</v>
      </c>
      <c r="G388" s="21">
        <v>602.20000000000005</v>
      </c>
      <c r="H388" s="3">
        <v>6.093</v>
      </c>
      <c r="I388" s="13">
        <f t="shared" si="7"/>
        <v>2.31835363292734</v>
      </c>
    </row>
    <row r="389" spans="3:9">
      <c r="C389" s="20">
        <v>2.8980000000000001</v>
      </c>
      <c r="D389" s="21">
        <v>175.8</v>
      </c>
      <c r="E389" s="3">
        <v>110</v>
      </c>
      <c r="F389" s="3">
        <v>47.91</v>
      </c>
      <c r="G389" s="21">
        <v>605.5</v>
      </c>
      <c r="H389" s="3">
        <v>6.3920000000000003</v>
      </c>
      <c r="I389" s="13">
        <f t="shared" si="7"/>
        <v>2.29597161344187</v>
      </c>
    </row>
    <row r="390" spans="3:9">
      <c r="C390" s="20">
        <v>2.83</v>
      </c>
      <c r="D390" s="21">
        <v>177.4</v>
      </c>
      <c r="E390" s="3">
        <v>109.3</v>
      </c>
      <c r="F390" s="3">
        <v>47.19</v>
      </c>
      <c r="G390" s="21">
        <v>608.29999999999995</v>
      </c>
      <c r="H390" s="3">
        <v>6.1970000000000001</v>
      </c>
      <c r="I390" s="13">
        <f t="shared" si="7"/>
        <v>2.31616867980504</v>
      </c>
    </row>
    <row r="391" spans="3:9">
      <c r="C391" s="20">
        <v>2.8319999999999999</v>
      </c>
      <c r="D391" s="21">
        <v>177.2</v>
      </c>
      <c r="E391" s="3">
        <v>110.9</v>
      </c>
      <c r="F391" s="3">
        <v>47.87</v>
      </c>
      <c r="G391" s="21">
        <v>612.70000000000005</v>
      </c>
      <c r="H391" s="3">
        <v>6.3470000000000004</v>
      </c>
      <c r="I391" s="13">
        <f t="shared" si="7"/>
        <v>2.3166910382285399</v>
      </c>
    </row>
    <row r="392" spans="3:9">
      <c r="C392" s="20">
        <v>2.7530000000000001</v>
      </c>
      <c r="D392" s="21">
        <v>177.7</v>
      </c>
      <c r="E392" s="3">
        <v>109.4</v>
      </c>
      <c r="F392" s="3">
        <v>48.11</v>
      </c>
      <c r="G392" s="21">
        <v>611.5</v>
      </c>
      <c r="H392" s="3">
        <v>6.0839999999999996</v>
      </c>
      <c r="I392" s="13">
        <f t="shared" si="7"/>
        <v>2.2739555186031999</v>
      </c>
    </row>
    <row r="393" spans="3:9">
      <c r="C393" s="20">
        <v>2.9359999999999999</v>
      </c>
      <c r="D393" s="21">
        <v>177.4</v>
      </c>
      <c r="E393" s="3">
        <v>111</v>
      </c>
      <c r="F393" s="3">
        <v>48.56</v>
      </c>
      <c r="G393" s="21">
        <v>617.29999999999995</v>
      </c>
      <c r="H393" s="3">
        <v>6.0449999999999999</v>
      </c>
      <c r="I393" s="13">
        <f t="shared" si="7"/>
        <v>2.2858319604612798</v>
      </c>
    </row>
    <row r="394" spans="3:9">
      <c r="C394" s="20">
        <v>2.78</v>
      </c>
      <c r="D394" s="21">
        <v>177.3</v>
      </c>
      <c r="E394" s="3">
        <v>110.2</v>
      </c>
      <c r="F394" s="3">
        <v>47.94</v>
      </c>
      <c r="G394" s="21">
        <v>615.79999999999995</v>
      </c>
      <c r="H394" s="3">
        <v>6.5640000000000001</v>
      </c>
      <c r="I394" s="13">
        <f t="shared" si="7"/>
        <v>2.2987067167292401</v>
      </c>
    </row>
    <row r="395" spans="3:9">
      <c r="C395" s="20">
        <v>2.6360000000000001</v>
      </c>
      <c r="D395" s="21">
        <v>176.6</v>
      </c>
      <c r="E395" s="3">
        <v>109.2</v>
      </c>
      <c r="F395" s="3">
        <v>47.23</v>
      </c>
      <c r="G395" s="21">
        <v>614.1</v>
      </c>
      <c r="H395" s="3">
        <v>7.1660000000000004</v>
      </c>
      <c r="I395" s="13">
        <f t="shared" si="7"/>
        <v>2.3120897734490802</v>
      </c>
    </row>
    <row r="396" spans="3:9">
      <c r="C396" s="20">
        <v>2.9430000000000001</v>
      </c>
      <c r="D396" s="21">
        <v>176.3</v>
      </c>
      <c r="E396" s="3">
        <v>109.8</v>
      </c>
      <c r="F396" s="3">
        <v>47.98</v>
      </c>
      <c r="G396" s="21">
        <v>613.29999999999995</v>
      </c>
      <c r="H396" s="3">
        <v>6.875</v>
      </c>
      <c r="I396" s="13">
        <f t="shared" si="7"/>
        <v>2.2884535223009599</v>
      </c>
    </row>
    <row r="397" spans="3:9">
      <c r="C397" s="20">
        <v>2.79</v>
      </c>
      <c r="D397" s="21">
        <v>176.5</v>
      </c>
      <c r="E397" s="3">
        <v>110.7</v>
      </c>
      <c r="F397" s="3">
        <v>48.22</v>
      </c>
      <c r="G397" s="21">
        <v>616.70000000000005</v>
      </c>
      <c r="H397" s="3">
        <v>7.7789999999999999</v>
      </c>
      <c r="I397" s="13">
        <f t="shared" si="7"/>
        <v>2.2957279137287401</v>
      </c>
    </row>
    <row r="398" spans="3:9">
      <c r="C398" s="20">
        <v>2.7530000000000001</v>
      </c>
      <c r="D398" s="21">
        <v>177.2</v>
      </c>
      <c r="E398" s="3">
        <v>109.6</v>
      </c>
      <c r="F398" s="3">
        <v>47.19</v>
      </c>
      <c r="G398" s="21">
        <v>614</v>
      </c>
      <c r="H398" s="3">
        <v>7.8869999999999996</v>
      </c>
      <c r="I398" s="13">
        <f t="shared" si="7"/>
        <v>2.3225259588895999</v>
      </c>
    </row>
    <row r="399" spans="3:9">
      <c r="C399" s="20">
        <v>2.827</v>
      </c>
      <c r="D399" s="21">
        <v>176.8</v>
      </c>
      <c r="E399" s="3">
        <v>109.9</v>
      </c>
      <c r="F399" s="3">
        <v>46.98</v>
      </c>
      <c r="G399" s="21">
        <v>612.79999999999995</v>
      </c>
      <c r="H399" s="3">
        <v>7.7359999999999998</v>
      </c>
      <c r="I399" s="13">
        <f t="shared" si="7"/>
        <v>2.33929331630481</v>
      </c>
    </row>
    <row r="400" spans="3:9">
      <c r="C400" s="20">
        <v>2.5350000000000001</v>
      </c>
      <c r="D400" s="21">
        <v>176.7</v>
      </c>
      <c r="E400" s="3">
        <v>110.4</v>
      </c>
      <c r="F400" s="3">
        <v>46.02</v>
      </c>
      <c r="G400" s="21">
        <v>606.9</v>
      </c>
      <c r="H400" s="3">
        <v>7.7359999999999998</v>
      </c>
      <c r="I400" s="13">
        <f t="shared" si="7"/>
        <v>2.3989569752281601</v>
      </c>
    </row>
    <row r="401" spans="2:9">
      <c r="C401" s="20">
        <v>2.726</v>
      </c>
      <c r="D401" s="21">
        <v>177.2</v>
      </c>
      <c r="E401" s="3">
        <v>110.8</v>
      </c>
      <c r="F401" s="3">
        <v>48.14</v>
      </c>
      <c r="G401" s="21">
        <v>602</v>
      </c>
      <c r="H401" s="3">
        <v>6.694</v>
      </c>
      <c r="I401" s="13">
        <f t="shared" si="7"/>
        <v>2.3016202742002498</v>
      </c>
    </row>
    <row r="402" spans="2:9">
      <c r="B402" s="16">
        <v>21</v>
      </c>
      <c r="C402" s="17">
        <v>3.7090000000000001</v>
      </c>
      <c r="D402" s="29">
        <v>163.6</v>
      </c>
      <c r="E402" s="18">
        <v>73.62</v>
      </c>
      <c r="F402" s="18">
        <v>28.98</v>
      </c>
      <c r="G402" s="19">
        <v>809.3</v>
      </c>
      <c r="H402" s="18">
        <v>7.3019999999999996</v>
      </c>
      <c r="I402" s="13">
        <f t="shared" si="7"/>
        <v>2.5403726708074501</v>
      </c>
    </row>
    <row r="403" spans="2:9">
      <c r="C403" s="20">
        <v>3.7519999999999998</v>
      </c>
      <c r="D403" s="21">
        <v>155.4</v>
      </c>
      <c r="E403" s="3">
        <v>72.569999999999993</v>
      </c>
      <c r="F403" s="3">
        <v>29.92</v>
      </c>
      <c r="G403" s="21">
        <v>812.8</v>
      </c>
      <c r="H403" s="3">
        <v>8.0960000000000001</v>
      </c>
      <c r="I403" s="13">
        <f t="shared" si="7"/>
        <v>2.4254679144384999</v>
      </c>
    </row>
    <row r="404" spans="2:9">
      <c r="C404" s="20">
        <v>3.77</v>
      </c>
      <c r="D404" s="21">
        <v>155.6</v>
      </c>
      <c r="E404" s="3">
        <v>72.78</v>
      </c>
      <c r="F404" s="3">
        <v>29.77</v>
      </c>
      <c r="G404" s="21">
        <v>813.2</v>
      </c>
      <c r="H404" s="3">
        <v>7.2519999999999998</v>
      </c>
      <c r="I404" s="13">
        <f t="shared" si="7"/>
        <v>2.4447430298958701</v>
      </c>
    </row>
    <row r="405" spans="2:9">
      <c r="C405" s="20">
        <v>3.72</v>
      </c>
      <c r="D405" s="21">
        <v>158</v>
      </c>
      <c r="E405" s="3">
        <v>73.42</v>
      </c>
      <c r="F405" s="3">
        <v>28.12</v>
      </c>
      <c r="G405" s="21">
        <v>816.3</v>
      </c>
      <c r="H405" s="3">
        <v>8.9570000000000007</v>
      </c>
      <c r="I405" s="13">
        <f t="shared" si="7"/>
        <v>2.6109530583214799</v>
      </c>
    </row>
    <row r="406" spans="2:9">
      <c r="C406" s="20">
        <v>3.7360000000000002</v>
      </c>
      <c r="D406" s="21">
        <v>211.7</v>
      </c>
      <c r="E406" s="3">
        <v>72.78</v>
      </c>
      <c r="F406" s="3">
        <v>29.34</v>
      </c>
      <c r="G406" s="21">
        <v>820.9</v>
      </c>
      <c r="H406" s="3">
        <v>7.2519999999999998</v>
      </c>
      <c r="I406" s="13">
        <f t="shared" si="7"/>
        <v>2.4805725971370101</v>
      </c>
    </row>
    <row r="407" spans="2:9">
      <c r="C407" s="20">
        <v>3.47</v>
      </c>
      <c r="D407" s="21">
        <v>211</v>
      </c>
      <c r="E407" s="3">
        <v>73.180000000000007</v>
      </c>
      <c r="F407" s="3">
        <v>28.89</v>
      </c>
      <c r="G407" s="21">
        <v>827.4</v>
      </c>
      <c r="H407" s="3">
        <v>8.0399999999999991</v>
      </c>
      <c r="I407" s="13">
        <f t="shared" si="7"/>
        <v>2.53305642090689</v>
      </c>
    </row>
    <row r="408" spans="2:9">
      <c r="C408" s="20">
        <v>3.7349999999999999</v>
      </c>
      <c r="D408" s="21">
        <v>212.5</v>
      </c>
      <c r="E408" s="3">
        <v>73.33</v>
      </c>
      <c r="F408" s="3">
        <v>29.56</v>
      </c>
      <c r="G408" s="21">
        <v>819.3</v>
      </c>
      <c r="H408" s="3">
        <v>8.7680000000000007</v>
      </c>
      <c r="I408" s="13">
        <f t="shared" si="7"/>
        <v>2.48071718538566</v>
      </c>
    </row>
    <row r="409" spans="2:9">
      <c r="C409" s="20">
        <v>3.4390000000000001</v>
      </c>
      <c r="D409" s="21">
        <v>211.7</v>
      </c>
      <c r="E409" s="3">
        <v>73.92</v>
      </c>
      <c r="F409" s="3">
        <v>28.73</v>
      </c>
      <c r="G409" s="21">
        <v>825.8</v>
      </c>
      <c r="H409" s="3">
        <v>9.5749999999999993</v>
      </c>
      <c r="I409" s="13">
        <f t="shared" si="7"/>
        <v>2.5729202923773098</v>
      </c>
    </row>
    <row r="410" spans="2:9">
      <c r="C410" s="20">
        <v>3.6819999999999999</v>
      </c>
      <c r="D410" s="21">
        <v>215.6</v>
      </c>
      <c r="E410" s="3">
        <v>72.7</v>
      </c>
      <c r="F410" s="3">
        <v>29.91</v>
      </c>
      <c r="G410" s="21">
        <v>822.2</v>
      </c>
      <c r="H410" s="3">
        <v>9.1319999999999997</v>
      </c>
      <c r="I410" s="13">
        <f t="shared" si="7"/>
        <v>2.4306252089602101</v>
      </c>
    </row>
    <row r="411" spans="2:9">
      <c r="C411" s="20">
        <v>3.8010000000000002</v>
      </c>
      <c r="D411" s="21">
        <v>217.9</v>
      </c>
      <c r="E411" s="3">
        <v>73.11</v>
      </c>
      <c r="F411" s="3">
        <v>28.45</v>
      </c>
      <c r="G411" s="21">
        <v>821.4</v>
      </c>
      <c r="H411" s="3">
        <v>8.34</v>
      </c>
      <c r="I411" s="13">
        <f t="shared" si="7"/>
        <v>2.5697715289982401</v>
      </c>
    </row>
    <row r="412" spans="2:9">
      <c r="C412" s="20">
        <v>3.6070000000000002</v>
      </c>
      <c r="D412" s="21">
        <v>270.2</v>
      </c>
      <c r="E412" s="3">
        <v>73.849999999999994</v>
      </c>
      <c r="F412" s="3">
        <v>29.08</v>
      </c>
      <c r="G412" s="21">
        <v>826.8</v>
      </c>
      <c r="H412" s="3">
        <v>8.5299999999999994</v>
      </c>
      <c r="I412" s="13">
        <f t="shared" si="7"/>
        <v>2.5395460797799201</v>
      </c>
    </row>
    <row r="413" spans="2:9">
      <c r="C413" s="20">
        <v>3.7090000000000001</v>
      </c>
      <c r="D413" s="21">
        <v>231.8</v>
      </c>
      <c r="E413" s="3">
        <v>72.03</v>
      </c>
      <c r="F413" s="3">
        <v>28.67</v>
      </c>
      <c r="G413" s="21">
        <v>827.2</v>
      </c>
      <c r="H413" s="3">
        <v>9.6519999999999992</v>
      </c>
      <c r="I413" s="13">
        <f t="shared" si="7"/>
        <v>2.5123822811301002</v>
      </c>
    </row>
    <row r="414" spans="2:9">
      <c r="C414" s="20">
        <v>3.78</v>
      </c>
      <c r="D414" s="21">
        <v>222.4</v>
      </c>
      <c r="E414" s="3">
        <v>73.77</v>
      </c>
      <c r="F414" s="3">
        <v>29.22</v>
      </c>
      <c r="G414" s="21">
        <v>821.9</v>
      </c>
      <c r="H414" s="3">
        <v>8.6519999999999992</v>
      </c>
      <c r="I414" s="13">
        <f t="shared" si="7"/>
        <v>2.5246406570841899</v>
      </c>
    </row>
    <row r="415" spans="2:9">
      <c r="C415" s="20">
        <v>3.7519999999999998</v>
      </c>
      <c r="D415" s="21">
        <v>208.3</v>
      </c>
      <c r="E415" s="3">
        <v>73.66</v>
      </c>
      <c r="F415" s="3">
        <v>28.94</v>
      </c>
      <c r="G415" s="21">
        <v>816.2</v>
      </c>
      <c r="H415" s="3">
        <v>8.8719999999999999</v>
      </c>
      <c r="I415" s="13">
        <f t="shared" si="7"/>
        <v>2.5452660677263301</v>
      </c>
    </row>
    <row r="416" spans="2:9">
      <c r="C416" s="20">
        <v>3.24</v>
      </c>
      <c r="D416" s="21">
        <v>216.2</v>
      </c>
      <c r="E416" s="3">
        <v>73.849999999999994</v>
      </c>
      <c r="F416" s="3">
        <v>29.63</v>
      </c>
      <c r="G416" s="21">
        <v>811.5</v>
      </c>
      <c r="H416" s="3">
        <v>9.532</v>
      </c>
      <c r="I416" s="13">
        <f t="shared" si="7"/>
        <v>2.4924063449206901</v>
      </c>
    </row>
    <row r="417" spans="2:9">
      <c r="C417" s="20">
        <v>3.7930000000000001</v>
      </c>
      <c r="D417" s="21">
        <v>240.2</v>
      </c>
      <c r="E417" s="3">
        <v>72.38</v>
      </c>
      <c r="F417" s="3">
        <v>28.31</v>
      </c>
      <c r="G417" s="21">
        <v>804.7</v>
      </c>
      <c r="H417" s="3">
        <v>7.6669999999999998</v>
      </c>
      <c r="I417" s="13">
        <f t="shared" si="7"/>
        <v>2.5566937477923002</v>
      </c>
    </row>
    <row r="418" spans="2:9">
      <c r="C418" s="20">
        <v>3.573</v>
      </c>
      <c r="D418" s="21">
        <v>188.1</v>
      </c>
      <c r="E418" s="3">
        <v>72.5</v>
      </c>
      <c r="F418" s="3">
        <v>29.5</v>
      </c>
      <c r="G418" s="21">
        <v>805.4</v>
      </c>
      <c r="H418" s="3">
        <v>8.91</v>
      </c>
      <c r="I418" s="13">
        <f t="shared" si="7"/>
        <v>2.4576271186440701</v>
      </c>
    </row>
    <row r="419" spans="2:9">
      <c r="C419" s="20">
        <v>3.7589999999999999</v>
      </c>
      <c r="D419" s="21">
        <v>168.9</v>
      </c>
      <c r="E419" s="3">
        <v>72.94</v>
      </c>
      <c r="F419" s="3">
        <v>29.15</v>
      </c>
      <c r="G419" s="21">
        <v>801.9</v>
      </c>
      <c r="H419" s="3">
        <v>7.9820000000000002</v>
      </c>
      <c r="I419" s="13">
        <f t="shared" si="7"/>
        <v>2.5022298456260699</v>
      </c>
    </row>
    <row r="420" spans="2:9">
      <c r="C420" s="20">
        <v>3.4260000000000002</v>
      </c>
      <c r="D420" s="21">
        <v>155.4</v>
      </c>
      <c r="E420" s="3">
        <v>72.650000000000006</v>
      </c>
      <c r="F420" s="3">
        <v>28.58</v>
      </c>
      <c r="G420" s="21">
        <v>795.4</v>
      </c>
      <c r="H420" s="3">
        <v>9.3710000000000004</v>
      </c>
      <c r="I420" s="13">
        <f t="shared" si="7"/>
        <v>2.5419874037788701</v>
      </c>
    </row>
    <row r="421" spans="2:9">
      <c r="C421" s="20">
        <v>3.8010000000000002</v>
      </c>
      <c r="D421" s="21">
        <v>158</v>
      </c>
      <c r="E421" s="3">
        <v>72.89</v>
      </c>
      <c r="F421" s="3">
        <v>29.39</v>
      </c>
      <c r="G421" s="21">
        <v>807</v>
      </c>
      <c r="H421" s="3">
        <v>7.1920000000000002</v>
      </c>
      <c r="I421" s="13">
        <f t="shared" si="7"/>
        <v>2.4800952705001702</v>
      </c>
    </row>
    <row r="422" spans="2:9">
      <c r="B422" s="16">
        <v>22</v>
      </c>
      <c r="C422" s="17">
        <v>2.3410000000000002</v>
      </c>
      <c r="D422" s="29">
        <v>162.6</v>
      </c>
      <c r="E422" s="18">
        <v>86.18</v>
      </c>
      <c r="F422" s="18">
        <v>24.34</v>
      </c>
      <c r="G422" s="19">
        <v>579.29999999999995</v>
      </c>
      <c r="H422" s="18">
        <v>8.2330000000000005</v>
      </c>
      <c r="I422" s="13">
        <f t="shared" si="7"/>
        <v>3.5406737880032901</v>
      </c>
    </row>
    <row r="423" spans="2:9">
      <c r="C423" s="20">
        <v>2.2850000000000001</v>
      </c>
      <c r="D423" s="21">
        <v>157.6</v>
      </c>
      <c r="E423" s="3">
        <v>85.08</v>
      </c>
      <c r="F423" s="3">
        <v>24.08</v>
      </c>
      <c r="G423" s="21">
        <v>576.5</v>
      </c>
      <c r="H423" s="3">
        <v>8.8249999999999993</v>
      </c>
      <c r="I423" s="13">
        <f t="shared" si="7"/>
        <v>3.5332225913621298</v>
      </c>
    </row>
    <row r="424" spans="2:9">
      <c r="C424" s="20">
        <v>2.09</v>
      </c>
      <c r="D424" s="21">
        <v>166</v>
      </c>
      <c r="E424" s="3">
        <v>86.56</v>
      </c>
      <c r="F424" s="3">
        <v>25.77</v>
      </c>
      <c r="G424" s="21">
        <v>577.9</v>
      </c>
      <c r="H424" s="3">
        <v>8.8940000000000001</v>
      </c>
      <c r="I424" s="13">
        <f t="shared" si="7"/>
        <v>3.3589445091191301</v>
      </c>
    </row>
    <row r="425" spans="2:9">
      <c r="C425" s="20">
        <v>2.38</v>
      </c>
      <c r="D425" s="21">
        <v>167.9</v>
      </c>
      <c r="E425" s="3">
        <v>85.23</v>
      </c>
      <c r="F425" s="3">
        <v>24.59</v>
      </c>
      <c r="G425" s="21">
        <v>574.29999999999995</v>
      </c>
      <c r="H425" s="3">
        <v>9.0920000000000005</v>
      </c>
      <c r="I425" s="13">
        <f t="shared" si="7"/>
        <v>3.46604310695405</v>
      </c>
    </row>
    <row r="426" spans="2:9">
      <c r="C426" s="20">
        <v>2.3660000000000001</v>
      </c>
      <c r="D426" s="21">
        <v>191.9</v>
      </c>
      <c r="E426" s="3">
        <v>86.11</v>
      </c>
      <c r="F426" s="3">
        <v>24.12</v>
      </c>
      <c r="G426" s="21">
        <v>570.4</v>
      </c>
      <c r="H426" s="3">
        <v>9.5969999999999995</v>
      </c>
      <c r="I426" s="13">
        <f t="shared" si="7"/>
        <v>3.5700663349917101</v>
      </c>
    </row>
    <row r="427" spans="2:9">
      <c r="C427" s="20">
        <v>2.395</v>
      </c>
      <c r="D427" s="21">
        <v>207.4</v>
      </c>
      <c r="E427" s="3">
        <v>85.89</v>
      </c>
      <c r="F427" s="3">
        <v>24.71</v>
      </c>
      <c r="G427" s="21">
        <v>574.5</v>
      </c>
      <c r="H427" s="3">
        <v>8.1959999999999997</v>
      </c>
      <c r="I427" s="13">
        <f t="shared" si="7"/>
        <v>3.47592067988669</v>
      </c>
    </row>
    <row r="428" spans="2:9">
      <c r="C428" s="20">
        <v>2.431</v>
      </c>
      <c r="D428" s="21">
        <v>191.9</v>
      </c>
      <c r="E428" s="3">
        <v>86.77</v>
      </c>
      <c r="F428" s="3">
        <v>25.39</v>
      </c>
      <c r="G428" s="21">
        <v>574.20000000000005</v>
      </c>
      <c r="H428" s="3">
        <v>9.5589999999999993</v>
      </c>
      <c r="I428" s="13">
        <f t="shared" si="7"/>
        <v>3.4174871996849201</v>
      </c>
    </row>
    <row r="429" spans="2:9">
      <c r="C429" s="20">
        <v>2.4079999999999999</v>
      </c>
      <c r="D429" s="21">
        <v>187</v>
      </c>
      <c r="E429" s="3">
        <v>85.45</v>
      </c>
      <c r="F429" s="3">
        <v>24.93</v>
      </c>
      <c r="G429" s="21">
        <v>577.20000000000005</v>
      </c>
      <c r="H429" s="3">
        <v>8.5299999999999994</v>
      </c>
      <c r="I429" s="13">
        <f t="shared" si="7"/>
        <v>3.42759727236262</v>
      </c>
    </row>
    <row r="430" spans="2:9">
      <c r="C430" s="20">
        <v>2.3319999999999999</v>
      </c>
      <c r="D430" s="21">
        <v>199.6</v>
      </c>
      <c r="E430" s="3">
        <v>86.33</v>
      </c>
      <c r="F430" s="3">
        <v>24.85</v>
      </c>
      <c r="G430" s="21">
        <v>581</v>
      </c>
      <c r="H430" s="3">
        <v>8.0969999999999995</v>
      </c>
      <c r="I430" s="13">
        <f t="shared" si="7"/>
        <v>3.4740442655935602</v>
      </c>
    </row>
    <row r="431" spans="2:9">
      <c r="C431" s="20">
        <v>2.3759999999999999</v>
      </c>
      <c r="D431" s="21">
        <v>160.6</v>
      </c>
      <c r="E431" s="3">
        <v>85.98</v>
      </c>
      <c r="F431" s="3">
        <v>25.88</v>
      </c>
      <c r="G431" s="21">
        <v>580.6</v>
      </c>
      <c r="H431" s="3">
        <v>8.76</v>
      </c>
      <c r="I431" s="13">
        <f t="shared" si="7"/>
        <v>3.3222565687789798</v>
      </c>
    </row>
    <row r="432" spans="2:9">
      <c r="C432" s="20">
        <v>2.423</v>
      </c>
      <c r="D432" s="21">
        <v>178</v>
      </c>
      <c r="E432" s="3">
        <v>86.04</v>
      </c>
      <c r="F432" s="3">
        <v>25.91</v>
      </c>
      <c r="G432" s="21">
        <v>575.5</v>
      </c>
      <c r="H432" s="3">
        <v>8.9390000000000001</v>
      </c>
      <c r="I432" s="13">
        <f t="shared" si="7"/>
        <v>3.32072558857584</v>
      </c>
    </row>
    <row r="433" spans="2:9">
      <c r="C433" s="20">
        <v>2.4060000000000001</v>
      </c>
      <c r="D433" s="21">
        <v>222</v>
      </c>
      <c r="E433" s="3">
        <v>85.67</v>
      </c>
      <c r="F433" s="3">
        <v>25.04</v>
      </c>
      <c r="G433" s="21">
        <v>571.70000000000005</v>
      </c>
      <c r="H433" s="3">
        <v>9.6760000000000002</v>
      </c>
      <c r="I433" s="13">
        <f t="shared" si="7"/>
        <v>3.4213258785942502</v>
      </c>
    </row>
    <row r="434" spans="2:9">
      <c r="C434" s="20">
        <v>2.3210000000000002</v>
      </c>
      <c r="D434" s="21">
        <v>187.4</v>
      </c>
      <c r="E434" s="3">
        <v>86.4</v>
      </c>
      <c r="F434" s="3">
        <v>24.66</v>
      </c>
      <c r="G434" s="21">
        <v>569.4</v>
      </c>
      <c r="H434" s="3">
        <v>9.5969999999999995</v>
      </c>
      <c r="I434" s="13">
        <f t="shared" si="7"/>
        <v>3.5036496350365001</v>
      </c>
    </row>
    <row r="435" spans="2:9">
      <c r="C435" s="20">
        <v>2.335</v>
      </c>
      <c r="D435" s="21">
        <v>202.6</v>
      </c>
      <c r="E435" s="3">
        <v>85.59</v>
      </c>
      <c r="F435" s="3">
        <v>25.49</v>
      </c>
      <c r="G435" s="21">
        <v>574</v>
      </c>
      <c r="H435" s="3">
        <v>9.0920000000000005</v>
      </c>
      <c r="I435" s="13">
        <f t="shared" si="7"/>
        <v>3.3577873675951402</v>
      </c>
    </row>
    <row r="436" spans="2:9">
      <c r="C436" s="20">
        <v>2.024</v>
      </c>
      <c r="D436" s="21">
        <v>201.8</v>
      </c>
      <c r="E436" s="3">
        <v>85.87</v>
      </c>
      <c r="F436" s="3">
        <v>25.08</v>
      </c>
      <c r="G436" s="21">
        <v>579</v>
      </c>
      <c r="H436" s="3">
        <v>9.6669999999999998</v>
      </c>
      <c r="I436" s="13">
        <f t="shared" si="7"/>
        <v>3.4238437001594901</v>
      </c>
    </row>
    <row r="437" spans="2:9">
      <c r="C437" s="20">
        <v>2.2829999999999999</v>
      </c>
      <c r="D437" s="21">
        <v>187.4</v>
      </c>
      <c r="E437" s="3">
        <v>85.74</v>
      </c>
      <c r="F437" s="3">
        <v>24.33</v>
      </c>
      <c r="G437" s="21">
        <v>585.29999999999995</v>
      </c>
      <c r="H437" s="3">
        <v>8.9459999999999997</v>
      </c>
      <c r="I437" s="13">
        <f t="shared" si="7"/>
        <v>3.5240443896424201</v>
      </c>
    </row>
    <row r="438" spans="2:9">
      <c r="C438" s="20">
        <v>2.0590000000000002</v>
      </c>
      <c r="D438" s="21">
        <v>174</v>
      </c>
      <c r="E438" s="3">
        <v>86.25</v>
      </c>
      <c r="F438" s="3">
        <v>24.47</v>
      </c>
      <c r="G438" s="21">
        <v>587.79999999999995</v>
      </c>
      <c r="H438" s="3">
        <v>9.1809999999999992</v>
      </c>
      <c r="I438" s="13">
        <f t="shared" si="7"/>
        <v>3.5247241520228898</v>
      </c>
    </row>
    <row r="439" spans="2:9">
      <c r="C439" s="20">
        <v>2.363</v>
      </c>
      <c r="D439" s="21">
        <v>191.9</v>
      </c>
      <c r="E439" s="3">
        <v>86.93</v>
      </c>
      <c r="F439" s="3">
        <v>25.22</v>
      </c>
      <c r="G439" s="21">
        <v>585.29999999999995</v>
      </c>
      <c r="H439" s="3">
        <v>8.9390000000000001</v>
      </c>
      <c r="I439" s="13">
        <f t="shared" si="7"/>
        <v>3.4468675654242702</v>
      </c>
    </row>
    <row r="440" spans="2:9">
      <c r="C440" s="20">
        <v>2.2850000000000001</v>
      </c>
      <c r="D440" s="21">
        <v>200.9</v>
      </c>
      <c r="E440" s="3">
        <v>85.31</v>
      </c>
      <c r="F440" s="3">
        <v>25.63</v>
      </c>
      <c r="G440" s="21">
        <v>585.4</v>
      </c>
      <c r="H440" s="3">
        <v>9.6669999999999998</v>
      </c>
      <c r="I440" s="13">
        <f t="shared" si="7"/>
        <v>3.3285212641435802</v>
      </c>
    </row>
    <row r="441" spans="2:9">
      <c r="C441" s="20">
        <v>2.3380000000000001</v>
      </c>
      <c r="D441" s="21">
        <v>156.69999999999999</v>
      </c>
      <c r="E441" s="3">
        <v>86.82</v>
      </c>
      <c r="F441" s="3">
        <v>24.98</v>
      </c>
      <c r="G441" s="21">
        <v>594.1</v>
      </c>
      <c r="H441" s="3">
        <v>8.76</v>
      </c>
      <c r="I441" s="13">
        <f t="shared" si="7"/>
        <v>3.4755804643714998</v>
      </c>
    </row>
    <row r="442" spans="2:9">
      <c r="B442" s="16">
        <v>23</v>
      </c>
      <c r="C442" s="17">
        <v>2.5630000000000002</v>
      </c>
      <c r="D442" s="29">
        <v>172.7</v>
      </c>
      <c r="E442" s="18">
        <v>96.24</v>
      </c>
      <c r="F442" s="19">
        <v>37.770000000000003</v>
      </c>
      <c r="G442" s="19">
        <v>612.79999999999995</v>
      </c>
      <c r="H442" s="18">
        <v>7.5359999999999996</v>
      </c>
      <c r="I442" s="13">
        <f t="shared" si="7"/>
        <v>2.5480540111199401</v>
      </c>
    </row>
    <row r="443" spans="2:9">
      <c r="C443" s="20">
        <v>2.5609999999999999</v>
      </c>
      <c r="D443" s="21">
        <v>169.4</v>
      </c>
      <c r="E443" s="3">
        <v>97.77</v>
      </c>
      <c r="F443" s="3">
        <v>38.590000000000003</v>
      </c>
      <c r="G443" s="21">
        <v>606.29999999999995</v>
      </c>
      <c r="H443" s="3">
        <v>7.694</v>
      </c>
      <c r="I443" s="13">
        <f t="shared" si="7"/>
        <v>2.5335579165586899</v>
      </c>
    </row>
    <row r="444" spans="2:9">
      <c r="C444" s="20">
        <v>2.5739999999999998</v>
      </c>
      <c r="D444" s="21">
        <v>183.3</v>
      </c>
      <c r="E444" s="3">
        <v>96.26</v>
      </c>
      <c r="F444" s="3">
        <v>38.119999999999997</v>
      </c>
      <c r="G444" s="21">
        <v>602</v>
      </c>
      <c r="H444" s="3">
        <v>7.6680000000000001</v>
      </c>
      <c r="I444" s="13">
        <f t="shared" si="7"/>
        <v>2.5251836306400799</v>
      </c>
    </row>
    <row r="445" spans="2:9">
      <c r="C445" s="20">
        <v>2.4319999999999999</v>
      </c>
      <c r="D445" s="21">
        <v>185.2</v>
      </c>
      <c r="E445" s="3">
        <v>96.15</v>
      </c>
      <c r="F445" s="3">
        <v>37.83</v>
      </c>
      <c r="G445" s="21">
        <v>602.1</v>
      </c>
      <c r="H445" s="3">
        <v>7.0839999999999996</v>
      </c>
      <c r="I445" s="13">
        <f t="shared" si="7"/>
        <v>2.5416336241078499</v>
      </c>
    </row>
    <row r="446" spans="2:9">
      <c r="C446" s="20">
        <v>2.5630000000000002</v>
      </c>
      <c r="D446" s="21">
        <v>169.7</v>
      </c>
      <c r="E446" s="3">
        <v>96.88</v>
      </c>
      <c r="F446" s="3">
        <v>37.450000000000003</v>
      </c>
      <c r="G446" s="21">
        <v>604.79999999999995</v>
      </c>
      <c r="H446" s="3">
        <v>7.5019999999999998</v>
      </c>
      <c r="I446" s="13">
        <f t="shared" si="7"/>
        <v>2.5869158878504699</v>
      </c>
    </row>
    <row r="447" spans="2:9">
      <c r="C447" s="20">
        <v>2.5470000000000002</v>
      </c>
      <c r="D447" s="21">
        <v>175.7</v>
      </c>
      <c r="E447" s="3">
        <v>97.38</v>
      </c>
      <c r="F447" s="3">
        <v>39.25</v>
      </c>
      <c r="G447" s="21">
        <v>602.4</v>
      </c>
      <c r="H447" s="3">
        <v>7.1749999999999998</v>
      </c>
      <c r="I447" s="13">
        <f t="shared" si="7"/>
        <v>2.48101910828025</v>
      </c>
    </row>
    <row r="448" spans="2:9">
      <c r="C448" s="20">
        <v>2.4279999999999999</v>
      </c>
      <c r="D448" s="21">
        <v>175.7</v>
      </c>
      <c r="E448" s="3">
        <v>97.93</v>
      </c>
      <c r="F448" s="3">
        <v>38.89</v>
      </c>
      <c r="G448" s="21">
        <v>606.29999999999995</v>
      </c>
      <c r="H448" s="3">
        <v>7.1829999999999998</v>
      </c>
      <c r="I448" s="13">
        <f t="shared" si="7"/>
        <v>2.5181280534841899</v>
      </c>
    </row>
    <row r="449" spans="2:9">
      <c r="C449" s="20">
        <v>2.1219999999999999</v>
      </c>
      <c r="D449" s="21">
        <v>178.2</v>
      </c>
      <c r="E449" s="3">
        <v>96.94</v>
      </c>
      <c r="F449" s="3">
        <v>37.18</v>
      </c>
      <c r="G449" s="21">
        <v>611.5</v>
      </c>
      <c r="H449" s="3">
        <v>7.343</v>
      </c>
      <c r="I449" s="13">
        <f t="shared" si="7"/>
        <v>2.6073157611619102</v>
      </c>
    </row>
    <row r="450" spans="2:9">
      <c r="C450" s="20">
        <v>2.2490000000000001</v>
      </c>
      <c r="D450" s="21">
        <v>170.2</v>
      </c>
      <c r="E450" s="3">
        <v>96.45</v>
      </c>
      <c r="F450" s="3">
        <v>37.659999999999997</v>
      </c>
      <c r="G450" s="21">
        <v>605.4</v>
      </c>
      <c r="H450" s="3">
        <v>7.4539999999999997</v>
      </c>
      <c r="I450" s="13">
        <f t="shared" si="7"/>
        <v>2.5610727562400402</v>
      </c>
    </row>
    <row r="451" spans="2:9">
      <c r="C451" s="20">
        <v>2.1219999999999999</v>
      </c>
      <c r="D451" s="21">
        <v>168.7</v>
      </c>
      <c r="E451" s="3">
        <v>97.22</v>
      </c>
      <c r="F451" s="3">
        <v>37.270000000000003</v>
      </c>
      <c r="G451" s="21">
        <v>602.9</v>
      </c>
      <c r="H451" s="3">
        <v>7.1989999999999998</v>
      </c>
      <c r="I451" s="13">
        <f t="shared" ref="I451:I514" si="8">E451/F451</f>
        <v>2.6085323316340201</v>
      </c>
    </row>
    <row r="452" spans="2:9">
      <c r="C452" s="20">
        <v>2.5880000000000001</v>
      </c>
      <c r="D452" s="21">
        <v>165.9</v>
      </c>
      <c r="E452" s="3">
        <v>97.11</v>
      </c>
      <c r="F452" s="3">
        <v>38.33</v>
      </c>
      <c r="G452" s="21">
        <v>601.1</v>
      </c>
      <c r="H452" s="3">
        <v>7.0839999999999996</v>
      </c>
      <c r="I452" s="13">
        <f t="shared" si="8"/>
        <v>2.5335246543177701</v>
      </c>
    </row>
    <row r="453" spans="2:9">
      <c r="C453" s="20">
        <v>2.4870000000000001</v>
      </c>
      <c r="D453" s="21">
        <v>173.1</v>
      </c>
      <c r="E453" s="3">
        <v>96.58</v>
      </c>
      <c r="F453" s="3">
        <v>38.07</v>
      </c>
      <c r="G453" s="21">
        <v>606.1</v>
      </c>
      <c r="H453" s="3">
        <v>7.7949999999999999</v>
      </c>
      <c r="I453" s="13">
        <f t="shared" si="8"/>
        <v>2.5369057000262698</v>
      </c>
    </row>
    <row r="454" spans="2:9">
      <c r="C454" s="20">
        <v>2.3159999999999998</v>
      </c>
      <c r="D454" s="21">
        <v>173.4</v>
      </c>
      <c r="E454" s="3">
        <v>96.07</v>
      </c>
      <c r="F454" s="3">
        <v>37.909999999999997</v>
      </c>
      <c r="G454" s="21">
        <v>604.1</v>
      </c>
      <c r="H454" s="3">
        <v>7.4610000000000003</v>
      </c>
      <c r="I454" s="13">
        <f t="shared" si="8"/>
        <v>2.5341598522817201</v>
      </c>
    </row>
    <row r="455" spans="2:9">
      <c r="C455" s="20">
        <v>2.2519999999999998</v>
      </c>
      <c r="D455" s="21">
        <v>175.8</v>
      </c>
      <c r="E455" s="3">
        <v>97.89</v>
      </c>
      <c r="F455" s="3">
        <v>38.409999999999997</v>
      </c>
      <c r="G455" s="21">
        <v>602.1</v>
      </c>
      <c r="H455" s="3">
        <v>7.5780000000000003</v>
      </c>
      <c r="I455" s="13">
        <f t="shared" si="8"/>
        <v>2.5485550637854701</v>
      </c>
    </row>
    <row r="456" spans="2:9">
      <c r="C456" s="20">
        <v>2.5630000000000002</v>
      </c>
      <c r="D456" s="21">
        <v>171.8</v>
      </c>
      <c r="E456" s="3">
        <v>98.62</v>
      </c>
      <c r="F456" s="3">
        <v>38.04</v>
      </c>
      <c r="G456" s="21">
        <v>601.20000000000005</v>
      </c>
      <c r="H456" s="3">
        <v>7.5019999999999998</v>
      </c>
      <c r="I456" s="13">
        <f t="shared" si="8"/>
        <v>2.5925341745531001</v>
      </c>
    </row>
    <row r="457" spans="2:9">
      <c r="C457" s="20">
        <v>2.56</v>
      </c>
      <c r="D457" s="21">
        <v>178.5</v>
      </c>
      <c r="E457" s="3">
        <v>96.33</v>
      </c>
      <c r="F457" s="3">
        <v>37.94</v>
      </c>
      <c r="G457" s="21">
        <v>599.70000000000005</v>
      </c>
      <c r="H457" s="3">
        <v>7.6029999999999998</v>
      </c>
      <c r="I457" s="13">
        <f t="shared" si="8"/>
        <v>2.5390089615181899</v>
      </c>
    </row>
    <row r="458" spans="2:9">
      <c r="C458" s="20">
        <v>2.21</v>
      </c>
      <c r="D458" s="21">
        <v>172.7</v>
      </c>
      <c r="E458" s="3">
        <v>97.66</v>
      </c>
      <c r="F458" s="3">
        <v>39.58</v>
      </c>
      <c r="G458" s="21">
        <v>598.4</v>
      </c>
      <c r="H458" s="3">
        <v>6.8920000000000003</v>
      </c>
      <c r="I458" s="13">
        <f t="shared" si="8"/>
        <v>2.4674077817079301</v>
      </c>
    </row>
    <row r="459" spans="2:9">
      <c r="C459" s="20">
        <v>2.4319999999999999</v>
      </c>
      <c r="D459" s="21">
        <v>178.5</v>
      </c>
      <c r="E459" s="3">
        <v>97.04</v>
      </c>
      <c r="F459" s="3">
        <v>38.659999999999997</v>
      </c>
      <c r="G459" s="21">
        <v>596.5</v>
      </c>
      <c r="H459" s="3">
        <v>6.9409999999999998</v>
      </c>
      <c r="I459" s="13">
        <f t="shared" si="8"/>
        <v>2.5100879461976202</v>
      </c>
    </row>
    <row r="460" spans="2:9">
      <c r="C460" s="20">
        <v>2.17</v>
      </c>
      <c r="D460" s="21">
        <v>177.1</v>
      </c>
      <c r="E460" s="3">
        <v>97.59</v>
      </c>
      <c r="F460" s="3">
        <v>38.729999999999997</v>
      </c>
      <c r="G460" s="21">
        <v>597.1</v>
      </c>
      <c r="H460" s="3">
        <v>6.5149999999999997</v>
      </c>
      <c r="I460" s="13">
        <f t="shared" si="8"/>
        <v>2.5197521301316801</v>
      </c>
    </row>
    <row r="461" spans="2:9">
      <c r="C461" s="20">
        <v>2.4319999999999999</v>
      </c>
      <c r="D461" s="21">
        <v>186</v>
      </c>
      <c r="E461" s="3">
        <v>98.71</v>
      </c>
      <c r="F461" s="3">
        <v>37.39</v>
      </c>
      <c r="G461" s="21">
        <v>597.9</v>
      </c>
      <c r="H461" s="3">
        <v>7.55</v>
      </c>
      <c r="I461" s="13">
        <f t="shared" si="8"/>
        <v>2.6400106980476101</v>
      </c>
    </row>
    <row r="462" spans="2:9">
      <c r="B462" s="16">
        <v>24</v>
      </c>
      <c r="C462" s="17">
        <v>2.7639999999999998</v>
      </c>
      <c r="D462" s="29">
        <v>186.7</v>
      </c>
      <c r="E462" s="19">
        <v>89.42</v>
      </c>
      <c r="F462" s="19">
        <v>39.770000000000003</v>
      </c>
      <c r="G462" s="19">
        <v>626</v>
      </c>
      <c r="H462" s="18">
        <v>6.0720000000000001</v>
      </c>
      <c r="I462" s="13">
        <f t="shared" si="8"/>
        <v>2.2484284636660798</v>
      </c>
    </row>
    <row r="463" spans="2:9">
      <c r="C463" s="20">
        <v>3.0270000000000001</v>
      </c>
      <c r="D463" s="21">
        <v>186.3</v>
      </c>
      <c r="E463" s="3">
        <v>89.36</v>
      </c>
      <c r="F463" s="3">
        <v>38.630000000000003</v>
      </c>
      <c r="G463" s="21">
        <v>620.1</v>
      </c>
      <c r="H463" s="3">
        <v>6.5209999999999999</v>
      </c>
      <c r="I463" s="13">
        <f t="shared" si="8"/>
        <v>2.3132280610924201</v>
      </c>
    </row>
    <row r="464" spans="2:9">
      <c r="C464" s="20">
        <v>2.6749999999999998</v>
      </c>
      <c r="D464" s="21">
        <v>210.5</v>
      </c>
      <c r="E464" s="3">
        <v>88.12</v>
      </c>
      <c r="F464" s="3">
        <v>37.119999999999997</v>
      </c>
      <c r="G464" s="21">
        <v>623.29999999999995</v>
      </c>
      <c r="H464" s="3">
        <v>6.585</v>
      </c>
      <c r="I464" s="13">
        <f t="shared" si="8"/>
        <v>2.3739224137931001</v>
      </c>
    </row>
    <row r="465" spans="3:9">
      <c r="C465" s="20">
        <v>3.0270000000000001</v>
      </c>
      <c r="D465" s="21">
        <v>206.8</v>
      </c>
      <c r="E465" s="3">
        <v>89.04</v>
      </c>
      <c r="F465" s="3">
        <v>38.19</v>
      </c>
      <c r="G465" s="21">
        <v>618.70000000000005</v>
      </c>
      <c r="H465" s="3">
        <v>7.3</v>
      </c>
      <c r="I465" s="13">
        <f t="shared" si="8"/>
        <v>2.33150039277298</v>
      </c>
    </row>
    <row r="466" spans="3:9">
      <c r="C466" s="20">
        <v>2.7810000000000001</v>
      </c>
      <c r="D466" s="21">
        <v>189</v>
      </c>
      <c r="E466" s="3">
        <v>89.33</v>
      </c>
      <c r="F466" s="3">
        <v>38.450000000000003</v>
      </c>
      <c r="G466" s="21">
        <v>621.79999999999995</v>
      </c>
      <c r="H466" s="3">
        <v>7.0279999999999996</v>
      </c>
      <c r="I466" s="13">
        <f t="shared" si="8"/>
        <v>2.3232769830949298</v>
      </c>
    </row>
    <row r="467" spans="3:9">
      <c r="C467" s="20">
        <v>2.931</v>
      </c>
      <c r="D467" s="21">
        <v>206.7</v>
      </c>
      <c r="E467" s="3">
        <v>90.8</v>
      </c>
      <c r="F467" s="3">
        <v>38.5</v>
      </c>
      <c r="G467" s="21">
        <v>623.6</v>
      </c>
      <c r="H467" s="3">
        <v>7.976</v>
      </c>
      <c r="I467" s="13">
        <f t="shared" si="8"/>
        <v>2.3584415584415601</v>
      </c>
    </row>
    <row r="468" spans="3:9">
      <c r="C468" s="20">
        <v>2.5990000000000002</v>
      </c>
      <c r="D468" s="21">
        <v>186</v>
      </c>
      <c r="E468" s="3">
        <v>88.94</v>
      </c>
      <c r="F468" s="3">
        <v>37.89</v>
      </c>
      <c r="G468" s="21">
        <v>625</v>
      </c>
      <c r="H468" s="3">
        <v>8.6549999999999994</v>
      </c>
      <c r="I468" s="13">
        <f t="shared" si="8"/>
        <v>2.34732119292689</v>
      </c>
    </row>
    <row r="469" spans="3:9">
      <c r="C469" s="20">
        <v>3.0270000000000001</v>
      </c>
      <c r="D469" s="21">
        <v>189.9</v>
      </c>
      <c r="E469" s="3">
        <v>88.88</v>
      </c>
      <c r="F469" s="3">
        <v>37.409999999999997</v>
      </c>
      <c r="G469" s="21">
        <v>628.4</v>
      </c>
      <c r="H469" s="3">
        <v>7.3840000000000003</v>
      </c>
      <c r="I469" s="13">
        <f t="shared" si="8"/>
        <v>2.37583533814488</v>
      </c>
    </row>
    <row r="470" spans="3:9">
      <c r="C470" s="20">
        <v>2.7639999999999998</v>
      </c>
      <c r="D470" s="21">
        <v>201.3</v>
      </c>
      <c r="E470" s="3">
        <v>89.58</v>
      </c>
      <c r="F470" s="3">
        <v>38.33</v>
      </c>
      <c r="G470" s="21">
        <v>633.29999999999995</v>
      </c>
      <c r="H470" s="3">
        <v>7.0679999999999996</v>
      </c>
      <c r="I470" s="13">
        <f t="shared" si="8"/>
        <v>2.3370727889381699</v>
      </c>
    </row>
    <row r="471" spans="3:9">
      <c r="C471" s="20">
        <v>2.6309999999999998</v>
      </c>
      <c r="D471" s="21">
        <v>206.8</v>
      </c>
      <c r="E471" s="3">
        <v>89.47</v>
      </c>
      <c r="F471" s="3">
        <v>38.840000000000003</v>
      </c>
      <c r="G471" s="21">
        <v>639.29999999999995</v>
      </c>
      <c r="H471" s="3">
        <v>7.569</v>
      </c>
      <c r="I471" s="13">
        <f t="shared" si="8"/>
        <v>2.3035530381050502</v>
      </c>
    </row>
    <row r="472" spans="3:9">
      <c r="C472" s="20">
        <v>2.6960000000000002</v>
      </c>
      <c r="D472" s="21">
        <v>205.4</v>
      </c>
      <c r="E472" s="3">
        <v>88.46</v>
      </c>
      <c r="F472" s="3">
        <v>37.659999999999997</v>
      </c>
      <c r="G472" s="21">
        <v>645.1</v>
      </c>
      <c r="H472" s="3">
        <v>7.383</v>
      </c>
      <c r="I472" s="13">
        <f t="shared" si="8"/>
        <v>2.3489113117365901</v>
      </c>
    </row>
    <row r="473" spans="3:9">
      <c r="C473" s="20">
        <v>2.7639999999999998</v>
      </c>
      <c r="D473" s="21">
        <v>206.7</v>
      </c>
      <c r="E473" s="3">
        <v>88.21</v>
      </c>
      <c r="F473" s="3">
        <v>39.36</v>
      </c>
      <c r="G473" s="21">
        <v>635.6</v>
      </c>
      <c r="H473" s="3">
        <v>7.5510000000000002</v>
      </c>
      <c r="I473" s="13">
        <f t="shared" si="8"/>
        <v>2.2411077235772399</v>
      </c>
    </row>
    <row r="474" spans="3:9">
      <c r="C474" s="20">
        <v>2.863</v>
      </c>
      <c r="D474" s="21">
        <v>189.2</v>
      </c>
      <c r="E474" s="3">
        <v>89.91</v>
      </c>
      <c r="F474" s="3">
        <v>38.909999999999997</v>
      </c>
      <c r="G474" s="21">
        <v>638.29999999999995</v>
      </c>
      <c r="H474" s="3">
        <v>7.7939999999999996</v>
      </c>
      <c r="I474" s="13">
        <f t="shared" si="8"/>
        <v>2.31071703932151</v>
      </c>
    </row>
    <row r="475" spans="3:9">
      <c r="C475" s="20">
        <v>2.67</v>
      </c>
      <c r="D475" s="21">
        <v>199.1</v>
      </c>
      <c r="E475" s="3">
        <v>89.15</v>
      </c>
      <c r="F475" s="3">
        <v>37.880000000000003</v>
      </c>
      <c r="G475" s="21">
        <v>635.6</v>
      </c>
      <c r="H475" s="3">
        <v>7.5549999999999997</v>
      </c>
      <c r="I475" s="13">
        <f t="shared" si="8"/>
        <v>2.3534846884899698</v>
      </c>
    </row>
    <row r="476" spans="3:9">
      <c r="C476" s="20">
        <v>2.6019999999999999</v>
      </c>
      <c r="D476" s="21">
        <v>212.1</v>
      </c>
      <c r="E476" s="3">
        <v>90.73</v>
      </c>
      <c r="F476" s="3">
        <v>37.04</v>
      </c>
      <c r="G476" s="21">
        <v>629.70000000000005</v>
      </c>
      <c r="H476" s="3">
        <v>7.1</v>
      </c>
      <c r="I476" s="13">
        <f t="shared" si="8"/>
        <v>2.4495140388768899</v>
      </c>
    </row>
    <row r="477" spans="3:9">
      <c r="C477" s="20">
        <v>2.6419999999999999</v>
      </c>
      <c r="D477" s="21">
        <v>186.6</v>
      </c>
      <c r="E477" s="3">
        <v>88.59</v>
      </c>
      <c r="F477" s="3">
        <v>40.07</v>
      </c>
      <c r="G477" s="21">
        <v>623.6</v>
      </c>
      <c r="H477" s="3">
        <v>7.2709999999999999</v>
      </c>
      <c r="I477" s="13">
        <f t="shared" si="8"/>
        <v>2.2108809583229299</v>
      </c>
    </row>
    <row r="478" spans="3:9">
      <c r="C478" s="20">
        <v>2.6320000000000001</v>
      </c>
      <c r="D478" s="21">
        <v>189</v>
      </c>
      <c r="E478" s="3">
        <v>89.25</v>
      </c>
      <c r="F478" s="3">
        <v>38.58</v>
      </c>
      <c r="G478" s="21">
        <v>621.79999999999995</v>
      </c>
      <c r="H478" s="3">
        <v>7.569</v>
      </c>
      <c r="I478" s="13">
        <f t="shared" si="8"/>
        <v>2.3133748055987602</v>
      </c>
    </row>
    <row r="479" spans="3:9">
      <c r="C479" s="20">
        <v>2.6749999999999998</v>
      </c>
      <c r="D479" s="21">
        <v>194.3</v>
      </c>
      <c r="E479" s="3">
        <v>89.63</v>
      </c>
      <c r="F479" s="3">
        <v>37.25</v>
      </c>
      <c r="G479" s="21">
        <v>621.29999999999995</v>
      </c>
      <c r="H479" s="3">
        <v>7.4880000000000004</v>
      </c>
      <c r="I479" s="13">
        <f t="shared" si="8"/>
        <v>2.4061744966442902</v>
      </c>
    </row>
    <row r="480" spans="3:9">
      <c r="C480" s="20">
        <v>2.6680000000000001</v>
      </c>
      <c r="D480" s="21">
        <v>209.4</v>
      </c>
      <c r="E480" s="3">
        <v>90.67</v>
      </c>
      <c r="F480" s="3">
        <v>39.729999999999997</v>
      </c>
      <c r="G480" s="21">
        <v>626.6</v>
      </c>
      <c r="H480" s="3">
        <v>7.2279999999999998</v>
      </c>
      <c r="I480" s="13">
        <f t="shared" si="8"/>
        <v>2.2821545431663699</v>
      </c>
    </row>
    <row r="481" spans="2:9">
      <c r="C481" s="20">
        <v>2.8940000000000001</v>
      </c>
      <c r="D481" s="21">
        <v>229.1</v>
      </c>
      <c r="E481" s="3">
        <v>88.39</v>
      </c>
      <c r="F481" s="3">
        <v>37.979999999999997</v>
      </c>
      <c r="G481" s="21">
        <v>626</v>
      </c>
      <c r="H481" s="3">
        <v>7.91</v>
      </c>
      <c r="I481" s="13">
        <f t="shared" si="8"/>
        <v>2.32727751448131</v>
      </c>
    </row>
    <row r="482" spans="2:9">
      <c r="B482" s="16">
        <v>25</v>
      </c>
      <c r="C482" s="17">
        <v>4.0439999999999996</v>
      </c>
      <c r="D482" s="29">
        <v>147.54</v>
      </c>
      <c r="E482" s="18">
        <v>85.77</v>
      </c>
      <c r="F482" s="19">
        <v>56.77</v>
      </c>
      <c r="G482" s="19">
        <v>627.20000000000005</v>
      </c>
      <c r="H482" s="18">
        <v>8.093</v>
      </c>
      <c r="I482" s="13">
        <f t="shared" si="8"/>
        <v>1.51083318654219</v>
      </c>
    </row>
    <row r="483" spans="2:9">
      <c r="C483" s="20">
        <v>4.04</v>
      </c>
      <c r="D483" s="21">
        <v>155.84</v>
      </c>
      <c r="E483" s="3">
        <v>85.04</v>
      </c>
      <c r="F483" s="3">
        <v>55.12</v>
      </c>
      <c r="G483" s="21">
        <v>633.20000000000005</v>
      </c>
      <c r="H483" s="3">
        <v>8.157</v>
      </c>
      <c r="I483" s="13">
        <f t="shared" si="8"/>
        <v>1.5428156748911499</v>
      </c>
    </row>
    <row r="484" spans="2:9">
      <c r="C484" s="20">
        <v>4.0570000000000004</v>
      </c>
      <c r="D484" s="21">
        <v>166.24</v>
      </c>
      <c r="E484" s="3">
        <v>84.12</v>
      </c>
      <c r="F484" s="3">
        <v>56.39</v>
      </c>
      <c r="G484" s="21">
        <v>633.79999999999995</v>
      </c>
      <c r="H484" s="3">
        <v>8.1059999999999999</v>
      </c>
      <c r="I484" s="13">
        <f t="shared" si="8"/>
        <v>1.49175385706686</v>
      </c>
    </row>
    <row r="485" spans="2:9">
      <c r="C485" s="20">
        <v>4.0620000000000003</v>
      </c>
      <c r="D485" s="21">
        <v>189.3</v>
      </c>
      <c r="E485" s="3">
        <v>84.59</v>
      </c>
      <c r="F485" s="3">
        <v>55.88</v>
      </c>
      <c r="G485" s="21">
        <v>635.79999999999995</v>
      </c>
      <c r="H485" s="3">
        <v>8.0519999999999996</v>
      </c>
      <c r="I485" s="13">
        <f t="shared" si="8"/>
        <v>1.51377952755906</v>
      </c>
    </row>
    <row r="486" spans="2:9">
      <c r="C486" s="20">
        <v>4.0519999999999996</v>
      </c>
      <c r="D486" s="21">
        <v>182.06</v>
      </c>
      <c r="E486" s="3">
        <v>85.33</v>
      </c>
      <c r="F486" s="3">
        <v>56.04</v>
      </c>
      <c r="G486" s="21">
        <v>632.79999999999995</v>
      </c>
      <c r="H486" s="3">
        <v>9.3469999999999995</v>
      </c>
      <c r="I486" s="13">
        <f t="shared" si="8"/>
        <v>1.52266238401142</v>
      </c>
    </row>
    <row r="487" spans="2:9">
      <c r="C487" s="20">
        <v>4.0170000000000003</v>
      </c>
      <c r="D487" s="21">
        <v>182.18</v>
      </c>
      <c r="E487" s="3">
        <v>85.36</v>
      </c>
      <c r="F487" s="3">
        <v>55.63</v>
      </c>
      <c r="G487" s="21">
        <v>633.6</v>
      </c>
      <c r="H487" s="3">
        <v>8.6489999999999991</v>
      </c>
      <c r="I487" s="13">
        <f t="shared" si="8"/>
        <v>1.5344238720115</v>
      </c>
    </row>
    <row r="488" spans="2:9">
      <c r="C488" s="20">
        <v>4.0469999999999997</v>
      </c>
      <c r="D488" s="21">
        <v>176.43</v>
      </c>
      <c r="E488" s="3">
        <v>84.89</v>
      </c>
      <c r="F488" s="3">
        <v>56.91</v>
      </c>
      <c r="G488" s="21">
        <v>633.5</v>
      </c>
      <c r="H488" s="3">
        <v>8.1430000000000007</v>
      </c>
      <c r="I488" s="13">
        <f t="shared" si="8"/>
        <v>1.49165348796345</v>
      </c>
    </row>
    <row r="489" spans="2:9">
      <c r="C489" s="20">
        <v>4.0570000000000004</v>
      </c>
      <c r="D489" s="21">
        <v>172.06</v>
      </c>
      <c r="E489" s="3">
        <v>84.21</v>
      </c>
      <c r="F489" s="3">
        <v>55.45</v>
      </c>
      <c r="G489" s="21">
        <v>634.5</v>
      </c>
      <c r="H489" s="3">
        <v>7.0039999999999996</v>
      </c>
      <c r="I489" s="13">
        <f t="shared" si="8"/>
        <v>1.5186654643823301</v>
      </c>
    </row>
    <row r="490" spans="2:9">
      <c r="C490" s="20">
        <v>4.0529999999999999</v>
      </c>
      <c r="D490" s="21">
        <v>179.04</v>
      </c>
      <c r="E490" s="3">
        <v>85.58</v>
      </c>
      <c r="F490" s="3">
        <v>56.22</v>
      </c>
      <c r="G490" s="21">
        <v>633</v>
      </c>
      <c r="H490" s="3">
        <v>7.7430000000000003</v>
      </c>
      <c r="I490" s="13">
        <f t="shared" si="8"/>
        <v>1.52223408039843</v>
      </c>
    </row>
    <row r="491" spans="2:9">
      <c r="C491" s="20">
        <v>3.9729999999999999</v>
      </c>
      <c r="D491" s="21">
        <v>167.39</v>
      </c>
      <c r="E491" s="3">
        <v>86.8</v>
      </c>
      <c r="F491" s="3">
        <v>55.74</v>
      </c>
      <c r="G491" s="21">
        <v>633.20000000000005</v>
      </c>
      <c r="H491" s="3">
        <v>7.9470000000000001</v>
      </c>
      <c r="I491" s="13">
        <f t="shared" si="8"/>
        <v>1.5572299964119101</v>
      </c>
    </row>
    <row r="492" spans="2:9">
      <c r="C492" s="20">
        <v>3.9740000000000002</v>
      </c>
      <c r="D492" s="21">
        <v>195.1</v>
      </c>
      <c r="E492" s="3">
        <v>84.46</v>
      </c>
      <c r="F492" s="3">
        <v>56.58</v>
      </c>
      <c r="G492" s="21">
        <v>633.5</v>
      </c>
      <c r="H492" s="3">
        <v>7.6840000000000002</v>
      </c>
      <c r="I492" s="13">
        <f t="shared" si="8"/>
        <v>1.49275362318841</v>
      </c>
    </row>
    <row r="493" spans="2:9">
      <c r="C493" s="20">
        <v>4.0350000000000001</v>
      </c>
      <c r="D493" s="21">
        <v>174.49</v>
      </c>
      <c r="E493" s="3">
        <v>85.47</v>
      </c>
      <c r="F493" s="3">
        <v>55.33</v>
      </c>
      <c r="G493" s="21">
        <v>634.29999999999995</v>
      </c>
      <c r="H493" s="3">
        <v>7.89</v>
      </c>
      <c r="I493" s="13">
        <f t="shared" si="8"/>
        <v>1.54473161033797</v>
      </c>
    </row>
    <row r="494" spans="2:9">
      <c r="C494" s="20">
        <v>4.0460000000000003</v>
      </c>
      <c r="D494" s="21">
        <v>167.46</v>
      </c>
      <c r="E494" s="3">
        <v>85.91</v>
      </c>
      <c r="F494" s="3">
        <v>56.15</v>
      </c>
      <c r="G494" s="21">
        <v>634.20000000000005</v>
      </c>
      <c r="H494" s="3">
        <v>7.4539999999999997</v>
      </c>
      <c r="I494" s="13">
        <f t="shared" si="8"/>
        <v>1.5300089047195</v>
      </c>
    </row>
    <row r="495" spans="2:9">
      <c r="C495" s="20">
        <v>4.0439999999999996</v>
      </c>
      <c r="D495" s="21">
        <v>163.44999999999999</v>
      </c>
      <c r="E495" s="3">
        <v>85.15</v>
      </c>
      <c r="F495" s="3">
        <v>55.97</v>
      </c>
      <c r="G495" s="21">
        <v>633.20000000000005</v>
      </c>
      <c r="H495" s="3">
        <v>7.7430000000000003</v>
      </c>
      <c r="I495" s="13">
        <f t="shared" si="8"/>
        <v>1.5213507236019299</v>
      </c>
    </row>
    <row r="496" spans="2:9">
      <c r="C496" s="20">
        <v>3.867</v>
      </c>
      <c r="D496" s="21">
        <v>176.84</v>
      </c>
      <c r="E496" s="3">
        <v>84.73</v>
      </c>
      <c r="F496" s="3">
        <v>56.47</v>
      </c>
      <c r="G496" s="21">
        <v>638.6</v>
      </c>
      <c r="H496" s="3">
        <v>7.8810000000000002</v>
      </c>
      <c r="I496" s="13">
        <f t="shared" si="8"/>
        <v>1.50044271294493</v>
      </c>
    </row>
    <row r="497" spans="2:9">
      <c r="C497" s="20">
        <v>4.0049999999999999</v>
      </c>
      <c r="D497" s="21">
        <v>181.44</v>
      </c>
      <c r="E497" s="3">
        <v>85.63</v>
      </c>
      <c r="F497" s="3">
        <v>55.26</v>
      </c>
      <c r="G497" s="21">
        <v>634.20000000000005</v>
      </c>
      <c r="H497" s="3">
        <v>8.7270000000000003</v>
      </c>
      <c r="I497" s="13">
        <f t="shared" si="8"/>
        <v>1.54958378574014</v>
      </c>
    </row>
    <row r="498" spans="2:9">
      <c r="C498" s="20">
        <v>4.0339999999999998</v>
      </c>
      <c r="D498" s="21">
        <v>174.72</v>
      </c>
      <c r="E498" s="3">
        <v>86.25</v>
      </c>
      <c r="F498" s="3">
        <v>56.84</v>
      </c>
      <c r="G498" s="21">
        <v>633.4</v>
      </c>
      <c r="H498" s="3">
        <v>6.3689999999999998</v>
      </c>
      <c r="I498" s="13">
        <f t="shared" si="8"/>
        <v>1.51741731175229</v>
      </c>
    </row>
    <row r="499" spans="2:9">
      <c r="C499" s="20">
        <v>4.0490000000000004</v>
      </c>
      <c r="D499" s="21">
        <v>197</v>
      </c>
      <c r="E499" s="3">
        <v>84.88</v>
      </c>
      <c r="F499" s="3">
        <v>55.59</v>
      </c>
      <c r="G499" s="21">
        <v>631</v>
      </c>
      <c r="H499" s="3">
        <v>7.6840000000000002</v>
      </c>
      <c r="I499" s="13">
        <f t="shared" si="8"/>
        <v>1.5268933261377899</v>
      </c>
    </row>
    <row r="500" spans="2:9">
      <c r="C500" s="20">
        <v>4.0620000000000003</v>
      </c>
      <c r="D500" s="21">
        <v>195.1</v>
      </c>
      <c r="E500" s="3">
        <v>84.67</v>
      </c>
      <c r="F500" s="3">
        <v>56.3</v>
      </c>
      <c r="G500" s="21">
        <v>629.9</v>
      </c>
      <c r="H500" s="3">
        <v>8.7479999999999993</v>
      </c>
      <c r="I500" s="13">
        <f t="shared" si="8"/>
        <v>1.5039076376554199</v>
      </c>
    </row>
    <row r="501" spans="2:9">
      <c r="C501" s="20">
        <v>4.0209999999999999</v>
      </c>
      <c r="D501" s="21">
        <v>167.39</v>
      </c>
      <c r="E501" s="3">
        <v>86.39</v>
      </c>
      <c r="F501" s="3">
        <v>55.08</v>
      </c>
      <c r="G501" s="21">
        <v>630.1</v>
      </c>
      <c r="H501" s="3">
        <v>8.2569999999999997</v>
      </c>
      <c r="I501" s="13">
        <f t="shared" si="8"/>
        <v>1.5684458968772701</v>
      </c>
    </row>
    <row r="502" spans="2:9">
      <c r="B502" s="16">
        <v>26</v>
      </c>
      <c r="C502" s="24">
        <v>4.1680000000000001</v>
      </c>
      <c r="D502" s="29">
        <v>176.3</v>
      </c>
      <c r="E502" s="25">
        <v>47.98</v>
      </c>
      <c r="F502" s="25">
        <v>30.82</v>
      </c>
      <c r="G502" s="26">
        <v>621.6</v>
      </c>
      <c r="H502" s="25">
        <v>4.2350000000000003</v>
      </c>
      <c r="I502" s="13">
        <f t="shared" si="8"/>
        <v>1.55678131083712</v>
      </c>
    </row>
    <row r="503" spans="2:9">
      <c r="C503" s="20">
        <v>3.867</v>
      </c>
      <c r="D503" s="21">
        <v>219.4</v>
      </c>
      <c r="E503" s="3">
        <v>53.07</v>
      </c>
      <c r="F503" s="3">
        <v>32.83</v>
      </c>
      <c r="G503" s="21">
        <v>624.9</v>
      </c>
      <c r="H503" s="3">
        <v>4.2290000000000001</v>
      </c>
      <c r="I503" s="13">
        <f t="shared" si="8"/>
        <v>1.6165092902832801</v>
      </c>
    </row>
    <row r="504" spans="2:9">
      <c r="C504" s="20">
        <v>3.0710000000000002</v>
      </c>
      <c r="D504" s="21">
        <v>219.8</v>
      </c>
      <c r="E504" s="3">
        <v>53.04</v>
      </c>
      <c r="F504" s="3">
        <v>30.61</v>
      </c>
      <c r="G504" s="21">
        <v>623.5</v>
      </c>
      <c r="H504" s="3">
        <v>4.2060000000000004</v>
      </c>
      <c r="I504" s="13">
        <f t="shared" si="8"/>
        <v>1.7327670695851001</v>
      </c>
    </row>
    <row r="505" spans="2:9">
      <c r="C505" s="20">
        <v>4.0869999999999997</v>
      </c>
      <c r="D505" s="21">
        <v>210.4</v>
      </c>
      <c r="E505" s="3">
        <v>50.01</v>
      </c>
      <c r="F505" s="3">
        <v>28.59</v>
      </c>
      <c r="G505" s="21">
        <v>621.1</v>
      </c>
      <c r="H505" s="3">
        <v>5.3970000000000002</v>
      </c>
      <c r="I505" s="13">
        <f t="shared" si="8"/>
        <v>1.7492130115425</v>
      </c>
    </row>
    <row r="506" spans="2:9">
      <c r="C506" s="20">
        <v>3.4489999999999998</v>
      </c>
      <c r="D506" s="21">
        <v>248.6</v>
      </c>
      <c r="E506" s="3">
        <v>50.99</v>
      </c>
      <c r="F506" s="3">
        <v>33.15</v>
      </c>
      <c r="G506" s="21">
        <v>621.4</v>
      </c>
      <c r="H506" s="3">
        <v>4.9729999999999999</v>
      </c>
      <c r="I506" s="13">
        <f t="shared" si="8"/>
        <v>1.53815987933635</v>
      </c>
    </row>
    <row r="507" spans="2:9">
      <c r="C507" s="20">
        <v>4.6639999999999997</v>
      </c>
      <c r="D507" s="21">
        <v>217.9</v>
      </c>
      <c r="E507" s="3">
        <v>52.11</v>
      </c>
      <c r="F507" s="3">
        <v>30.16</v>
      </c>
      <c r="G507" s="21">
        <v>627.6</v>
      </c>
      <c r="H507" s="3">
        <v>5.5640000000000001</v>
      </c>
      <c r="I507" s="13">
        <f t="shared" si="8"/>
        <v>1.72778514588859</v>
      </c>
    </row>
    <row r="508" spans="2:9">
      <c r="C508" s="20">
        <v>3.9039999999999999</v>
      </c>
      <c r="D508" s="21">
        <v>179.1</v>
      </c>
      <c r="E508" s="3">
        <v>48.81</v>
      </c>
      <c r="F508" s="3">
        <v>30.74</v>
      </c>
      <c r="G508" s="21">
        <v>625.5</v>
      </c>
      <c r="H508" s="3">
        <v>4.173</v>
      </c>
      <c r="I508" s="13">
        <f t="shared" si="8"/>
        <v>1.58783344176968</v>
      </c>
    </row>
    <row r="509" spans="2:9">
      <c r="C509" s="20">
        <v>3.7109999999999999</v>
      </c>
      <c r="D509" s="21">
        <v>186.7</v>
      </c>
      <c r="E509" s="3">
        <v>49.63</v>
      </c>
      <c r="F509" s="3">
        <v>32.11</v>
      </c>
      <c r="G509" s="21">
        <v>627.5</v>
      </c>
      <c r="H509" s="3">
        <v>4.1100000000000003</v>
      </c>
      <c r="I509" s="13">
        <f t="shared" si="8"/>
        <v>1.5456244160697601</v>
      </c>
    </row>
    <row r="510" spans="2:9">
      <c r="C510" s="20">
        <v>4.266</v>
      </c>
      <c r="D510" s="21">
        <v>195.4</v>
      </c>
      <c r="E510" s="3">
        <v>47.51</v>
      </c>
      <c r="F510" s="3">
        <v>31.26</v>
      </c>
      <c r="G510" s="21">
        <v>623.20000000000005</v>
      </c>
      <c r="H510" s="3">
        <v>4.95</v>
      </c>
      <c r="I510" s="13">
        <f t="shared" si="8"/>
        <v>1.51983365323097</v>
      </c>
    </row>
    <row r="511" spans="2:9">
      <c r="C511" s="20">
        <v>3.78</v>
      </c>
      <c r="D511" s="21">
        <v>224.7</v>
      </c>
      <c r="E511" s="3">
        <v>51.24</v>
      </c>
      <c r="F511" s="3">
        <v>30.17</v>
      </c>
      <c r="G511" s="21">
        <v>626.29999999999995</v>
      </c>
      <c r="H511" s="3">
        <v>3.8580000000000001</v>
      </c>
      <c r="I511" s="13">
        <f t="shared" si="8"/>
        <v>1.6983758700696101</v>
      </c>
    </row>
    <row r="512" spans="2:9">
      <c r="C512" s="20">
        <v>4.319</v>
      </c>
      <c r="D512" s="21">
        <v>222.1</v>
      </c>
      <c r="E512" s="3">
        <v>51.66</v>
      </c>
      <c r="F512" s="3">
        <v>29.81</v>
      </c>
      <c r="G512" s="21">
        <v>624.5</v>
      </c>
      <c r="H512" s="3">
        <v>4.4320000000000004</v>
      </c>
      <c r="I512" s="13">
        <f t="shared" si="8"/>
        <v>1.7329755115733001</v>
      </c>
    </row>
    <row r="513" spans="2:9">
      <c r="C513" s="20">
        <v>3.0710000000000002</v>
      </c>
      <c r="D513" s="21">
        <v>233</v>
      </c>
      <c r="E513" s="3">
        <v>49.98</v>
      </c>
      <c r="F513" s="3">
        <v>27.63</v>
      </c>
      <c r="G513" s="21">
        <v>625.5</v>
      </c>
      <c r="H513" s="3">
        <v>5.3220000000000001</v>
      </c>
      <c r="I513" s="13">
        <f t="shared" si="8"/>
        <v>1.80890336590662</v>
      </c>
    </row>
    <row r="514" spans="2:9">
      <c r="C514" s="20">
        <v>3.4750000000000001</v>
      </c>
      <c r="D514" s="21">
        <v>231.3</v>
      </c>
      <c r="E514" s="3">
        <v>50.31</v>
      </c>
      <c r="F514" s="3">
        <v>30.91</v>
      </c>
      <c r="G514" s="21">
        <v>620.9</v>
      </c>
      <c r="H514" s="3">
        <v>4.95</v>
      </c>
      <c r="I514" s="13">
        <f t="shared" si="8"/>
        <v>1.6276285991588499</v>
      </c>
    </row>
    <row r="515" spans="2:9">
      <c r="C515" s="20">
        <v>3.56</v>
      </c>
      <c r="D515" s="21">
        <v>249.7</v>
      </c>
      <c r="E515" s="3">
        <v>51.26</v>
      </c>
      <c r="F515" s="3">
        <v>29.66</v>
      </c>
      <c r="G515" s="21">
        <v>616</v>
      </c>
      <c r="H515" s="3">
        <v>4.5289999999999999</v>
      </c>
      <c r="I515" s="13">
        <f t="shared" ref="I515:I578" si="9">E515/F515</f>
        <v>1.7282535401213801</v>
      </c>
    </row>
    <row r="516" spans="2:9">
      <c r="C516" s="20">
        <v>4.4080000000000004</v>
      </c>
      <c r="D516" s="21">
        <v>241.7</v>
      </c>
      <c r="E516" s="3">
        <v>47.55</v>
      </c>
      <c r="F516" s="3">
        <v>30.01</v>
      </c>
      <c r="G516" s="21">
        <v>619.20000000000005</v>
      </c>
      <c r="H516" s="3">
        <v>5.766</v>
      </c>
      <c r="I516" s="13">
        <f t="shared" si="9"/>
        <v>1.58447184271909</v>
      </c>
    </row>
    <row r="517" spans="2:9">
      <c r="C517" s="20">
        <v>3.6139999999999999</v>
      </c>
      <c r="D517" s="21">
        <v>253.3</v>
      </c>
      <c r="E517" s="3">
        <v>49.63</v>
      </c>
      <c r="F517" s="3">
        <v>31.88</v>
      </c>
      <c r="G517" s="21">
        <v>618.29999999999995</v>
      </c>
      <c r="H517" s="3">
        <v>5.0380000000000003</v>
      </c>
      <c r="I517" s="13">
        <f t="shared" si="9"/>
        <v>1.55677540777917</v>
      </c>
    </row>
    <row r="518" spans="2:9">
      <c r="C518" s="20">
        <v>3.4580000000000002</v>
      </c>
      <c r="D518" s="21">
        <v>234.2</v>
      </c>
      <c r="E518" s="3">
        <v>48.82</v>
      </c>
      <c r="F518" s="3">
        <v>27.68</v>
      </c>
      <c r="G518" s="21">
        <v>615.5</v>
      </c>
      <c r="H518" s="3">
        <v>4.7549999999999999</v>
      </c>
      <c r="I518" s="13">
        <f t="shared" si="9"/>
        <v>1.7637283236994199</v>
      </c>
    </row>
    <row r="519" spans="2:9">
      <c r="C519" s="20">
        <v>3.782</v>
      </c>
      <c r="D519" s="21">
        <v>230</v>
      </c>
      <c r="E519" s="3">
        <v>50.61</v>
      </c>
      <c r="F519" s="3">
        <v>29.31</v>
      </c>
      <c r="G519" s="21">
        <v>614.6</v>
      </c>
      <c r="H519" s="3">
        <v>4.1100000000000003</v>
      </c>
      <c r="I519" s="13">
        <f t="shared" si="9"/>
        <v>1.72671443193449</v>
      </c>
    </row>
    <row r="520" spans="2:9">
      <c r="C520" s="20">
        <v>3.7170000000000001</v>
      </c>
      <c r="D520" s="21">
        <v>197.2</v>
      </c>
      <c r="E520" s="3">
        <v>51.21</v>
      </c>
      <c r="F520" s="3">
        <v>28.66</v>
      </c>
      <c r="G520" s="21">
        <v>616.70000000000005</v>
      </c>
      <c r="H520" s="3">
        <v>5.2839999999999998</v>
      </c>
      <c r="I520" s="13">
        <f t="shared" si="9"/>
        <v>1.78681088625262</v>
      </c>
    </row>
    <row r="521" spans="2:9">
      <c r="C521" s="20">
        <v>3.4580000000000002</v>
      </c>
      <c r="D521" s="21">
        <v>177.2</v>
      </c>
      <c r="E521" s="3">
        <v>53.64</v>
      </c>
      <c r="F521" s="3">
        <v>31.74</v>
      </c>
      <c r="G521" s="21">
        <v>621.4</v>
      </c>
      <c r="H521" s="3">
        <v>4.7539999999999996</v>
      </c>
      <c r="I521" s="13">
        <f t="shared" si="9"/>
        <v>1.6899810964083199</v>
      </c>
    </row>
    <row r="522" spans="2:9">
      <c r="B522" s="16">
        <v>27</v>
      </c>
      <c r="C522" s="24">
        <v>2.11</v>
      </c>
      <c r="D522" s="29">
        <v>192.1</v>
      </c>
      <c r="E522" s="25">
        <v>91.75</v>
      </c>
      <c r="F522" s="25">
        <v>24.08</v>
      </c>
      <c r="G522" s="26">
        <v>568.9</v>
      </c>
      <c r="H522" s="25">
        <v>8.6980000000000004</v>
      </c>
      <c r="I522" s="13">
        <f t="shared" si="9"/>
        <v>3.8102159468438499</v>
      </c>
    </row>
    <row r="523" spans="2:9">
      <c r="C523" s="20">
        <v>2.4849999999999999</v>
      </c>
      <c r="D523" s="21">
        <v>197.5</v>
      </c>
      <c r="E523" s="3">
        <v>98.27</v>
      </c>
      <c r="F523" s="3">
        <v>26.36</v>
      </c>
      <c r="G523" s="21">
        <v>570</v>
      </c>
      <c r="H523" s="3">
        <v>8.0269999999999992</v>
      </c>
      <c r="I523" s="13">
        <f t="shared" si="9"/>
        <v>3.72799696509863</v>
      </c>
    </row>
    <row r="524" spans="2:9">
      <c r="C524" s="20">
        <v>1.859</v>
      </c>
      <c r="D524" s="21">
        <v>206.7</v>
      </c>
      <c r="E524" s="3">
        <v>95.88</v>
      </c>
      <c r="F524" s="3">
        <v>28.54</v>
      </c>
      <c r="G524" s="21">
        <v>563.9</v>
      </c>
      <c r="H524" s="3">
        <v>7.4109999999999996</v>
      </c>
      <c r="I524" s="13">
        <f t="shared" si="9"/>
        <v>3.35949544498949</v>
      </c>
    </row>
    <row r="525" spans="2:9">
      <c r="C525" s="20">
        <v>2.0009999999999999</v>
      </c>
      <c r="D525" s="21">
        <v>218.7</v>
      </c>
      <c r="E525" s="3">
        <v>89.13</v>
      </c>
      <c r="F525" s="3">
        <v>30.41</v>
      </c>
      <c r="G525" s="21">
        <v>562.20000000000005</v>
      </c>
      <c r="H525" s="3">
        <v>7.9980000000000002</v>
      </c>
      <c r="I525" s="13">
        <f t="shared" si="9"/>
        <v>2.9309437684972002</v>
      </c>
    </row>
    <row r="526" spans="2:9">
      <c r="C526" s="20">
        <v>2.1360000000000001</v>
      </c>
      <c r="D526" s="21">
        <v>211.6</v>
      </c>
      <c r="E526" s="3">
        <v>93.21</v>
      </c>
      <c r="F526" s="3">
        <v>20.81</v>
      </c>
      <c r="G526" s="21">
        <v>566</v>
      </c>
      <c r="H526" s="3">
        <v>9.0540000000000003</v>
      </c>
      <c r="I526" s="13">
        <f t="shared" si="9"/>
        <v>4.4790965881787601</v>
      </c>
    </row>
    <row r="527" spans="2:9">
      <c r="C527" s="20">
        <v>2.0840000000000001</v>
      </c>
      <c r="D527" s="21">
        <v>131.4</v>
      </c>
      <c r="E527" s="3">
        <v>93.53</v>
      </c>
      <c r="F527" s="3">
        <v>26.31</v>
      </c>
      <c r="G527" s="21">
        <v>564.70000000000005</v>
      </c>
      <c r="H527" s="3">
        <v>8.1660000000000004</v>
      </c>
      <c r="I527" s="13">
        <f t="shared" si="9"/>
        <v>3.55492208285823</v>
      </c>
    </row>
    <row r="528" spans="2:9">
      <c r="C528" s="20">
        <v>2.4329999999999998</v>
      </c>
      <c r="D528" s="21">
        <v>132.5</v>
      </c>
      <c r="E528" s="3">
        <v>95.06</v>
      </c>
      <c r="F528" s="3">
        <v>27.81</v>
      </c>
      <c r="G528" s="21">
        <v>563.5</v>
      </c>
      <c r="H528" s="3">
        <v>8.7620000000000005</v>
      </c>
      <c r="I528" s="13">
        <f t="shared" si="9"/>
        <v>3.41819489392305</v>
      </c>
    </row>
    <row r="529" spans="2:9">
      <c r="C529" s="20">
        <v>1.974</v>
      </c>
      <c r="D529" s="21">
        <v>122.6</v>
      </c>
      <c r="E529" s="3">
        <v>99.95</v>
      </c>
      <c r="F529" s="3">
        <v>24.45</v>
      </c>
      <c r="G529" s="21">
        <v>560.4</v>
      </c>
      <c r="H529" s="3">
        <v>7.86</v>
      </c>
      <c r="I529" s="13">
        <f t="shared" si="9"/>
        <v>4.0879345603272004</v>
      </c>
    </row>
    <row r="530" spans="2:9">
      <c r="C530" s="20">
        <v>2.19</v>
      </c>
      <c r="D530" s="21">
        <v>121.7</v>
      </c>
      <c r="E530" s="3">
        <v>97.26</v>
      </c>
      <c r="F530" s="3">
        <v>30.94</v>
      </c>
      <c r="G530" s="21">
        <v>561.79999999999995</v>
      </c>
      <c r="H530" s="3">
        <v>8.01</v>
      </c>
      <c r="I530" s="13">
        <f t="shared" si="9"/>
        <v>3.1435035552682602</v>
      </c>
    </row>
    <row r="531" spans="2:9">
      <c r="C531" s="20">
        <v>2.246</v>
      </c>
      <c r="D531" s="21">
        <v>124.1</v>
      </c>
      <c r="E531" s="3">
        <v>92.27</v>
      </c>
      <c r="F531" s="3">
        <v>26.37</v>
      </c>
      <c r="G531" s="21">
        <v>562.5</v>
      </c>
      <c r="H531" s="3">
        <v>9.0459999999999994</v>
      </c>
      <c r="I531" s="13">
        <f t="shared" si="9"/>
        <v>3.49905195297687</v>
      </c>
    </row>
    <row r="532" spans="2:9">
      <c r="C532" s="20">
        <v>1.7569999999999999</v>
      </c>
      <c r="D532" s="21">
        <v>136.9</v>
      </c>
      <c r="E532" s="3">
        <v>90.55</v>
      </c>
      <c r="F532" s="3">
        <v>27.49</v>
      </c>
      <c r="G532" s="21">
        <v>563.9</v>
      </c>
      <c r="H532" s="3">
        <v>9.5120000000000005</v>
      </c>
      <c r="I532" s="13">
        <f t="shared" si="9"/>
        <v>3.2939250636595099</v>
      </c>
    </row>
    <row r="533" spans="2:9">
      <c r="C533" s="20">
        <v>1.944</v>
      </c>
      <c r="D533" s="21">
        <v>155</v>
      </c>
      <c r="E533" s="3">
        <v>91.23</v>
      </c>
      <c r="F533" s="3">
        <v>28.53</v>
      </c>
      <c r="G533" s="21">
        <v>565.79999999999995</v>
      </c>
      <c r="H533" s="3">
        <v>9.968</v>
      </c>
      <c r="I533" s="13">
        <f t="shared" si="9"/>
        <v>3.1976866456361699</v>
      </c>
    </row>
    <row r="534" spans="2:9">
      <c r="C534" s="20">
        <v>1.929</v>
      </c>
      <c r="D534" s="21">
        <v>143.1</v>
      </c>
      <c r="E534" s="3">
        <v>93.35</v>
      </c>
      <c r="F534" s="3">
        <v>25.31</v>
      </c>
      <c r="G534" s="21">
        <v>567.1</v>
      </c>
      <c r="H534" s="3">
        <v>8.016</v>
      </c>
      <c r="I534" s="13">
        <f t="shared" si="9"/>
        <v>3.6882655077044602</v>
      </c>
    </row>
    <row r="535" spans="2:9">
      <c r="C535" s="20">
        <v>2.085</v>
      </c>
      <c r="D535" s="21">
        <v>143</v>
      </c>
      <c r="E535" s="3">
        <v>96.75</v>
      </c>
      <c r="F535" s="3">
        <v>29.66</v>
      </c>
      <c r="G535" s="21">
        <v>568.1</v>
      </c>
      <c r="H535" s="3">
        <v>8.1219999999999999</v>
      </c>
      <c r="I535" s="13">
        <f t="shared" si="9"/>
        <v>3.2619689817936601</v>
      </c>
    </row>
    <row r="536" spans="2:9">
      <c r="C536" s="20">
        <v>1.8660000000000001</v>
      </c>
      <c r="D536" s="21">
        <v>131.4</v>
      </c>
      <c r="E536" s="3">
        <v>92.23</v>
      </c>
      <c r="F536" s="3">
        <v>24.64</v>
      </c>
      <c r="G536" s="21">
        <v>568.70000000000005</v>
      </c>
      <c r="H536" s="3">
        <v>9.907</v>
      </c>
      <c r="I536" s="13">
        <f t="shared" si="9"/>
        <v>3.7431006493506498</v>
      </c>
    </row>
    <row r="537" spans="2:9">
      <c r="C537" s="20">
        <v>2.4649999999999999</v>
      </c>
      <c r="D537" s="21">
        <v>138.69999999999999</v>
      </c>
      <c r="E537" s="3">
        <v>89.71</v>
      </c>
      <c r="F537" s="3">
        <v>28.21</v>
      </c>
      <c r="G537" s="21">
        <v>567.9</v>
      </c>
      <c r="H537" s="3">
        <v>6.9180000000000001</v>
      </c>
      <c r="I537" s="13">
        <f t="shared" si="9"/>
        <v>3.1800779865296001</v>
      </c>
    </row>
    <row r="538" spans="2:9">
      <c r="C538" s="20">
        <v>2.1989999999999998</v>
      </c>
      <c r="D538" s="21">
        <v>149.5</v>
      </c>
      <c r="E538" s="3">
        <v>90.31</v>
      </c>
      <c r="F538" s="3">
        <v>22.99</v>
      </c>
      <c r="G538" s="21">
        <v>568.79999999999995</v>
      </c>
      <c r="H538" s="3">
        <v>9.8010000000000002</v>
      </c>
      <c r="I538" s="13">
        <f t="shared" si="9"/>
        <v>3.9282296650717701</v>
      </c>
    </row>
    <row r="539" spans="2:9">
      <c r="C539" s="20">
        <v>1.7689999999999999</v>
      </c>
      <c r="D539" s="21">
        <v>220.2</v>
      </c>
      <c r="E539" s="3">
        <v>96.21</v>
      </c>
      <c r="F539" s="3">
        <v>21.15</v>
      </c>
      <c r="G539" s="21">
        <v>570.70000000000005</v>
      </c>
      <c r="H539" s="3">
        <v>9.1460000000000008</v>
      </c>
      <c r="I539" s="13">
        <f t="shared" si="9"/>
        <v>4.5489361702127704</v>
      </c>
    </row>
    <row r="540" spans="2:9">
      <c r="C540" s="20">
        <v>2.3940000000000001</v>
      </c>
      <c r="D540" s="21">
        <v>197.5</v>
      </c>
      <c r="E540" s="3">
        <v>95.53</v>
      </c>
      <c r="F540" s="3">
        <v>25.76</v>
      </c>
      <c r="G540" s="21">
        <v>573.20000000000005</v>
      </c>
      <c r="H540" s="3">
        <v>8.2620000000000005</v>
      </c>
      <c r="I540" s="13">
        <f t="shared" si="9"/>
        <v>3.7084627329192501</v>
      </c>
    </row>
    <row r="541" spans="2:9">
      <c r="C541" s="20">
        <v>1.7949999999999999</v>
      </c>
      <c r="D541" s="21">
        <v>192.1</v>
      </c>
      <c r="E541" s="3">
        <v>91.49</v>
      </c>
      <c r="F541" s="3">
        <v>29.31</v>
      </c>
      <c r="G541" s="21">
        <v>570.4</v>
      </c>
      <c r="H541" s="3">
        <v>9.6649999999999991</v>
      </c>
      <c r="I541" s="13">
        <f t="shared" si="9"/>
        <v>3.1214602524735602</v>
      </c>
    </row>
    <row r="542" spans="2:9">
      <c r="B542" s="16">
        <v>28</v>
      </c>
      <c r="C542" s="24">
        <v>1.7689999999999999</v>
      </c>
      <c r="D542" s="29">
        <v>138.4</v>
      </c>
      <c r="E542" s="25">
        <v>107.6</v>
      </c>
      <c r="F542" s="25">
        <v>35</v>
      </c>
      <c r="G542" s="26">
        <v>601</v>
      </c>
      <c r="H542" s="25">
        <v>6.27</v>
      </c>
      <c r="I542" s="13">
        <f t="shared" si="9"/>
        <v>3.0742857142857098</v>
      </c>
    </row>
    <row r="543" spans="2:9">
      <c r="C543" s="20">
        <v>2.2410000000000001</v>
      </c>
      <c r="D543" s="21">
        <v>140.1</v>
      </c>
      <c r="E543" s="3">
        <v>104.3</v>
      </c>
      <c r="F543" s="3">
        <v>20.52</v>
      </c>
      <c r="G543" s="21">
        <v>604.20000000000005</v>
      </c>
      <c r="H543" s="3">
        <v>6.6449999999999996</v>
      </c>
      <c r="I543" s="13">
        <f t="shared" si="9"/>
        <v>5.0828460038986396</v>
      </c>
    </row>
    <row r="544" spans="2:9">
      <c r="C544" s="20">
        <v>2.1709999999999998</v>
      </c>
      <c r="D544" s="21">
        <v>141.1</v>
      </c>
      <c r="E544" s="3">
        <v>107.2</v>
      </c>
      <c r="F544" s="3">
        <v>29.96</v>
      </c>
      <c r="G544" s="21">
        <v>606.4</v>
      </c>
      <c r="H544" s="3">
        <v>8.2189999999999994</v>
      </c>
      <c r="I544" s="13">
        <f t="shared" si="9"/>
        <v>3.5781041388518</v>
      </c>
    </row>
    <row r="545" spans="3:9">
      <c r="C545" s="20">
        <v>1.952</v>
      </c>
      <c r="D545" s="21">
        <v>146</v>
      </c>
      <c r="E545" s="3">
        <v>107</v>
      </c>
      <c r="F545" s="3">
        <v>31.13</v>
      </c>
      <c r="G545" s="21">
        <v>608.4</v>
      </c>
      <c r="H545" s="3">
        <v>8.6389999999999993</v>
      </c>
      <c r="I545" s="13">
        <f t="shared" si="9"/>
        <v>3.43719884355927</v>
      </c>
    </row>
    <row r="546" spans="3:9">
      <c r="C546" s="20">
        <v>2.282</v>
      </c>
      <c r="D546" s="21">
        <v>142.30000000000001</v>
      </c>
      <c r="E546" s="3">
        <v>104.2</v>
      </c>
      <c r="F546" s="3">
        <v>24.42</v>
      </c>
      <c r="G546" s="21">
        <v>602.4</v>
      </c>
      <c r="H546" s="3">
        <v>6.9020000000000001</v>
      </c>
      <c r="I546" s="13">
        <f t="shared" si="9"/>
        <v>4.2669942669942698</v>
      </c>
    </row>
    <row r="547" spans="3:9">
      <c r="C547" s="20">
        <v>1.9610000000000001</v>
      </c>
      <c r="D547" s="21">
        <v>141</v>
      </c>
      <c r="E547" s="3">
        <v>113.2</v>
      </c>
      <c r="F547" s="3">
        <v>34</v>
      </c>
      <c r="G547" s="21">
        <v>599.6</v>
      </c>
      <c r="H547" s="3">
        <v>7.6710000000000003</v>
      </c>
      <c r="I547" s="13">
        <f t="shared" si="9"/>
        <v>3.3294117647058799</v>
      </c>
    </row>
    <row r="548" spans="3:9">
      <c r="C548" s="20">
        <v>1.978</v>
      </c>
      <c r="D548" s="21">
        <v>139.4</v>
      </c>
      <c r="E548" s="3">
        <v>108</v>
      </c>
      <c r="F548" s="3">
        <v>32.1</v>
      </c>
      <c r="G548" s="21">
        <v>602.5</v>
      </c>
      <c r="H548" s="3">
        <v>7.742</v>
      </c>
      <c r="I548" s="13">
        <f t="shared" si="9"/>
        <v>3.3644859813084098</v>
      </c>
    </row>
    <row r="549" spans="3:9">
      <c r="C549" s="20">
        <v>2.0529999999999999</v>
      </c>
      <c r="D549" s="21">
        <v>142.9</v>
      </c>
      <c r="E549" s="3">
        <v>106.6</v>
      </c>
      <c r="F549" s="3">
        <v>27.8</v>
      </c>
      <c r="G549" s="21">
        <v>608.9</v>
      </c>
      <c r="H549" s="3">
        <v>7.2560000000000002</v>
      </c>
      <c r="I549" s="13">
        <f t="shared" si="9"/>
        <v>3.83453237410072</v>
      </c>
    </row>
    <row r="550" spans="3:9">
      <c r="C550" s="20">
        <v>2.1909999999999998</v>
      </c>
      <c r="D550" s="21">
        <v>142.30000000000001</v>
      </c>
      <c r="E550" s="3">
        <v>103.2</v>
      </c>
      <c r="F550" s="3">
        <v>29.3</v>
      </c>
      <c r="G550" s="21">
        <v>609.70000000000005</v>
      </c>
      <c r="H550" s="3">
        <v>8.2509999999999994</v>
      </c>
      <c r="I550" s="13">
        <f t="shared" si="9"/>
        <v>3.5221843003413</v>
      </c>
    </row>
    <row r="551" spans="3:9">
      <c r="C551" s="20">
        <v>1.8959999999999999</v>
      </c>
      <c r="D551" s="21">
        <v>146.80000000000001</v>
      </c>
      <c r="E551" s="3">
        <v>110.4</v>
      </c>
      <c r="F551" s="3">
        <v>24.6</v>
      </c>
      <c r="G551" s="21">
        <v>605.70000000000005</v>
      </c>
      <c r="H551" s="3">
        <v>6.5510000000000002</v>
      </c>
      <c r="I551" s="13">
        <f t="shared" si="9"/>
        <v>4.48780487804878</v>
      </c>
    </row>
    <row r="552" spans="3:9">
      <c r="C552" s="20">
        <v>2.14</v>
      </c>
      <c r="D552" s="21">
        <v>149.6</v>
      </c>
      <c r="E552" s="3">
        <v>108.9</v>
      </c>
      <c r="F552" s="3">
        <v>23.1</v>
      </c>
      <c r="G552" s="21">
        <v>610.9</v>
      </c>
      <c r="H552" s="3">
        <v>5.7480000000000002</v>
      </c>
      <c r="I552" s="13">
        <f t="shared" si="9"/>
        <v>4.71428571428571</v>
      </c>
    </row>
    <row r="553" spans="3:9">
      <c r="C553" s="20">
        <v>2.1709999999999998</v>
      </c>
      <c r="D553" s="21">
        <v>146.69999999999999</v>
      </c>
      <c r="E553" s="3">
        <v>112.1</v>
      </c>
      <c r="F553" s="3">
        <v>31.1</v>
      </c>
      <c r="G553" s="21">
        <v>612.79999999999995</v>
      </c>
      <c r="H553" s="3">
        <v>8.1329999999999991</v>
      </c>
      <c r="I553" s="13">
        <f t="shared" si="9"/>
        <v>3.6045016077170402</v>
      </c>
    </row>
    <row r="554" spans="3:9">
      <c r="C554" s="20">
        <v>1.909</v>
      </c>
      <c r="D554" s="21">
        <v>147.69999999999999</v>
      </c>
      <c r="E554" s="3">
        <v>107.8</v>
      </c>
      <c r="F554" s="3">
        <v>30</v>
      </c>
      <c r="G554" s="21">
        <v>610.70000000000005</v>
      </c>
      <c r="H554" s="3">
        <v>8.2360000000000007</v>
      </c>
      <c r="I554" s="13">
        <f t="shared" si="9"/>
        <v>3.5933333333333302</v>
      </c>
    </row>
    <row r="555" spans="3:9">
      <c r="C555" s="20">
        <v>1.71</v>
      </c>
      <c r="D555" s="21">
        <v>145.69999999999999</v>
      </c>
      <c r="E555" s="3">
        <v>109.6</v>
      </c>
      <c r="F555" s="3">
        <v>23.2</v>
      </c>
      <c r="G555" s="21">
        <v>602.5</v>
      </c>
      <c r="H555" s="3">
        <v>8.4309999999999992</v>
      </c>
      <c r="I555" s="13">
        <f t="shared" si="9"/>
        <v>4.7241379310344804</v>
      </c>
    </row>
    <row r="556" spans="3:9">
      <c r="C556" s="20">
        <v>1.9590000000000001</v>
      </c>
      <c r="D556" s="21">
        <v>144.30000000000001</v>
      </c>
      <c r="E556" s="3">
        <v>106.9</v>
      </c>
      <c r="F556" s="3">
        <v>29.8</v>
      </c>
      <c r="G556" s="21">
        <v>601.1</v>
      </c>
      <c r="H556" s="3">
        <v>6.5880000000000001</v>
      </c>
      <c r="I556" s="13">
        <f t="shared" si="9"/>
        <v>3.5872483221476501</v>
      </c>
    </row>
    <row r="557" spans="3:9">
      <c r="C557" s="20">
        <v>2.0550000000000002</v>
      </c>
      <c r="D557" s="21">
        <v>139.19999999999999</v>
      </c>
      <c r="E557" s="3">
        <v>105.5</v>
      </c>
      <c r="F557" s="3">
        <v>25.6</v>
      </c>
      <c r="G557" s="21">
        <v>602</v>
      </c>
      <c r="H557" s="3">
        <v>8.3390000000000004</v>
      </c>
      <c r="I557" s="13">
        <f t="shared" si="9"/>
        <v>4.12109375</v>
      </c>
    </row>
    <row r="558" spans="3:9">
      <c r="C558" s="20">
        <v>1.9790000000000001</v>
      </c>
      <c r="D558" s="21">
        <v>138.30000000000001</v>
      </c>
      <c r="E558" s="3">
        <v>110.5</v>
      </c>
      <c r="F558" s="3">
        <v>27.2</v>
      </c>
      <c r="G558" s="21">
        <v>603.20000000000005</v>
      </c>
      <c r="H558" s="3">
        <v>8.5250000000000004</v>
      </c>
      <c r="I558" s="13">
        <f t="shared" si="9"/>
        <v>4.0625</v>
      </c>
    </row>
    <row r="559" spans="3:9">
      <c r="C559" s="20">
        <v>1.9890000000000001</v>
      </c>
      <c r="D559" s="21">
        <v>137.4</v>
      </c>
      <c r="E559" s="3">
        <v>107.2</v>
      </c>
      <c r="F559" s="3">
        <v>29.1</v>
      </c>
      <c r="G559" s="21">
        <v>605.9</v>
      </c>
      <c r="H559" s="3">
        <v>6.8949999999999996</v>
      </c>
      <c r="I559" s="13">
        <f t="shared" si="9"/>
        <v>3.6838487972508598</v>
      </c>
    </row>
    <row r="560" spans="3:9">
      <c r="C560" s="20">
        <v>1.972</v>
      </c>
      <c r="D560" s="21">
        <v>140.30000000000001</v>
      </c>
      <c r="E560" s="3">
        <v>109.2</v>
      </c>
      <c r="F560" s="3">
        <v>28.6</v>
      </c>
      <c r="G560" s="21">
        <v>609.9</v>
      </c>
      <c r="H560" s="3">
        <v>8.0359999999999996</v>
      </c>
      <c r="I560" s="13">
        <f t="shared" si="9"/>
        <v>3.8181818181818201</v>
      </c>
    </row>
    <row r="561" spans="2:9">
      <c r="C561" s="20">
        <v>2.1419999999999999</v>
      </c>
      <c r="D561" s="21">
        <v>152.30000000000001</v>
      </c>
      <c r="E561" s="3">
        <v>109.9</v>
      </c>
      <c r="F561" s="3">
        <v>24.9</v>
      </c>
      <c r="G561" s="21">
        <v>608.6</v>
      </c>
      <c r="H561" s="3">
        <v>7.2190000000000003</v>
      </c>
      <c r="I561" s="13">
        <f t="shared" si="9"/>
        <v>4.4136546184738998</v>
      </c>
    </row>
    <row r="562" spans="2:9">
      <c r="B562" s="16">
        <v>29</v>
      </c>
      <c r="C562" s="24">
        <v>2.411</v>
      </c>
      <c r="D562" s="29">
        <v>250.2</v>
      </c>
      <c r="E562" s="25">
        <v>72.150000000000006</v>
      </c>
      <c r="F562" s="25">
        <v>30.07</v>
      </c>
      <c r="G562" s="16">
        <v>596.4</v>
      </c>
      <c r="H562" s="25">
        <v>7.5720000000000001</v>
      </c>
      <c r="I562" s="13">
        <f t="shared" si="9"/>
        <v>2.3994013967409402</v>
      </c>
    </row>
    <row r="563" spans="2:9">
      <c r="C563" s="20">
        <v>2.2090000000000001</v>
      </c>
      <c r="D563" s="21">
        <v>259.89999999999998</v>
      </c>
      <c r="E563" s="3">
        <v>67.28</v>
      </c>
      <c r="F563" s="3">
        <v>25.43</v>
      </c>
      <c r="G563" s="3">
        <v>592.29999999999995</v>
      </c>
      <c r="H563" s="3">
        <v>8.1750000000000007</v>
      </c>
      <c r="I563" s="13">
        <f t="shared" si="9"/>
        <v>2.6456940621313398</v>
      </c>
    </row>
    <row r="564" spans="2:9">
      <c r="C564" s="20">
        <v>1.7390000000000001</v>
      </c>
      <c r="D564" s="21">
        <v>265</v>
      </c>
      <c r="E564" s="3">
        <v>65.489999999999995</v>
      </c>
      <c r="F564" s="3">
        <v>30.01</v>
      </c>
      <c r="G564" s="3">
        <v>590.20000000000005</v>
      </c>
      <c r="H564" s="3">
        <v>5.75</v>
      </c>
      <c r="I564" s="13">
        <f t="shared" si="9"/>
        <v>2.1822725758080601</v>
      </c>
    </row>
    <row r="565" spans="2:9">
      <c r="C565" s="20">
        <v>1.9890000000000001</v>
      </c>
      <c r="D565" s="21">
        <v>269</v>
      </c>
      <c r="E565" s="3">
        <v>68.12</v>
      </c>
      <c r="F565" s="3">
        <v>28.21</v>
      </c>
      <c r="G565" s="3">
        <v>595.70000000000005</v>
      </c>
      <c r="H565" s="3">
        <v>5.4710000000000001</v>
      </c>
      <c r="I565" s="13">
        <f t="shared" si="9"/>
        <v>2.4147465437787998</v>
      </c>
    </row>
    <row r="566" spans="2:9">
      <c r="C566" s="20">
        <v>1.6739999999999999</v>
      </c>
      <c r="D566" s="21">
        <v>282.2</v>
      </c>
      <c r="E566" s="3">
        <v>71.37</v>
      </c>
      <c r="F566" s="3">
        <v>25.31</v>
      </c>
      <c r="G566" s="3">
        <v>596</v>
      </c>
      <c r="H566" s="3">
        <v>6.2069999999999999</v>
      </c>
      <c r="I566" s="13">
        <f t="shared" si="9"/>
        <v>2.8198340576847101</v>
      </c>
    </row>
    <row r="567" spans="2:9">
      <c r="C567" s="20">
        <v>2.1970000000000001</v>
      </c>
      <c r="D567" s="21">
        <v>273.60000000000002</v>
      </c>
      <c r="E567" s="3">
        <v>69.47</v>
      </c>
      <c r="F567" s="3">
        <v>29.32</v>
      </c>
      <c r="G567" s="3">
        <v>595.70000000000005</v>
      </c>
      <c r="H567" s="3">
        <v>6.4370000000000003</v>
      </c>
      <c r="I567" s="13">
        <f t="shared" si="9"/>
        <v>2.3693724420190998</v>
      </c>
    </row>
    <row r="568" spans="2:9">
      <c r="C568" s="20">
        <v>1.6879999999999999</v>
      </c>
      <c r="D568" s="21">
        <v>261.89999999999998</v>
      </c>
      <c r="E568" s="3">
        <v>71.22</v>
      </c>
      <c r="F568" s="3">
        <v>31.77</v>
      </c>
      <c r="G568" s="3">
        <v>593.20000000000005</v>
      </c>
      <c r="H568" s="3">
        <v>6.9880000000000004</v>
      </c>
      <c r="I568" s="13">
        <f t="shared" si="9"/>
        <v>2.2417374881964101</v>
      </c>
    </row>
    <row r="569" spans="2:9">
      <c r="C569" s="20">
        <v>1.736</v>
      </c>
      <c r="D569" s="21">
        <v>265.7</v>
      </c>
      <c r="E569" s="3">
        <v>67.89</v>
      </c>
      <c r="F569" s="3">
        <v>28.91</v>
      </c>
      <c r="G569" s="3">
        <v>599.9</v>
      </c>
      <c r="H569" s="3">
        <v>8.15</v>
      </c>
      <c r="I569" s="13">
        <f t="shared" si="9"/>
        <v>2.34832237979938</v>
      </c>
    </row>
    <row r="570" spans="2:9">
      <c r="C570" s="20">
        <v>2.0659999999999998</v>
      </c>
      <c r="D570" s="21">
        <v>289.7</v>
      </c>
      <c r="E570" s="3">
        <v>73.56</v>
      </c>
      <c r="F570" s="3">
        <v>30.24</v>
      </c>
      <c r="G570" s="3">
        <v>601.4</v>
      </c>
      <c r="H570" s="3">
        <v>6.34</v>
      </c>
      <c r="I570" s="13">
        <f t="shared" si="9"/>
        <v>2.4325396825396801</v>
      </c>
    </row>
    <row r="571" spans="2:9">
      <c r="C571" s="20">
        <v>1.893</v>
      </c>
      <c r="D571" s="21">
        <v>299.2</v>
      </c>
      <c r="E571" s="3">
        <v>70.12</v>
      </c>
      <c r="F571" s="3">
        <v>27.08</v>
      </c>
      <c r="G571" s="3">
        <v>596</v>
      </c>
      <c r="H571" s="3">
        <v>6.4530000000000003</v>
      </c>
      <c r="I571" s="13">
        <f t="shared" si="9"/>
        <v>2.5893648449039901</v>
      </c>
    </row>
    <row r="572" spans="2:9">
      <c r="C572" s="20">
        <v>1.5920000000000001</v>
      </c>
      <c r="D572" s="21">
        <v>286.2</v>
      </c>
      <c r="E572" s="3">
        <v>65.98</v>
      </c>
      <c r="F572" s="3">
        <v>25.99</v>
      </c>
      <c r="G572" s="3">
        <v>592.29999999999995</v>
      </c>
      <c r="H572" s="3">
        <v>6.8129999999999997</v>
      </c>
      <c r="I572" s="13">
        <f t="shared" si="9"/>
        <v>2.5386687187379802</v>
      </c>
    </row>
    <row r="573" spans="2:9">
      <c r="C573" s="20">
        <v>1.909</v>
      </c>
      <c r="D573" s="21">
        <v>254.2</v>
      </c>
      <c r="E573" s="3">
        <v>75</v>
      </c>
      <c r="F573" s="3">
        <v>32.15</v>
      </c>
      <c r="G573" s="3">
        <v>590.1</v>
      </c>
      <c r="H573" s="3">
        <v>5.0549999999999997</v>
      </c>
      <c r="I573" s="13">
        <f t="shared" si="9"/>
        <v>2.3328149300155498</v>
      </c>
    </row>
    <row r="574" spans="2:9">
      <c r="C574" s="20">
        <v>2.355</v>
      </c>
      <c r="D574" s="21">
        <v>265.8</v>
      </c>
      <c r="E574" s="3">
        <v>69.33</v>
      </c>
      <c r="F574" s="3">
        <v>29.15</v>
      </c>
      <c r="G574" s="3">
        <v>592.79999999999995</v>
      </c>
      <c r="H574" s="3">
        <v>5.968</v>
      </c>
      <c r="I574" s="13">
        <f t="shared" si="9"/>
        <v>2.3783876500857599</v>
      </c>
    </row>
    <row r="575" spans="2:9">
      <c r="C575" s="20">
        <v>1.714</v>
      </c>
      <c r="D575" s="21">
        <v>249.6</v>
      </c>
      <c r="E575" s="3">
        <v>71.8</v>
      </c>
      <c r="F575" s="3">
        <v>31.5</v>
      </c>
      <c r="G575" s="3">
        <v>596</v>
      </c>
      <c r="H575" s="3">
        <v>5.173</v>
      </c>
      <c r="I575" s="13">
        <f t="shared" si="9"/>
        <v>2.2793650793650801</v>
      </c>
    </row>
    <row r="576" spans="2:9">
      <c r="C576" s="20">
        <v>2.427</v>
      </c>
      <c r="D576" s="21">
        <v>252.3</v>
      </c>
      <c r="E576" s="3">
        <v>66.05</v>
      </c>
      <c r="F576" s="3">
        <v>26.75</v>
      </c>
      <c r="G576" s="3">
        <v>600.4</v>
      </c>
      <c r="H576" s="3">
        <v>6.423</v>
      </c>
      <c r="I576" s="13">
        <f t="shared" si="9"/>
        <v>2.4691588785046701</v>
      </c>
    </row>
    <row r="577" spans="2:9">
      <c r="C577" s="20">
        <v>1.522</v>
      </c>
      <c r="D577" s="21">
        <v>241.2</v>
      </c>
      <c r="E577" s="3">
        <v>74.67</v>
      </c>
      <c r="F577" s="3">
        <v>30.67</v>
      </c>
      <c r="G577" s="3">
        <v>593.4</v>
      </c>
      <c r="H577" s="3">
        <v>7.056</v>
      </c>
      <c r="I577" s="13">
        <f t="shared" si="9"/>
        <v>2.4346266710140201</v>
      </c>
    </row>
    <row r="578" spans="2:9">
      <c r="C578" s="20">
        <v>2.5619999999999998</v>
      </c>
      <c r="D578" s="21">
        <v>213</v>
      </c>
      <c r="E578" s="3">
        <v>68.239999999999995</v>
      </c>
      <c r="F578" s="3">
        <v>28.24</v>
      </c>
      <c r="G578" s="3">
        <v>592.29999999999995</v>
      </c>
      <c r="H578" s="3">
        <v>5.2549999999999999</v>
      </c>
      <c r="I578" s="13">
        <f t="shared" si="9"/>
        <v>2.41643059490085</v>
      </c>
    </row>
    <row r="579" spans="2:9">
      <c r="C579" s="20">
        <v>1.905</v>
      </c>
      <c r="D579" s="21">
        <v>208.1</v>
      </c>
      <c r="E579" s="3">
        <v>72.900000000000006</v>
      </c>
      <c r="F579" s="3">
        <v>32.9</v>
      </c>
      <c r="G579" s="3">
        <v>597.79999999999995</v>
      </c>
      <c r="H579" s="3">
        <v>6.0890000000000004</v>
      </c>
      <c r="I579" s="13">
        <f t="shared" ref="I579:I642" si="10">E579/F579</f>
        <v>2.2158054711246198</v>
      </c>
    </row>
    <row r="580" spans="2:9">
      <c r="C580" s="20">
        <v>2.0110000000000001</v>
      </c>
      <c r="D580" s="21">
        <v>281.5</v>
      </c>
      <c r="E580" s="3">
        <v>70.55</v>
      </c>
      <c r="F580" s="3">
        <v>27.55</v>
      </c>
      <c r="G580" s="3">
        <v>599.20000000000005</v>
      </c>
      <c r="H580" s="3">
        <v>5.3460000000000001</v>
      </c>
      <c r="I580" s="13">
        <f t="shared" si="10"/>
        <v>2.56079854809437</v>
      </c>
    </row>
    <row r="581" spans="2:9">
      <c r="C581" s="20">
        <v>2.097</v>
      </c>
      <c r="D581" s="21">
        <v>270.8</v>
      </c>
      <c r="E581" s="3">
        <v>67.41</v>
      </c>
      <c r="F581" s="3">
        <v>26.41</v>
      </c>
      <c r="G581" s="3">
        <v>593.6</v>
      </c>
      <c r="H581" s="3">
        <v>5.9850000000000003</v>
      </c>
      <c r="I581" s="13">
        <f t="shared" si="10"/>
        <v>2.5524422567209402</v>
      </c>
    </row>
    <row r="582" spans="2:9">
      <c r="B582" s="16">
        <v>30</v>
      </c>
      <c r="C582" s="24">
        <v>2.7320000000000002</v>
      </c>
      <c r="D582" s="29">
        <v>164.5</v>
      </c>
      <c r="E582" s="25">
        <v>63.92</v>
      </c>
      <c r="F582" s="25">
        <v>21.84</v>
      </c>
      <c r="G582" s="26">
        <v>722.8</v>
      </c>
      <c r="H582" s="25">
        <v>6.3109999999999999</v>
      </c>
      <c r="I582" s="13">
        <f t="shared" si="10"/>
        <v>2.9267399267399301</v>
      </c>
    </row>
    <row r="583" spans="2:9">
      <c r="C583" s="20">
        <v>2.839</v>
      </c>
      <c r="D583" s="21">
        <v>148.9</v>
      </c>
      <c r="E583" s="3">
        <v>54.08</v>
      </c>
      <c r="F583" s="3">
        <v>24.31</v>
      </c>
      <c r="G583" s="21">
        <v>722</v>
      </c>
      <c r="H583" s="3">
        <v>6.1909999999999998</v>
      </c>
      <c r="I583" s="13">
        <f t="shared" si="10"/>
        <v>2.2245989304812799</v>
      </c>
    </row>
    <row r="584" spans="2:9">
      <c r="C584" s="20">
        <v>2.2650000000000001</v>
      </c>
      <c r="D584" s="21">
        <v>172.9</v>
      </c>
      <c r="E584" s="3">
        <v>60.62</v>
      </c>
      <c r="F584" s="3">
        <v>25.1</v>
      </c>
      <c r="G584" s="21">
        <v>722.6</v>
      </c>
      <c r="H584" s="3">
        <v>6.4530000000000003</v>
      </c>
      <c r="I584" s="13">
        <f t="shared" si="10"/>
        <v>2.4151394422310801</v>
      </c>
    </row>
    <row r="585" spans="2:9">
      <c r="C585" s="20">
        <v>2.9990000000000001</v>
      </c>
      <c r="D585" s="21">
        <v>189.5</v>
      </c>
      <c r="E585" s="3">
        <v>60.82</v>
      </c>
      <c r="F585" s="3">
        <v>22.06</v>
      </c>
      <c r="G585" s="21">
        <v>719.1</v>
      </c>
      <c r="H585" s="3">
        <v>7.1189999999999998</v>
      </c>
      <c r="I585" s="13">
        <f t="shared" si="10"/>
        <v>2.7570262919310999</v>
      </c>
    </row>
    <row r="586" spans="2:9">
      <c r="C586" s="20">
        <v>2.5190000000000001</v>
      </c>
      <c r="D586" s="21">
        <v>167.8</v>
      </c>
      <c r="E586" s="3">
        <v>59.07</v>
      </c>
      <c r="F586" s="3">
        <v>22.16</v>
      </c>
      <c r="G586" s="21">
        <v>722.5</v>
      </c>
      <c r="H586" s="3">
        <v>6.7380000000000004</v>
      </c>
      <c r="I586" s="13">
        <f t="shared" si="10"/>
        <v>2.6656137184115498</v>
      </c>
    </row>
    <row r="587" spans="2:9">
      <c r="C587" s="20">
        <v>2.641</v>
      </c>
      <c r="D587" s="21">
        <v>162.4</v>
      </c>
      <c r="E587" s="3">
        <v>56.34</v>
      </c>
      <c r="F587" s="3">
        <v>23.45</v>
      </c>
      <c r="G587" s="21">
        <v>723.6</v>
      </c>
      <c r="H587" s="3">
        <v>6.1920000000000002</v>
      </c>
      <c r="I587" s="13">
        <f t="shared" si="10"/>
        <v>2.4025586353944601</v>
      </c>
    </row>
    <row r="588" spans="2:9">
      <c r="C588" s="20">
        <v>2.1859999999999999</v>
      </c>
      <c r="D588" s="21">
        <v>176.4</v>
      </c>
      <c r="E588" s="3">
        <v>58.91</v>
      </c>
      <c r="F588" s="3">
        <v>21.78</v>
      </c>
      <c r="G588" s="21">
        <v>726.1</v>
      </c>
      <c r="H588" s="3">
        <v>6.4980000000000002</v>
      </c>
      <c r="I588" s="13">
        <f t="shared" si="10"/>
        <v>2.7047750229568401</v>
      </c>
    </row>
    <row r="589" spans="2:9">
      <c r="C589" s="20">
        <v>2.306</v>
      </c>
      <c r="D589" s="21">
        <v>180.8</v>
      </c>
      <c r="E589" s="3">
        <v>62.15</v>
      </c>
      <c r="F589" s="3">
        <v>25.12</v>
      </c>
      <c r="G589" s="21">
        <v>726.3</v>
      </c>
      <c r="H589" s="3">
        <v>6.226</v>
      </c>
      <c r="I589" s="13">
        <f t="shared" si="10"/>
        <v>2.4741242038216602</v>
      </c>
    </row>
    <row r="590" spans="2:9">
      <c r="C590" s="20">
        <v>2.7349999999999999</v>
      </c>
      <c r="D590" s="21">
        <v>222</v>
      </c>
      <c r="E590" s="3">
        <v>55.87</v>
      </c>
      <c r="F590" s="3">
        <v>20.99</v>
      </c>
      <c r="G590" s="21">
        <v>719.1</v>
      </c>
      <c r="H590" s="3">
        <v>7.01</v>
      </c>
      <c r="I590" s="13">
        <f t="shared" si="10"/>
        <v>2.6617436874702198</v>
      </c>
    </row>
    <row r="591" spans="2:9">
      <c r="C591" s="20">
        <v>2.2330000000000001</v>
      </c>
      <c r="D591" s="21">
        <v>162.4</v>
      </c>
      <c r="E591" s="3">
        <v>64.03</v>
      </c>
      <c r="F591" s="3">
        <v>24.36</v>
      </c>
      <c r="G591" s="21">
        <v>720.6</v>
      </c>
      <c r="H591" s="3">
        <v>6.952</v>
      </c>
      <c r="I591" s="13">
        <f t="shared" si="10"/>
        <v>2.6284893267651901</v>
      </c>
    </row>
    <row r="592" spans="2:9">
      <c r="C592" s="20">
        <v>2.66</v>
      </c>
      <c r="D592" s="21">
        <v>150.30000000000001</v>
      </c>
      <c r="E592" s="3">
        <v>59.42</v>
      </c>
      <c r="F592" s="3">
        <v>22.5</v>
      </c>
      <c r="G592" s="21">
        <v>723.8</v>
      </c>
      <c r="H592" s="3">
        <v>6.4690000000000003</v>
      </c>
      <c r="I592" s="13">
        <f t="shared" si="10"/>
        <v>2.64088888888889</v>
      </c>
    </row>
    <row r="593" spans="2:9">
      <c r="C593" s="20">
        <v>2.5249999999999999</v>
      </c>
      <c r="D593" s="21">
        <v>157.30000000000001</v>
      </c>
      <c r="E593" s="3">
        <v>61.77</v>
      </c>
      <c r="F593" s="3">
        <v>21.64</v>
      </c>
      <c r="G593" s="21">
        <v>723.4</v>
      </c>
      <c r="H593" s="3">
        <v>6.8739999999999997</v>
      </c>
      <c r="I593" s="13">
        <f t="shared" si="10"/>
        <v>2.8544362292051799</v>
      </c>
    </row>
    <row r="594" spans="2:9">
      <c r="C594" s="20">
        <v>2.5419999999999998</v>
      </c>
      <c r="D594" s="21">
        <v>149.6</v>
      </c>
      <c r="E594" s="3">
        <v>57.28</v>
      </c>
      <c r="F594" s="3">
        <v>24.83</v>
      </c>
      <c r="G594" s="21">
        <v>729.4</v>
      </c>
      <c r="H594" s="3">
        <v>7.5140000000000002</v>
      </c>
      <c r="I594" s="13">
        <f t="shared" si="10"/>
        <v>2.30688683044704</v>
      </c>
    </row>
    <row r="595" spans="2:9">
      <c r="C595" s="20">
        <v>3.0009999999999999</v>
      </c>
      <c r="D595" s="21">
        <v>159.30000000000001</v>
      </c>
      <c r="E595" s="3">
        <v>63.55</v>
      </c>
      <c r="F595" s="3">
        <v>21.05</v>
      </c>
      <c r="G595" s="21">
        <v>728.2</v>
      </c>
      <c r="H595" s="3">
        <v>6.391</v>
      </c>
      <c r="I595" s="13">
        <f t="shared" si="10"/>
        <v>3.01900237529691</v>
      </c>
    </row>
    <row r="596" spans="2:9">
      <c r="C596" s="20">
        <v>2.6850000000000001</v>
      </c>
      <c r="D596" s="21">
        <v>164.9</v>
      </c>
      <c r="E596" s="3">
        <v>60.12</v>
      </c>
      <c r="F596" s="3">
        <v>25.67</v>
      </c>
      <c r="G596" s="21">
        <v>730.7</v>
      </c>
      <c r="H596" s="3">
        <v>6.4</v>
      </c>
      <c r="I596" s="13">
        <f t="shared" si="10"/>
        <v>2.3420335021425802</v>
      </c>
    </row>
    <row r="597" spans="2:9">
      <c r="C597" s="20">
        <v>2.5609999999999999</v>
      </c>
      <c r="D597" s="21">
        <v>157.6</v>
      </c>
      <c r="E597" s="3">
        <v>56.45</v>
      </c>
      <c r="F597" s="3">
        <v>22.19</v>
      </c>
      <c r="G597" s="21">
        <v>733</v>
      </c>
      <c r="H597" s="3">
        <v>6.9169999999999998</v>
      </c>
      <c r="I597" s="13">
        <f t="shared" si="10"/>
        <v>2.54393871113114</v>
      </c>
    </row>
    <row r="598" spans="2:9">
      <c r="C598" s="20">
        <v>2.198</v>
      </c>
      <c r="D598" s="21">
        <v>162.4</v>
      </c>
      <c r="E598" s="3">
        <v>59.99</v>
      </c>
      <c r="F598" s="3">
        <v>23.09</v>
      </c>
      <c r="G598" s="21">
        <v>736.5</v>
      </c>
      <c r="H598" s="3">
        <v>6.92</v>
      </c>
      <c r="I598" s="13">
        <f t="shared" si="10"/>
        <v>2.5980944131658701</v>
      </c>
    </row>
    <row r="599" spans="2:9">
      <c r="C599" s="20">
        <v>2.9209999999999998</v>
      </c>
      <c r="D599" s="21">
        <v>179.6</v>
      </c>
      <c r="E599" s="3">
        <v>62.8</v>
      </c>
      <c r="F599" s="3">
        <v>20.329999999999998</v>
      </c>
      <c r="G599" s="21">
        <v>735.8</v>
      </c>
      <c r="H599" s="3">
        <v>6.6079999999999997</v>
      </c>
      <c r="I599" s="13">
        <f t="shared" si="10"/>
        <v>3.08903098868667</v>
      </c>
    </row>
    <row r="600" spans="2:9">
      <c r="C600" s="20">
        <v>2.9340000000000002</v>
      </c>
      <c r="D600" s="21">
        <v>194.9</v>
      </c>
      <c r="E600" s="3">
        <v>58.03</v>
      </c>
      <c r="F600" s="3">
        <v>25.41</v>
      </c>
      <c r="G600" s="21">
        <v>725.9</v>
      </c>
      <c r="H600" s="3">
        <v>6.952</v>
      </c>
      <c r="I600" s="13">
        <f t="shared" si="10"/>
        <v>2.28374655647383</v>
      </c>
    </row>
    <row r="601" spans="2:9">
      <c r="C601" s="20">
        <v>2.9319999999999999</v>
      </c>
      <c r="D601" s="21">
        <v>179.6</v>
      </c>
      <c r="E601" s="3">
        <v>61.11</v>
      </c>
      <c r="F601" s="3">
        <v>24.07</v>
      </c>
      <c r="G601" s="21">
        <v>725</v>
      </c>
      <c r="H601" s="3">
        <v>6.99</v>
      </c>
      <c r="I601" s="13">
        <f t="shared" si="10"/>
        <v>2.53884503531367</v>
      </c>
    </row>
    <row r="602" spans="2:9">
      <c r="B602" s="16">
        <v>31</v>
      </c>
      <c r="C602" s="24">
        <v>2.6709999999999998</v>
      </c>
      <c r="D602" s="29">
        <v>187.8</v>
      </c>
      <c r="E602" s="25">
        <v>69.05</v>
      </c>
      <c r="F602" s="25">
        <v>26.74</v>
      </c>
      <c r="G602" s="26">
        <v>648</v>
      </c>
      <c r="H602" s="25">
        <v>5.827</v>
      </c>
      <c r="I602" s="13">
        <f t="shared" si="10"/>
        <v>2.58227374719521</v>
      </c>
    </row>
    <row r="603" spans="2:9">
      <c r="C603" s="20">
        <v>1.9139999999999999</v>
      </c>
      <c r="D603" s="21">
        <v>185</v>
      </c>
      <c r="E603" s="3">
        <v>56.68</v>
      </c>
      <c r="F603" s="3">
        <v>28.33</v>
      </c>
      <c r="G603" s="21">
        <v>644</v>
      </c>
      <c r="H603" s="3">
        <v>5.3810000000000002</v>
      </c>
      <c r="I603" s="13">
        <f t="shared" si="10"/>
        <v>2.0007059654076902</v>
      </c>
    </row>
    <row r="604" spans="2:9">
      <c r="C604" s="20">
        <v>2.3839999999999999</v>
      </c>
      <c r="D604" s="21">
        <v>192.7</v>
      </c>
      <c r="E604" s="3">
        <v>63.91</v>
      </c>
      <c r="F604" s="3">
        <v>24.99</v>
      </c>
      <c r="G604" s="21">
        <v>644.9</v>
      </c>
      <c r="H604" s="3">
        <v>6.7679999999999998</v>
      </c>
      <c r="I604" s="13">
        <f t="shared" si="10"/>
        <v>2.5574229691876802</v>
      </c>
    </row>
    <row r="605" spans="2:9">
      <c r="C605" s="20">
        <v>2.2989999999999999</v>
      </c>
      <c r="D605" s="21">
        <v>196.3</v>
      </c>
      <c r="E605" s="3">
        <v>58.6</v>
      </c>
      <c r="F605" s="3">
        <v>29.41</v>
      </c>
      <c r="G605" s="21">
        <v>645.4</v>
      </c>
      <c r="H605" s="3">
        <v>6.1639999999999997</v>
      </c>
      <c r="I605" s="13">
        <f t="shared" si="10"/>
        <v>1.99251955117307</v>
      </c>
    </row>
    <row r="606" spans="2:9">
      <c r="C606" s="20">
        <v>2.0529999999999999</v>
      </c>
      <c r="D606" s="21">
        <v>202.4</v>
      </c>
      <c r="E606" s="3">
        <v>67.47</v>
      </c>
      <c r="F606" s="3">
        <v>25.73</v>
      </c>
      <c r="G606" s="21">
        <v>640.70000000000005</v>
      </c>
      <c r="H606" s="3">
        <v>4.6879999999999997</v>
      </c>
      <c r="I606" s="13">
        <f t="shared" si="10"/>
        <v>2.6222308589195502</v>
      </c>
    </row>
    <row r="607" spans="2:9">
      <c r="C607" s="20">
        <v>2.4350000000000001</v>
      </c>
      <c r="D607" s="21">
        <v>208.7</v>
      </c>
      <c r="E607" s="3">
        <v>54.47</v>
      </c>
      <c r="F607" s="3">
        <v>26.85</v>
      </c>
      <c r="G607" s="21">
        <v>643.6</v>
      </c>
      <c r="H607" s="3">
        <v>4.8019999999999996</v>
      </c>
      <c r="I607" s="13">
        <f t="shared" si="10"/>
        <v>2.0286778398510199</v>
      </c>
    </row>
    <row r="608" spans="2:9">
      <c r="C608" s="20">
        <v>2.2160000000000002</v>
      </c>
      <c r="D608" s="21">
        <v>190.9</v>
      </c>
      <c r="E608" s="3">
        <v>63.28</v>
      </c>
      <c r="F608" s="3">
        <v>27.14</v>
      </c>
      <c r="G608" s="21">
        <v>642.70000000000005</v>
      </c>
      <c r="H608" s="3">
        <v>6.4889999999999999</v>
      </c>
      <c r="I608" s="13">
        <f t="shared" si="10"/>
        <v>2.3316138540899001</v>
      </c>
    </row>
    <row r="609" spans="2:9">
      <c r="C609" s="20">
        <v>2.0720000000000001</v>
      </c>
      <c r="D609" s="21">
        <v>189.9</v>
      </c>
      <c r="E609" s="3">
        <v>68.45</v>
      </c>
      <c r="F609" s="3">
        <v>28.99</v>
      </c>
      <c r="G609" s="21">
        <v>649.9</v>
      </c>
      <c r="H609" s="3">
        <v>6.9210000000000003</v>
      </c>
      <c r="I609" s="13">
        <f t="shared" si="10"/>
        <v>2.3611590203518502</v>
      </c>
    </row>
    <row r="610" spans="2:9">
      <c r="C610" s="20">
        <v>2.4350000000000001</v>
      </c>
      <c r="D610" s="21">
        <v>176.1</v>
      </c>
      <c r="E610" s="3">
        <v>57.91</v>
      </c>
      <c r="F610" s="3">
        <v>29.01</v>
      </c>
      <c r="G610" s="21">
        <v>646.20000000000005</v>
      </c>
      <c r="H610" s="3">
        <v>5.165</v>
      </c>
      <c r="I610" s="13">
        <f t="shared" si="10"/>
        <v>1.9962082040675599</v>
      </c>
    </row>
    <row r="611" spans="2:9">
      <c r="C611" s="20">
        <v>2.1320000000000001</v>
      </c>
      <c r="D611" s="21">
        <v>169.8</v>
      </c>
      <c r="E611" s="3">
        <v>64.19</v>
      </c>
      <c r="F611" s="3">
        <v>25.36</v>
      </c>
      <c r="G611" s="21">
        <v>646.6</v>
      </c>
      <c r="H611" s="3">
        <v>6.44</v>
      </c>
      <c r="I611" s="13">
        <f t="shared" si="10"/>
        <v>2.53115141955836</v>
      </c>
    </row>
    <row r="612" spans="2:9">
      <c r="C612" s="20">
        <v>1.8420000000000001</v>
      </c>
      <c r="D612" s="21">
        <v>162.80000000000001</v>
      </c>
      <c r="E612" s="3">
        <v>58.37</v>
      </c>
      <c r="F612" s="3">
        <v>26.42</v>
      </c>
      <c r="G612" s="21">
        <v>645.70000000000005</v>
      </c>
      <c r="H612" s="3">
        <v>5.1950000000000003</v>
      </c>
      <c r="I612" s="13">
        <f t="shared" si="10"/>
        <v>2.2093111279333799</v>
      </c>
    </row>
    <row r="613" spans="2:9">
      <c r="C613" s="20">
        <v>2.8</v>
      </c>
      <c r="D613" s="21">
        <v>162.30000000000001</v>
      </c>
      <c r="E613" s="3">
        <v>67.55</v>
      </c>
      <c r="F613" s="3">
        <v>27.55</v>
      </c>
      <c r="G613" s="21">
        <v>644.79999999999995</v>
      </c>
      <c r="H613" s="3">
        <v>5.9640000000000004</v>
      </c>
      <c r="I613" s="13">
        <f t="shared" si="10"/>
        <v>2.4519056261343</v>
      </c>
    </row>
    <row r="614" spans="2:9">
      <c r="C614" s="20">
        <v>2.3690000000000002</v>
      </c>
      <c r="D614" s="21">
        <v>154.9</v>
      </c>
      <c r="E614" s="3">
        <v>56.12</v>
      </c>
      <c r="F614" s="3">
        <v>28.08</v>
      </c>
      <c r="G614" s="21">
        <v>650.6</v>
      </c>
      <c r="H614" s="3">
        <v>6.9530000000000003</v>
      </c>
      <c r="I614" s="13">
        <f t="shared" si="10"/>
        <v>1.9985754985755</v>
      </c>
    </row>
    <row r="615" spans="2:9">
      <c r="C615" s="20">
        <v>2.2309999999999999</v>
      </c>
      <c r="D615" s="21">
        <v>155.30000000000001</v>
      </c>
      <c r="E615" s="3">
        <v>62.99</v>
      </c>
      <c r="F615" s="3">
        <v>29.77</v>
      </c>
      <c r="G615" s="21">
        <v>648.5</v>
      </c>
      <c r="H615" s="3">
        <v>5.63</v>
      </c>
      <c r="I615" s="13">
        <f t="shared" si="10"/>
        <v>2.1158884783338898</v>
      </c>
    </row>
    <row r="616" spans="2:9">
      <c r="C616" s="20">
        <v>2.1110000000000002</v>
      </c>
      <c r="D616" s="21">
        <v>163.30000000000001</v>
      </c>
      <c r="E616" s="3">
        <v>69.31</v>
      </c>
      <c r="F616" s="3">
        <v>25.9</v>
      </c>
      <c r="G616" s="21">
        <v>652.29999999999995</v>
      </c>
      <c r="H616" s="20">
        <v>6.44</v>
      </c>
      <c r="I616" s="13">
        <f t="shared" si="10"/>
        <v>2.67606177606178</v>
      </c>
    </row>
    <row r="617" spans="2:9">
      <c r="C617" s="20">
        <v>2.044</v>
      </c>
      <c r="D617" s="21">
        <v>171.2</v>
      </c>
      <c r="E617" s="3">
        <v>60.48</v>
      </c>
      <c r="F617" s="3">
        <v>26.19</v>
      </c>
      <c r="G617" s="21">
        <v>649.9</v>
      </c>
      <c r="H617" s="3">
        <v>5.6040000000000001</v>
      </c>
      <c r="I617" s="13">
        <f t="shared" si="10"/>
        <v>2.3092783505154602</v>
      </c>
    </row>
    <row r="618" spans="2:9">
      <c r="C618" s="20">
        <v>2.7690000000000001</v>
      </c>
      <c r="D618" s="21">
        <v>176.1</v>
      </c>
      <c r="E618" s="3">
        <v>65.760000000000005</v>
      </c>
      <c r="F618" s="3">
        <v>27.3</v>
      </c>
      <c r="G618" s="21">
        <v>647.79999999999995</v>
      </c>
      <c r="H618" s="3">
        <v>5.452</v>
      </c>
      <c r="I618" s="13">
        <f t="shared" si="10"/>
        <v>2.40879120879121</v>
      </c>
    </row>
    <row r="619" spans="2:9">
      <c r="C619" s="20">
        <v>2.1789999999999998</v>
      </c>
      <c r="D619" s="21">
        <v>192.3</v>
      </c>
      <c r="E619" s="3">
        <v>55.88</v>
      </c>
      <c r="F619" s="3">
        <v>28.64</v>
      </c>
      <c r="G619" s="21">
        <v>646.1</v>
      </c>
      <c r="H619" s="3">
        <v>6.6159999999999997</v>
      </c>
      <c r="I619" s="13">
        <f t="shared" si="10"/>
        <v>1.95111731843575</v>
      </c>
    </row>
    <row r="620" spans="2:9">
      <c r="C620" s="20">
        <v>2.641</v>
      </c>
      <c r="D620" s="21">
        <v>190.9</v>
      </c>
      <c r="E620" s="3">
        <v>63.07</v>
      </c>
      <c r="F620" s="3">
        <v>29.45</v>
      </c>
      <c r="G620" s="21">
        <v>644.9</v>
      </c>
      <c r="H620" s="3">
        <v>6.83</v>
      </c>
      <c r="I620" s="13">
        <f t="shared" si="10"/>
        <v>2.1415959252971102</v>
      </c>
    </row>
    <row r="621" spans="2:9">
      <c r="C621" s="20">
        <v>2.2549999999999999</v>
      </c>
      <c r="D621" s="21">
        <v>195.4</v>
      </c>
      <c r="E621" s="3">
        <v>68.02</v>
      </c>
      <c r="F621" s="3">
        <v>25.12</v>
      </c>
      <c r="G621" s="21">
        <v>649.5</v>
      </c>
      <c r="H621" s="3">
        <v>6.9139999999999997</v>
      </c>
      <c r="I621" s="13">
        <f t="shared" si="10"/>
        <v>2.7078025477707</v>
      </c>
    </row>
    <row r="622" spans="2:9">
      <c r="B622" s="16">
        <v>32</v>
      </c>
      <c r="C622" s="24">
        <v>2.5350000000000001</v>
      </c>
      <c r="D622" s="29">
        <v>358.9</v>
      </c>
      <c r="E622" s="25">
        <v>89.84</v>
      </c>
      <c r="F622" s="25">
        <v>25.56</v>
      </c>
      <c r="G622" s="26">
        <v>639</v>
      </c>
      <c r="H622" s="25">
        <v>6.4020000000000001</v>
      </c>
      <c r="I622" s="13">
        <f t="shared" si="10"/>
        <v>3.5148669796557099</v>
      </c>
    </row>
    <row r="623" spans="2:9">
      <c r="C623" s="20">
        <v>2.7010000000000001</v>
      </c>
      <c r="D623" s="21">
        <v>345.9</v>
      </c>
      <c r="E623" s="3">
        <v>84.07</v>
      </c>
      <c r="F623" s="3">
        <v>20.83</v>
      </c>
      <c r="G623" s="21">
        <v>632.5</v>
      </c>
      <c r="H623" s="3">
        <v>6.0380000000000003</v>
      </c>
      <c r="I623" s="13">
        <f t="shared" si="10"/>
        <v>4.0360057609217499</v>
      </c>
    </row>
    <row r="624" spans="2:9">
      <c r="C624" s="20">
        <v>2.298</v>
      </c>
      <c r="D624" s="21">
        <v>330.1</v>
      </c>
      <c r="E624" s="3">
        <v>82.22</v>
      </c>
      <c r="F624" s="3">
        <v>24.07</v>
      </c>
      <c r="G624" s="21">
        <v>635.70000000000005</v>
      </c>
      <c r="H624" s="3">
        <v>6.633</v>
      </c>
      <c r="I624" s="13">
        <f t="shared" si="10"/>
        <v>3.4158703780639801</v>
      </c>
    </row>
    <row r="625" spans="3:9">
      <c r="C625" s="20">
        <v>2.597</v>
      </c>
      <c r="D625" s="21">
        <v>328.7</v>
      </c>
      <c r="E625" s="3">
        <v>82.99</v>
      </c>
      <c r="F625" s="3">
        <v>21.68</v>
      </c>
      <c r="G625" s="21">
        <v>639</v>
      </c>
      <c r="H625" s="3">
        <v>6.4939999999999998</v>
      </c>
      <c r="I625" s="13">
        <f t="shared" si="10"/>
        <v>3.82795202952029</v>
      </c>
    </row>
    <row r="626" spans="3:9">
      <c r="C626" s="20">
        <v>2.57</v>
      </c>
      <c r="D626" s="21">
        <v>356.9</v>
      </c>
      <c r="E626" s="3">
        <v>84.52</v>
      </c>
      <c r="F626" s="3">
        <v>22.15</v>
      </c>
      <c r="G626" s="21">
        <v>642.79999999999995</v>
      </c>
      <c r="H626" s="3">
        <v>7.109</v>
      </c>
      <c r="I626" s="13">
        <f t="shared" si="10"/>
        <v>3.8158013544018101</v>
      </c>
    </row>
    <row r="627" spans="3:9">
      <c r="C627" s="20">
        <v>2.23</v>
      </c>
      <c r="D627" s="21">
        <v>379.8</v>
      </c>
      <c r="E627" s="3">
        <v>82.57</v>
      </c>
      <c r="F627" s="3">
        <v>24.83</v>
      </c>
      <c r="G627" s="21">
        <v>646</v>
      </c>
      <c r="H627" s="3">
        <v>7.399</v>
      </c>
      <c r="I627" s="13">
        <f t="shared" si="10"/>
        <v>3.3254128070881999</v>
      </c>
    </row>
    <row r="628" spans="3:9">
      <c r="C628" s="20">
        <v>2.202</v>
      </c>
      <c r="D628" s="21">
        <v>389.9</v>
      </c>
      <c r="E628" s="3">
        <v>83.19</v>
      </c>
      <c r="F628" s="3">
        <v>20.97</v>
      </c>
      <c r="G628" s="21">
        <v>653</v>
      </c>
      <c r="H628" s="3">
        <v>6.3280000000000003</v>
      </c>
      <c r="I628" s="13">
        <f t="shared" si="10"/>
        <v>3.9670958512160199</v>
      </c>
    </row>
    <row r="629" spans="3:9">
      <c r="C629" s="20">
        <v>2.3220000000000001</v>
      </c>
      <c r="D629" s="21">
        <v>379.8</v>
      </c>
      <c r="E629" s="3">
        <v>84.02</v>
      </c>
      <c r="F629" s="3">
        <v>25.34</v>
      </c>
      <c r="G629" s="21">
        <v>668.3</v>
      </c>
      <c r="H629" s="3">
        <v>7.1340000000000003</v>
      </c>
      <c r="I629" s="13">
        <f t="shared" si="10"/>
        <v>3.3157063930544601</v>
      </c>
    </row>
    <row r="630" spans="3:9">
      <c r="C630" s="20">
        <v>2.6360000000000001</v>
      </c>
      <c r="D630" s="21">
        <v>343.5</v>
      </c>
      <c r="E630" s="3">
        <v>85.73</v>
      </c>
      <c r="F630" s="3">
        <v>23.71</v>
      </c>
      <c r="G630" s="21">
        <v>663.7</v>
      </c>
      <c r="H630" s="3">
        <v>7.0650000000000004</v>
      </c>
      <c r="I630" s="13">
        <f t="shared" si="10"/>
        <v>3.6157739350484999</v>
      </c>
    </row>
    <row r="631" spans="3:9">
      <c r="C631" s="20">
        <v>2.1960000000000002</v>
      </c>
      <c r="D631" s="21">
        <v>351.4</v>
      </c>
      <c r="E631" s="3">
        <v>86.45</v>
      </c>
      <c r="F631" s="3">
        <v>21.08</v>
      </c>
      <c r="G631" s="21">
        <v>657.2</v>
      </c>
      <c r="H631" s="3">
        <v>7.97</v>
      </c>
      <c r="I631" s="13">
        <f t="shared" si="10"/>
        <v>4.1010436432637603</v>
      </c>
    </row>
    <row r="632" spans="3:9">
      <c r="C632" s="20">
        <v>2.4860000000000002</v>
      </c>
      <c r="D632" s="21">
        <v>328.7</v>
      </c>
      <c r="E632" s="3">
        <v>87.88</v>
      </c>
      <c r="F632" s="3">
        <v>26</v>
      </c>
      <c r="G632" s="21">
        <v>664.3</v>
      </c>
      <c r="H632" s="3">
        <v>7.2039999999999997</v>
      </c>
      <c r="I632" s="13">
        <f t="shared" si="10"/>
        <v>3.38</v>
      </c>
    </row>
    <row r="633" spans="3:9">
      <c r="C633" s="20">
        <v>2.65</v>
      </c>
      <c r="D633" s="21">
        <v>349.1</v>
      </c>
      <c r="E633" s="3">
        <v>88.11</v>
      </c>
      <c r="F633" s="3">
        <v>20.45</v>
      </c>
      <c r="G633" s="21">
        <v>670.9</v>
      </c>
      <c r="H633" s="3">
        <v>8.1140000000000008</v>
      </c>
      <c r="I633" s="13">
        <f t="shared" si="10"/>
        <v>4.3085574572127099</v>
      </c>
    </row>
    <row r="634" spans="3:9">
      <c r="C634" s="20">
        <v>2.2370000000000001</v>
      </c>
      <c r="D634" s="21">
        <v>362.8</v>
      </c>
      <c r="E634" s="3">
        <v>89.99</v>
      </c>
      <c r="F634" s="3">
        <v>22.89</v>
      </c>
      <c r="G634" s="21">
        <v>663.7</v>
      </c>
      <c r="H634" s="3">
        <v>7.2779999999999996</v>
      </c>
      <c r="I634" s="13">
        <f t="shared" si="10"/>
        <v>3.9314110965487101</v>
      </c>
    </row>
    <row r="635" spans="3:9">
      <c r="C635" s="20">
        <v>1.8859999999999999</v>
      </c>
      <c r="D635" s="21">
        <v>359.9</v>
      </c>
      <c r="E635" s="3">
        <v>90</v>
      </c>
      <c r="F635" s="3">
        <v>24.06</v>
      </c>
      <c r="G635" s="21">
        <v>661.8</v>
      </c>
      <c r="H635" s="3">
        <v>7.3170000000000002</v>
      </c>
      <c r="I635" s="13">
        <f t="shared" si="10"/>
        <v>3.7406483790523701</v>
      </c>
    </row>
    <row r="636" spans="3:9">
      <c r="C636" s="20">
        <v>2.661</v>
      </c>
      <c r="D636" s="21">
        <v>391.3</v>
      </c>
      <c r="E636" s="3">
        <v>82.34</v>
      </c>
      <c r="F636" s="3">
        <v>25.6</v>
      </c>
      <c r="G636" s="21">
        <v>642.6</v>
      </c>
      <c r="H636" s="3">
        <v>6.056</v>
      </c>
      <c r="I636" s="13">
        <f t="shared" si="10"/>
        <v>3.2164062499999999</v>
      </c>
    </row>
    <row r="637" spans="3:9">
      <c r="C637" s="20">
        <v>2.3959999999999999</v>
      </c>
      <c r="D637" s="21">
        <v>367.9</v>
      </c>
      <c r="E637" s="3">
        <v>83.67</v>
      </c>
      <c r="F637" s="3">
        <v>23.12</v>
      </c>
      <c r="G637" s="21">
        <v>636.70000000000005</v>
      </c>
      <c r="H637" s="3">
        <v>8.718</v>
      </c>
      <c r="I637" s="13">
        <f t="shared" si="10"/>
        <v>3.6189446366781999</v>
      </c>
    </row>
    <row r="638" spans="3:9">
      <c r="C638" s="20">
        <v>2.6890000000000001</v>
      </c>
      <c r="D638" s="21">
        <v>378</v>
      </c>
      <c r="E638" s="3">
        <v>84.5</v>
      </c>
      <c r="F638" s="3">
        <v>21.77</v>
      </c>
      <c r="G638" s="21">
        <v>639.79999999999995</v>
      </c>
      <c r="H638" s="3">
        <v>6.7</v>
      </c>
      <c r="I638" s="13">
        <f t="shared" si="10"/>
        <v>3.8814882866329801</v>
      </c>
    </row>
    <row r="639" spans="3:9">
      <c r="C639" s="20">
        <v>2.544</v>
      </c>
      <c r="D639" s="21">
        <v>383.7</v>
      </c>
      <c r="E639" s="3">
        <v>85.06</v>
      </c>
      <c r="F639" s="3">
        <v>20.03</v>
      </c>
      <c r="G639" s="21">
        <v>636.9</v>
      </c>
      <c r="H639" s="3">
        <v>7.1150000000000002</v>
      </c>
      <c r="I639" s="13">
        <f t="shared" si="10"/>
        <v>4.2466300549176204</v>
      </c>
    </row>
    <row r="640" spans="3:9">
      <c r="C640" s="20">
        <v>2.5169999999999999</v>
      </c>
      <c r="D640" s="21">
        <v>367.9</v>
      </c>
      <c r="E640" s="3">
        <v>86.29</v>
      </c>
      <c r="F640" s="3">
        <v>22.5</v>
      </c>
      <c r="G640" s="21">
        <v>638.5</v>
      </c>
      <c r="H640" s="3">
        <v>7.7919999999999998</v>
      </c>
      <c r="I640" s="13">
        <f t="shared" si="10"/>
        <v>3.83511111111111</v>
      </c>
    </row>
    <row r="641" spans="2:9">
      <c r="C641" s="20">
        <v>2.298</v>
      </c>
      <c r="D641" s="21">
        <v>345.9</v>
      </c>
      <c r="E641" s="3">
        <v>87.42</v>
      </c>
      <c r="F641" s="3">
        <v>24.99</v>
      </c>
      <c r="G641" s="21">
        <v>636</v>
      </c>
      <c r="H641" s="3">
        <v>8.2810000000000006</v>
      </c>
      <c r="I641" s="13">
        <f t="shared" si="10"/>
        <v>3.4981992797118799</v>
      </c>
    </row>
    <row r="642" spans="2:9">
      <c r="B642" s="16">
        <v>33</v>
      </c>
      <c r="C642" s="24">
        <v>1.714</v>
      </c>
      <c r="D642" s="29">
        <v>247.1</v>
      </c>
      <c r="E642" s="25">
        <v>83.12</v>
      </c>
      <c r="F642" s="25">
        <v>31.13</v>
      </c>
      <c r="G642" s="26">
        <v>604.29999999999995</v>
      </c>
      <c r="H642" s="25">
        <v>8.109</v>
      </c>
      <c r="I642" s="13">
        <f t="shared" si="10"/>
        <v>2.6700931577256699</v>
      </c>
    </row>
    <row r="643" spans="2:9">
      <c r="C643" s="20">
        <v>1.726</v>
      </c>
      <c r="D643" s="21">
        <v>243.2</v>
      </c>
      <c r="E643" s="3">
        <v>85.75</v>
      </c>
      <c r="F643" s="3">
        <v>28.6</v>
      </c>
      <c r="G643" s="21">
        <v>615.79999999999995</v>
      </c>
      <c r="H643" s="3">
        <v>7.53</v>
      </c>
      <c r="I643" s="13">
        <f t="shared" ref="I643:I706" si="11">E643/F643</f>
        <v>2.9982517482517501</v>
      </c>
    </row>
    <row r="644" spans="2:9">
      <c r="C644" s="20">
        <v>1.8129999999999999</v>
      </c>
      <c r="D644" s="21">
        <v>236.5</v>
      </c>
      <c r="E644" s="3">
        <v>78.25</v>
      </c>
      <c r="F644" s="3">
        <v>25.46</v>
      </c>
      <c r="G644" s="21">
        <v>611.79999999999995</v>
      </c>
      <c r="H644" s="3">
        <v>7.3780000000000001</v>
      </c>
      <c r="I644" s="13">
        <f t="shared" si="11"/>
        <v>3.0734485467399799</v>
      </c>
    </row>
    <row r="645" spans="2:9">
      <c r="C645" s="20">
        <v>1.556</v>
      </c>
      <c r="D645" s="21">
        <v>236.1</v>
      </c>
      <c r="E645" s="3">
        <v>89.69</v>
      </c>
      <c r="F645" s="3">
        <v>26.87</v>
      </c>
      <c r="G645" s="21">
        <v>606.5</v>
      </c>
      <c r="H645" s="3">
        <v>7.125</v>
      </c>
      <c r="I645" s="13">
        <f t="shared" si="11"/>
        <v>3.3379233345738699</v>
      </c>
    </row>
    <row r="646" spans="2:9">
      <c r="C646" s="20">
        <v>1.6870000000000001</v>
      </c>
      <c r="D646" s="21">
        <v>249.8</v>
      </c>
      <c r="E646" s="3">
        <v>81.349999999999994</v>
      </c>
      <c r="F646" s="28">
        <v>27.68</v>
      </c>
      <c r="G646" s="21">
        <v>607.29999999999995</v>
      </c>
      <c r="H646" s="3">
        <v>7.8659999999999997</v>
      </c>
      <c r="I646" s="13">
        <f t="shared" si="11"/>
        <v>2.9389450867051998</v>
      </c>
    </row>
    <row r="647" spans="2:9">
      <c r="C647" s="20">
        <v>1.9019999999999999</v>
      </c>
      <c r="D647" s="21">
        <v>226.2</v>
      </c>
      <c r="E647" s="3">
        <v>85.72</v>
      </c>
      <c r="F647" s="28">
        <v>26.2</v>
      </c>
      <c r="G647" s="21">
        <v>621</v>
      </c>
      <c r="H647" s="3">
        <v>9.5500000000000007</v>
      </c>
      <c r="I647" s="13">
        <f t="shared" si="11"/>
        <v>3.27175572519084</v>
      </c>
    </row>
    <row r="648" spans="2:9">
      <c r="C648" s="20">
        <v>1.645</v>
      </c>
      <c r="D648" s="21">
        <v>232.7</v>
      </c>
      <c r="E648" s="3">
        <v>78.989999999999995</v>
      </c>
      <c r="F648" s="28">
        <v>29.26</v>
      </c>
      <c r="G648" s="21">
        <v>610.70000000000005</v>
      </c>
      <c r="H648" s="3">
        <v>9.1940000000000008</v>
      </c>
      <c r="I648" s="13">
        <f t="shared" si="11"/>
        <v>2.6995898838004102</v>
      </c>
    </row>
    <row r="649" spans="2:9">
      <c r="C649" s="20">
        <v>1.462</v>
      </c>
      <c r="D649" s="21">
        <v>233</v>
      </c>
      <c r="E649" s="3">
        <v>88.06</v>
      </c>
      <c r="F649" s="28">
        <v>25.56</v>
      </c>
      <c r="G649" s="21">
        <v>606</v>
      </c>
      <c r="H649" s="3">
        <v>8.5340000000000007</v>
      </c>
      <c r="I649" s="13">
        <f t="shared" si="11"/>
        <v>3.4452269170579002</v>
      </c>
    </row>
    <row r="650" spans="2:9">
      <c r="C650" s="20">
        <v>1.522</v>
      </c>
      <c r="D650" s="21">
        <v>205.7</v>
      </c>
      <c r="E650" s="3">
        <v>82.47</v>
      </c>
      <c r="F650" s="28">
        <v>25.68</v>
      </c>
      <c r="G650" s="21">
        <v>603.1</v>
      </c>
      <c r="H650" s="3">
        <v>7.7770000000000001</v>
      </c>
      <c r="I650" s="13">
        <f t="shared" si="11"/>
        <v>3.2114485981308398</v>
      </c>
    </row>
    <row r="651" spans="2:9">
      <c r="C651" s="20">
        <v>1.67</v>
      </c>
      <c r="D651" s="21">
        <v>202.8</v>
      </c>
      <c r="E651" s="3">
        <v>89</v>
      </c>
      <c r="F651" s="28">
        <v>29.02</v>
      </c>
      <c r="G651" s="21">
        <v>605.9</v>
      </c>
      <c r="H651" s="3">
        <v>8.2200000000000006</v>
      </c>
      <c r="I651" s="13">
        <f t="shared" si="11"/>
        <v>3.0668504479669201</v>
      </c>
    </row>
    <row r="652" spans="2:9">
      <c r="C652" s="20">
        <v>1.919</v>
      </c>
      <c r="D652" s="21">
        <v>219.5</v>
      </c>
      <c r="E652" s="3">
        <v>79.83</v>
      </c>
      <c r="F652" s="28">
        <v>26.9</v>
      </c>
      <c r="G652" s="21">
        <v>607.6</v>
      </c>
      <c r="H652" s="3">
        <v>8.0299999999999994</v>
      </c>
      <c r="I652" s="13">
        <f t="shared" si="11"/>
        <v>2.9676579925650599</v>
      </c>
    </row>
    <row r="653" spans="2:9">
      <c r="C653" s="20">
        <v>1.7729999999999999</v>
      </c>
      <c r="D653" s="21">
        <v>249</v>
      </c>
      <c r="E653" s="3">
        <v>87.14</v>
      </c>
      <c r="F653" s="28">
        <v>30.59</v>
      </c>
      <c r="G653" s="21">
        <v>603.79999999999995</v>
      </c>
      <c r="H653" s="3">
        <v>9.7810000000000006</v>
      </c>
      <c r="I653" s="13">
        <f t="shared" si="11"/>
        <v>2.8486433474991801</v>
      </c>
    </row>
    <row r="654" spans="2:9">
      <c r="C654" s="20">
        <v>1.62</v>
      </c>
      <c r="D654" s="21">
        <v>270.3</v>
      </c>
      <c r="E654" s="3">
        <v>84.25</v>
      </c>
      <c r="F654" s="28">
        <v>27.52</v>
      </c>
      <c r="G654" s="21">
        <v>607.4</v>
      </c>
      <c r="H654" s="3">
        <v>8.8960000000000008</v>
      </c>
      <c r="I654" s="13">
        <f t="shared" si="11"/>
        <v>3.06140988372093</v>
      </c>
    </row>
    <row r="655" spans="2:9">
      <c r="C655" s="20">
        <v>1.44</v>
      </c>
      <c r="D655" s="21">
        <v>283.60000000000002</v>
      </c>
      <c r="E655" s="3">
        <v>90</v>
      </c>
      <c r="F655" s="28">
        <v>25.24</v>
      </c>
      <c r="G655" s="21">
        <v>613.5</v>
      </c>
      <c r="H655" s="3">
        <v>9.3480000000000008</v>
      </c>
      <c r="I655" s="13">
        <f t="shared" si="11"/>
        <v>3.5657686212361299</v>
      </c>
    </row>
    <row r="656" spans="2:9">
      <c r="C656" s="20">
        <v>1.4570000000000001</v>
      </c>
      <c r="D656" s="21">
        <v>273.7</v>
      </c>
      <c r="E656" s="3">
        <v>83.59</v>
      </c>
      <c r="F656" s="28">
        <v>30.46</v>
      </c>
      <c r="G656" s="21">
        <v>601.9</v>
      </c>
      <c r="H656" s="3">
        <v>9.0399999999999991</v>
      </c>
      <c r="I656" s="13">
        <f t="shared" si="11"/>
        <v>2.74425476034143</v>
      </c>
    </row>
    <row r="657" spans="2:9">
      <c r="C657" s="20">
        <v>1.9259999999999999</v>
      </c>
      <c r="D657" s="21">
        <v>249.8</v>
      </c>
      <c r="E657" s="3">
        <v>86.91</v>
      </c>
      <c r="F657" s="28">
        <v>29.08</v>
      </c>
      <c r="G657" s="21">
        <v>603.79999999999995</v>
      </c>
      <c r="H657" s="3">
        <v>9.6170000000000009</v>
      </c>
      <c r="I657" s="13">
        <f t="shared" si="11"/>
        <v>2.9886519944979399</v>
      </c>
    </row>
    <row r="658" spans="2:9">
      <c r="C658" s="20">
        <v>1.512</v>
      </c>
      <c r="D658" s="21">
        <v>261.10000000000002</v>
      </c>
      <c r="E658" s="3">
        <v>80.12</v>
      </c>
      <c r="F658" s="28">
        <v>28.91</v>
      </c>
      <c r="G658" s="21">
        <v>607.9</v>
      </c>
      <c r="H658" s="3">
        <v>8.6859999999999999</v>
      </c>
      <c r="I658" s="13">
        <f t="shared" si="11"/>
        <v>2.7713593912141099</v>
      </c>
    </row>
    <row r="659" spans="2:9">
      <c r="C659" s="20">
        <v>1.7929999999999999</v>
      </c>
      <c r="D659" s="21">
        <v>236.5</v>
      </c>
      <c r="E659" s="3">
        <v>78.5</v>
      </c>
      <c r="F659" s="28">
        <v>27.08</v>
      </c>
      <c r="G659" s="21">
        <v>605.9</v>
      </c>
      <c r="H659" s="3">
        <v>9.5280000000000005</v>
      </c>
      <c r="I659" s="13">
        <f t="shared" si="11"/>
        <v>2.8988183161004399</v>
      </c>
    </row>
    <row r="660" spans="2:9">
      <c r="C660" s="20">
        <v>1.569</v>
      </c>
      <c r="D660" s="21">
        <v>243.2</v>
      </c>
      <c r="E660" s="3">
        <v>88.77</v>
      </c>
      <c r="F660" s="28">
        <v>31.31</v>
      </c>
      <c r="G660" s="21">
        <v>613.29999999999995</v>
      </c>
      <c r="H660" s="3">
        <v>9.1669999999999998</v>
      </c>
      <c r="I660" s="13">
        <f t="shared" si="11"/>
        <v>2.8351964228680901</v>
      </c>
    </row>
    <row r="661" spans="2:9">
      <c r="C661" s="20">
        <v>1.85</v>
      </c>
      <c r="D661" s="21">
        <v>256.89999999999998</v>
      </c>
      <c r="E661" s="3">
        <v>85.03</v>
      </c>
      <c r="F661" s="28">
        <v>28.82</v>
      </c>
      <c r="G661" s="21">
        <v>610.70000000000005</v>
      </c>
      <c r="H661" s="3">
        <v>9.7959999999999994</v>
      </c>
      <c r="I661" s="13">
        <f t="shared" si="11"/>
        <v>2.9503816793893098</v>
      </c>
    </row>
    <row r="662" spans="2:9">
      <c r="B662" s="16">
        <v>34</v>
      </c>
      <c r="C662" s="24">
        <v>2.629</v>
      </c>
      <c r="D662" s="29">
        <v>249.8</v>
      </c>
      <c r="E662" s="25">
        <v>81.73</v>
      </c>
      <c r="F662" s="25">
        <v>35.5</v>
      </c>
      <c r="G662" s="26">
        <v>705.1</v>
      </c>
      <c r="H662" s="25">
        <v>13.24</v>
      </c>
      <c r="I662" s="13">
        <f t="shared" si="11"/>
        <v>2.3022535211267598</v>
      </c>
    </row>
    <row r="663" spans="2:9">
      <c r="C663" s="20">
        <v>2.8410000000000002</v>
      </c>
      <c r="D663" s="21">
        <v>244.3</v>
      </c>
      <c r="E663" s="3">
        <v>79.510000000000005</v>
      </c>
      <c r="F663" s="3">
        <v>30.73</v>
      </c>
      <c r="G663" s="21">
        <v>709</v>
      </c>
      <c r="H663" s="3">
        <v>15.14</v>
      </c>
      <c r="I663" s="13">
        <f t="shared" si="11"/>
        <v>2.5873739017247002</v>
      </c>
    </row>
    <row r="664" spans="2:9">
      <c r="C664" s="20">
        <v>2.7589999999999999</v>
      </c>
      <c r="D664" s="21">
        <v>253.6</v>
      </c>
      <c r="E664" s="3">
        <v>87.09</v>
      </c>
      <c r="F664" s="3">
        <v>36.93</v>
      </c>
      <c r="G664" s="21">
        <v>712</v>
      </c>
      <c r="H664" s="3">
        <v>15.33</v>
      </c>
      <c r="I664" s="13">
        <f t="shared" si="11"/>
        <v>2.3582453290008099</v>
      </c>
    </row>
    <row r="665" spans="2:9">
      <c r="C665" s="20">
        <v>2.6110000000000002</v>
      </c>
      <c r="D665" s="21">
        <v>266.39999999999998</v>
      </c>
      <c r="E665" s="3">
        <v>76.569999999999993</v>
      </c>
      <c r="F665" s="3">
        <v>26.08</v>
      </c>
      <c r="G665" s="21">
        <v>713.3</v>
      </c>
      <c r="H665" s="3">
        <v>15.66</v>
      </c>
      <c r="I665" s="13">
        <f t="shared" si="11"/>
        <v>2.93596625766871</v>
      </c>
    </row>
    <row r="666" spans="2:9">
      <c r="C666" s="20">
        <v>2.2229999999999999</v>
      </c>
      <c r="D666" s="21">
        <v>249.8</v>
      </c>
      <c r="E666" s="3">
        <v>83.4</v>
      </c>
      <c r="F666" s="3">
        <v>27.66</v>
      </c>
      <c r="G666" s="21">
        <v>705.7</v>
      </c>
      <c r="H666" s="3">
        <v>17.440000000000001</v>
      </c>
      <c r="I666" s="13">
        <f t="shared" si="11"/>
        <v>3.0151843817787398</v>
      </c>
    </row>
    <row r="667" spans="2:9">
      <c r="C667" s="20">
        <v>2.4300000000000002</v>
      </c>
      <c r="D667" s="21">
        <v>263.60000000000002</v>
      </c>
      <c r="E667" s="3">
        <v>75.89</v>
      </c>
      <c r="F667" s="3">
        <v>26.15</v>
      </c>
      <c r="G667" s="21">
        <v>708.4</v>
      </c>
      <c r="H667" s="3">
        <v>15.85</v>
      </c>
      <c r="I667" s="13">
        <f t="shared" si="11"/>
        <v>2.9021032504780102</v>
      </c>
    </row>
    <row r="668" spans="2:9">
      <c r="C668" s="20">
        <v>2.6890000000000001</v>
      </c>
      <c r="D668" s="21">
        <v>258.7</v>
      </c>
      <c r="E668" s="3">
        <v>76.45</v>
      </c>
      <c r="F668" s="3">
        <v>30.83</v>
      </c>
      <c r="G668" s="21">
        <v>706.3</v>
      </c>
      <c r="H668" s="3">
        <v>15.44</v>
      </c>
      <c r="I668" s="13">
        <f t="shared" si="11"/>
        <v>2.4797275381122299</v>
      </c>
    </row>
    <row r="669" spans="2:9">
      <c r="C669" s="20">
        <v>2.1850000000000001</v>
      </c>
      <c r="D669" s="21">
        <v>275.7</v>
      </c>
      <c r="E669" s="3">
        <v>77.12</v>
      </c>
      <c r="F669" s="3">
        <v>28.97</v>
      </c>
      <c r="G669" s="21">
        <v>708.4</v>
      </c>
      <c r="H669" s="3">
        <v>16.510000000000002</v>
      </c>
      <c r="I669" s="13">
        <f t="shared" si="11"/>
        <v>2.6620642043493299</v>
      </c>
    </row>
    <row r="670" spans="2:9">
      <c r="C670" s="20">
        <v>2.8620000000000001</v>
      </c>
      <c r="D670" s="21">
        <v>244.3</v>
      </c>
      <c r="E670" s="3">
        <v>78.03</v>
      </c>
      <c r="F670" s="3">
        <v>34.340000000000003</v>
      </c>
      <c r="G670" s="21">
        <v>709.7</v>
      </c>
      <c r="H670" s="3">
        <v>15.75</v>
      </c>
      <c r="I670" s="13">
        <f t="shared" si="11"/>
        <v>2.2722772277227699</v>
      </c>
    </row>
    <row r="671" spans="2:9">
      <c r="C671" s="20">
        <v>2.2949999999999999</v>
      </c>
      <c r="D671" s="21">
        <v>250.5</v>
      </c>
      <c r="E671" s="3">
        <v>79.569999999999993</v>
      </c>
      <c r="F671" s="3">
        <v>27.71</v>
      </c>
      <c r="G671" s="21">
        <v>711.1</v>
      </c>
      <c r="H671" s="3">
        <v>15.52</v>
      </c>
      <c r="I671" s="13">
        <f t="shared" si="11"/>
        <v>2.8715265247203199</v>
      </c>
    </row>
    <row r="672" spans="2:9">
      <c r="C672" s="20">
        <v>2.7189999999999999</v>
      </c>
      <c r="D672" s="21">
        <v>267.3</v>
      </c>
      <c r="E672" s="3">
        <v>80.239999999999995</v>
      </c>
      <c r="F672" s="3">
        <v>32.08</v>
      </c>
      <c r="G672" s="21">
        <v>714</v>
      </c>
      <c r="H672" s="3">
        <v>15.81</v>
      </c>
      <c r="I672" s="13">
        <f t="shared" si="11"/>
        <v>2.5012468827930201</v>
      </c>
    </row>
    <row r="673" spans="2:9">
      <c r="C673" s="20">
        <v>2.31</v>
      </c>
      <c r="D673" s="21">
        <v>250.4</v>
      </c>
      <c r="E673" s="3">
        <v>81.99</v>
      </c>
      <c r="F673" s="3">
        <v>36</v>
      </c>
      <c r="G673" s="21">
        <v>712.2</v>
      </c>
      <c r="H673" s="3">
        <v>15.67</v>
      </c>
      <c r="I673" s="13">
        <f t="shared" si="11"/>
        <v>2.2774999999999999</v>
      </c>
    </row>
    <row r="674" spans="2:9">
      <c r="C674" s="20">
        <v>2.9489999999999998</v>
      </c>
      <c r="D674" s="21">
        <v>270.39999999999998</v>
      </c>
      <c r="E674" s="3">
        <v>75</v>
      </c>
      <c r="F674" s="3">
        <v>26.45</v>
      </c>
      <c r="G674" s="21">
        <v>710.7</v>
      </c>
      <c r="H674" s="3">
        <v>16.11</v>
      </c>
      <c r="I674" s="13">
        <f t="shared" si="11"/>
        <v>2.8355387523629498</v>
      </c>
    </row>
    <row r="675" spans="2:9">
      <c r="C675" s="20">
        <v>2.2490000000000001</v>
      </c>
      <c r="D675" s="21">
        <v>242</v>
      </c>
      <c r="E675" s="3">
        <v>76.78</v>
      </c>
      <c r="F675" s="3">
        <v>29.89</v>
      </c>
      <c r="G675" s="21">
        <v>711</v>
      </c>
      <c r="H675" s="3">
        <v>14.26</v>
      </c>
      <c r="I675" s="13">
        <f t="shared" si="11"/>
        <v>2.5687520910003299</v>
      </c>
    </row>
    <row r="676" spans="2:9">
      <c r="C676" s="20">
        <v>2.9489999999999998</v>
      </c>
      <c r="D676" s="21">
        <v>252.9</v>
      </c>
      <c r="E676" s="3">
        <v>77.599999999999994</v>
      </c>
      <c r="F676" s="3">
        <v>33.06</v>
      </c>
      <c r="G676" s="21">
        <v>709.4</v>
      </c>
      <c r="H676" s="3">
        <v>17.420000000000002</v>
      </c>
      <c r="I676" s="13">
        <f t="shared" si="11"/>
        <v>2.3472474289171199</v>
      </c>
    </row>
    <row r="677" spans="2:9">
      <c r="C677" s="20">
        <v>2.4300000000000002</v>
      </c>
      <c r="D677" s="21">
        <v>238</v>
      </c>
      <c r="E677" s="3">
        <v>78.91</v>
      </c>
      <c r="F677" s="3">
        <v>35.6</v>
      </c>
      <c r="G677" s="21">
        <v>707.9</v>
      </c>
      <c r="H677" s="3">
        <v>16.170000000000002</v>
      </c>
      <c r="I677" s="13">
        <f t="shared" si="11"/>
        <v>2.21657303370786</v>
      </c>
    </row>
    <row r="678" spans="2:9">
      <c r="C678" s="20">
        <v>2.0099999999999998</v>
      </c>
      <c r="D678" s="21">
        <v>219</v>
      </c>
      <c r="E678" s="3">
        <v>79.349999999999994</v>
      </c>
      <c r="F678" s="3">
        <v>31.12</v>
      </c>
      <c r="G678" s="21">
        <v>709.9</v>
      </c>
      <c r="H678" s="3">
        <v>15</v>
      </c>
      <c r="I678" s="13">
        <f t="shared" si="11"/>
        <v>2.5498071979434398</v>
      </c>
    </row>
    <row r="679" spans="2:9">
      <c r="C679" s="20">
        <v>2.839</v>
      </c>
      <c r="D679" s="21">
        <v>229.7</v>
      </c>
      <c r="E679" s="3">
        <v>80.66</v>
      </c>
      <c r="F679" s="3">
        <v>28.77</v>
      </c>
      <c r="G679" s="21">
        <v>708.4</v>
      </c>
      <c r="H679" s="3">
        <v>15.61</v>
      </c>
      <c r="I679" s="13">
        <f t="shared" si="11"/>
        <v>2.8036148766075799</v>
      </c>
    </row>
    <row r="680" spans="2:9">
      <c r="C680" s="20">
        <v>2.569</v>
      </c>
      <c r="D680" s="21">
        <v>238</v>
      </c>
      <c r="E680" s="3">
        <v>81.069999999999993</v>
      </c>
      <c r="F680" s="3">
        <v>26.03</v>
      </c>
      <c r="G680" s="21">
        <v>708.7</v>
      </c>
      <c r="H680" s="3">
        <v>14.78</v>
      </c>
      <c r="I680" s="13">
        <f t="shared" si="11"/>
        <v>3.1144832885132501</v>
      </c>
    </row>
    <row r="681" spans="2:9">
      <c r="C681" s="20">
        <v>2.7909999999999999</v>
      </c>
      <c r="D681" s="21">
        <v>252.9</v>
      </c>
      <c r="E681" s="3">
        <v>82</v>
      </c>
      <c r="F681" s="3">
        <v>30.5</v>
      </c>
      <c r="G681" s="21">
        <v>706.9</v>
      </c>
      <c r="H681" s="3">
        <v>15.65</v>
      </c>
      <c r="I681" s="13">
        <f t="shared" si="11"/>
        <v>2.6885245901639299</v>
      </c>
    </row>
    <row r="682" spans="2:9">
      <c r="B682" s="16">
        <v>35</v>
      </c>
      <c r="C682" s="24">
        <v>3.7290000000000001</v>
      </c>
      <c r="D682" s="29">
        <v>163.05000000000001</v>
      </c>
      <c r="E682" s="25">
        <v>70</v>
      </c>
      <c r="F682" s="25">
        <v>29.6</v>
      </c>
      <c r="G682" s="26">
        <v>637</v>
      </c>
      <c r="H682" s="25">
        <v>7.7830000000000004</v>
      </c>
      <c r="I682" s="13">
        <f t="shared" si="11"/>
        <v>2.36486486486486</v>
      </c>
    </row>
    <row r="683" spans="2:9">
      <c r="C683" s="20">
        <v>2.992</v>
      </c>
      <c r="D683" s="21">
        <v>160.02000000000001</v>
      </c>
      <c r="E683" s="3">
        <v>66.23</v>
      </c>
      <c r="F683" s="3">
        <v>27.74</v>
      </c>
      <c r="G683" s="21">
        <v>640</v>
      </c>
      <c r="H683" s="3">
        <v>7.601</v>
      </c>
      <c r="I683" s="13">
        <f t="shared" si="11"/>
        <v>2.3875270367700101</v>
      </c>
    </row>
    <row r="684" spans="2:9">
      <c r="C684" s="20">
        <v>2.1560000000000001</v>
      </c>
      <c r="D684" s="21">
        <v>167.46</v>
      </c>
      <c r="E684" s="3">
        <v>74.010000000000005</v>
      </c>
      <c r="F684" s="3">
        <v>28.7</v>
      </c>
      <c r="G684" s="21">
        <v>634.29999999999995</v>
      </c>
      <c r="H684" s="3">
        <v>7.7279999999999998</v>
      </c>
      <c r="I684" s="13">
        <f t="shared" si="11"/>
        <v>2.5787456445992998</v>
      </c>
    </row>
    <row r="685" spans="2:9">
      <c r="C685" s="20">
        <v>2.6059999999999999</v>
      </c>
      <c r="D685" s="21">
        <v>179.6</v>
      </c>
      <c r="E685" s="3">
        <v>66.010000000000005</v>
      </c>
      <c r="F685" s="3">
        <v>32.51</v>
      </c>
      <c r="G685" s="21">
        <v>635.79999999999995</v>
      </c>
      <c r="H685" s="3">
        <v>8.2720000000000002</v>
      </c>
      <c r="I685" s="13">
        <f t="shared" si="11"/>
        <v>2.03045216856352</v>
      </c>
    </row>
    <row r="686" spans="2:9">
      <c r="C686" s="20">
        <v>3.758</v>
      </c>
      <c r="D686" s="21">
        <v>185.1</v>
      </c>
      <c r="E686" s="3">
        <v>66.150000000000006</v>
      </c>
      <c r="F686" s="3">
        <v>27.15</v>
      </c>
      <c r="G686" s="21">
        <v>640.6</v>
      </c>
      <c r="H686" s="3">
        <v>8.3960000000000008</v>
      </c>
      <c r="I686" s="13">
        <f t="shared" si="11"/>
        <v>2.4364640883977899</v>
      </c>
    </row>
    <row r="687" spans="2:9">
      <c r="C687" s="20">
        <v>3.7309999999999999</v>
      </c>
      <c r="D687" s="21">
        <v>165.72</v>
      </c>
      <c r="E687" s="3">
        <v>70.83</v>
      </c>
      <c r="F687" s="3">
        <v>31.83</v>
      </c>
      <c r="G687" s="21">
        <v>641.6</v>
      </c>
      <c r="H687" s="3">
        <v>9.2409999999999997</v>
      </c>
      <c r="I687" s="13">
        <f t="shared" si="11"/>
        <v>2.22525918944392</v>
      </c>
    </row>
    <row r="688" spans="2:9">
      <c r="C688" s="20">
        <v>2.5840000000000001</v>
      </c>
      <c r="D688" s="21">
        <v>182.2</v>
      </c>
      <c r="E688" s="3">
        <v>68.97</v>
      </c>
      <c r="F688" s="3">
        <v>28.97</v>
      </c>
      <c r="G688" s="21">
        <v>635.29999999999995</v>
      </c>
      <c r="H688" s="3">
        <v>8.0039999999999996</v>
      </c>
      <c r="I688" s="13">
        <f t="shared" si="11"/>
        <v>2.3807386952019298</v>
      </c>
    </row>
    <row r="689" spans="2:9">
      <c r="C689" s="20">
        <v>2.1280000000000001</v>
      </c>
      <c r="D689" s="21">
        <v>170.1</v>
      </c>
      <c r="E689" s="3">
        <v>74.34</v>
      </c>
      <c r="F689" s="3">
        <v>32.340000000000003</v>
      </c>
      <c r="G689" s="21">
        <v>634.29999999999995</v>
      </c>
      <c r="H689" s="3">
        <v>7.8920000000000003</v>
      </c>
      <c r="I689" s="13">
        <f t="shared" si="11"/>
        <v>2.2987012987013</v>
      </c>
    </row>
    <row r="690" spans="2:9">
      <c r="C690" s="20">
        <v>2.3370000000000002</v>
      </c>
      <c r="D690" s="21">
        <v>180.4</v>
      </c>
      <c r="E690" s="3">
        <v>67.709999999999994</v>
      </c>
      <c r="F690" s="3">
        <v>29.71</v>
      </c>
      <c r="G690" s="21">
        <v>634.9</v>
      </c>
      <c r="H690" s="3">
        <v>7.3920000000000003</v>
      </c>
      <c r="I690" s="13">
        <f t="shared" si="11"/>
        <v>2.2790306294176998</v>
      </c>
    </row>
    <row r="691" spans="2:9">
      <c r="C691" s="20">
        <v>3.7850000000000001</v>
      </c>
      <c r="D691" s="21">
        <v>160.47</v>
      </c>
      <c r="E691" s="3">
        <v>72.08</v>
      </c>
      <c r="F691" s="3">
        <v>30.08</v>
      </c>
      <c r="G691" s="21">
        <v>636.4</v>
      </c>
      <c r="H691" s="3">
        <v>8.6180000000000003</v>
      </c>
      <c r="I691" s="13">
        <f t="shared" si="11"/>
        <v>2.3962765957446801</v>
      </c>
    </row>
    <row r="692" spans="2:9">
      <c r="C692" s="20">
        <v>2.93</v>
      </c>
      <c r="D692" s="21">
        <v>146.81</v>
      </c>
      <c r="E692" s="3">
        <v>76</v>
      </c>
      <c r="F692" s="3">
        <v>33</v>
      </c>
      <c r="G692" s="21">
        <v>637.5</v>
      </c>
      <c r="H692" s="3">
        <v>8.2620000000000005</v>
      </c>
      <c r="I692" s="13">
        <f t="shared" si="11"/>
        <v>2.3030303030303001</v>
      </c>
    </row>
    <row r="693" spans="2:9">
      <c r="C693" s="20">
        <v>3.4929999999999999</v>
      </c>
      <c r="D693" s="21">
        <v>155.32</v>
      </c>
      <c r="E693" s="3">
        <v>66.45</v>
      </c>
      <c r="F693" s="3">
        <v>27.45</v>
      </c>
      <c r="G693" s="21">
        <v>635.29999999999995</v>
      </c>
      <c r="H693" s="3">
        <v>7.5549999999999997</v>
      </c>
      <c r="I693" s="13">
        <f t="shared" si="11"/>
        <v>2.4207650273224002</v>
      </c>
    </row>
    <row r="694" spans="2:9">
      <c r="C694" s="20">
        <v>3.407</v>
      </c>
      <c r="D694" s="21">
        <v>171.3</v>
      </c>
      <c r="E694" s="3">
        <v>69.89</v>
      </c>
      <c r="F694" s="3">
        <v>28.89</v>
      </c>
      <c r="G694" s="21">
        <v>638.79999999999995</v>
      </c>
      <c r="H694" s="3">
        <v>7.5129999999999999</v>
      </c>
      <c r="I694" s="13">
        <f t="shared" si="11"/>
        <v>2.4191761855313301</v>
      </c>
    </row>
    <row r="695" spans="2:9">
      <c r="C695" s="20">
        <v>2.5310000000000001</v>
      </c>
      <c r="D695" s="21">
        <v>157.37</v>
      </c>
      <c r="E695" s="3">
        <v>73.06</v>
      </c>
      <c r="F695" s="3">
        <v>31.06</v>
      </c>
      <c r="G695" s="21">
        <v>639.4</v>
      </c>
      <c r="H695" s="3">
        <v>8.8740000000000006</v>
      </c>
      <c r="I695" s="13">
        <f t="shared" si="11"/>
        <v>2.3522215067611101</v>
      </c>
    </row>
    <row r="696" spans="2:9">
      <c r="C696" s="20">
        <v>3.2749999999999999</v>
      </c>
      <c r="D696" s="21">
        <v>168.17</v>
      </c>
      <c r="E696" s="3">
        <v>75.599999999999994</v>
      </c>
      <c r="F696" s="3">
        <v>32.6</v>
      </c>
      <c r="G696" s="21">
        <v>643</v>
      </c>
      <c r="H696" s="3">
        <v>8.4510000000000005</v>
      </c>
      <c r="I696" s="13">
        <f t="shared" si="11"/>
        <v>2.3190184049079798</v>
      </c>
    </row>
    <row r="697" spans="2:9">
      <c r="C697" s="20">
        <v>3.3290000000000002</v>
      </c>
      <c r="D697" s="21">
        <v>170.24</v>
      </c>
      <c r="E697" s="3">
        <v>71.12</v>
      </c>
      <c r="F697" s="3">
        <v>29.12</v>
      </c>
      <c r="G697" s="21">
        <v>642.5</v>
      </c>
      <c r="H697" s="3">
        <v>7.6660000000000004</v>
      </c>
      <c r="I697" s="13">
        <f t="shared" si="11"/>
        <v>2.4423076923076898</v>
      </c>
    </row>
    <row r="698" spans="2:9">
      <c r="C698" s="20">
        <v>2.6110000000000002</v>
      </c>
      <c r="D698" s="21">
        <v>162.13999999999999</v>
      </c>
      <c r="E698" s="3">
        <v>68.77</v>
      </c>
      <c r="F698" s="3">
        <v>30.77</v>
      </c>
      <c r="G698" s="21">
        <v>641.70000000000005</v>
      </c>
      <c r="H698" s="3">
        <v>8.4169999999999998</v>
      </c>
      <c r="I698" s="13">
        <f t="shared" si="11"/>
        <v>2.23496912577186</v>
      </c>
    </row>
    <row r="699" spans="2:9">
      <c r="C699" s="20">
        <v>2.484</v>
      </c>
      <c r="D699" s="21">
        <v>163.05000000000001</v>
      </c>
      <c r="E699" s="3">
        <v>66.03</v>
      </c>
      <c r="F699" s="3">
        <v>27.03</v>
      </c>
      <c r="G699" s="21">
        <v>636.6</v>
      </c>
      <c r="H699" s="3">
        <v>7.4980000000000002</v>
      </c>
      <c r="I699" s="13">
        <f t="shared" si="11"/>
        <v>2.4428412874583798</v>
      </c>
    </row>
    <row r="700" spans="2:9">
      <c r="C700" s="20">
        <v>3.407</v>
      </c>
      <c r="D700" s="21">
        <v>167.46</v>
      </c>
      <c r="E700" s="3">
        <v>70.5</v>
      </c>
      <c r="F700" s="3">
        <v>31.5</v>
      </c>
      <c r="G700" s="21">
        <v>636.70000000000005</v>
      </c>
      <c r="H700" s="3">
        <v>7.5069999999999997</v>
      </c>
      <c r="I700" s="13">
        <f t="shared" si="11"/>
        <v>2.2380952380952399</v>
      </c>
    </row>
    <row r="701" spans="2:9">
      <c r="C701" s="20">
        <v>2.5310000000000001</v>
      </c>
      <c r="D701" s="21">
        <v>169.88</v>
      </c>
      <c r="E701" s="3">
        <v>74.989999999999995</v>
      </c>
      <c r="F701" s="3">
        <v>32.99</v>
      </c>
      <c r="G701" s="21">
        <v>636.9</v>
      </c>
      <c r="H701" s="3">
        <v>8.2260000000000009</v>
      </c>
      <c r="I701" s="13">
        <f t="shared" si="11"/>
        <v>2.2731130645650199</v>
      </c>
    </row>
    <row r="702" spans="2:9">
      <c r="B702" s="16">
        <v>36</v>
      </c>
      <c r="C702" s="17">
        <v>2.5369999999999999</v>
      </c>
      <c r="D702" s="29">
        <v>166</v>
      </c>
      <c r="E702" s="18">
        <v>90.12</v>
      </c>
      <c r="F702" s="19">
        <v>58.24</v>
      </c>
      <c r="G702" s="19">
        <v>624.70000000000005</v>
      </c>
      <c r="H702" s="18">
        <v>7.1779999999999999</v>
      </c>
      <c r="I702" s="13">
        <f t="shared" si="11"/>
        <v>1.5473901098901099</v>
      </c>
    </row>
    <row r="703" spans="2:9">
      <c r="C703" s="20">
        <v>2.5299999999999998</v>
      </c>
      <c r="D703" s="21">
        <v>159.19999999999999</v>
      </c>
      <c r="E703" s="3">
        <v>89.45</v>
      </c>
      <c r="F703" s="3">
        <v>58.99</v>
      </c>
      <c r="G703" s="21">
        <v>633.5</v>
      </c>
      <c r="H703" s="3">
        <v>8.56</v>
      </c>
      <c r="I703" s="13">
        <f t="shared" si="11"/>
        <v>1.5163587048652301</v>
      </c>
    </row>
    <row r="704" spans="2:9">
      <c r="C704" s="20">
        <v>2.5019999999999998</v>
      </c>
      <c r="D704" s="21">
        <v>174.2</v>
      </c>
      <c r="E704" s="3">
        <v>90.83</v>
      </c>
      <c r="F704" s="3">
        <v>58.07</v>
      </c>
      <c r="G704" s="21">
        <v>626.9</v>
      </c>
      <c r="H704" s="3">
        <v>8.16</v>
      </c>
      <c r="I704" s="13">
        <f t="shared" si="11"/>
        <v>1.56414671947649</v>
      </c>
    </row>
    <row r="705" spans="3:9">
      <c r="C705" s="20">
        <v>2.4540000000000002</v>
      </c>
      <c r="D705" s="21">
        <v>179.7</v>
      </c>
      <c r="E705" s="3">
        <v>90.99</v>
      </c>
      <c r="F705" s="3">
        <v>59.82</v>
      </c>
      <c r="G705" s="21">
        <v>632.29999999999995</v>
      </c>
      <c r="H705" s="3">
        <v>8.2739999999999991</v>
      </c>
      <c r="I705" s="13">
        <f t="shared" si="11"/>
        <v>1.5210631895687099</v>
      </c>
    </row>
    <row r="706" spans="3:9">
      <c r="C706" s="20">
        <v>2.5369999999999999</v>
      </c>
      <c r="D706" s="21">
        <v>173.7</v>
      </c>
      <c r="E706" s="3">
        <v>90.56</v>
      </c>
      <c r="F706" s="3">
        <v>58.52</v>
      </c>
      <c r="G706" s="21">
        <v>627.29999999999995</v>
      </c>
      <c r="H706" s="3">
        <v>9.27</v>
      </c>
      <c r="I706" s="13">
        <f t="shared" si="11"/>
        <v>1.5475051264524899</v>
      </c>
    </row>
    <row r="707" spans="3:9">
      <c r="C707" s="20">
        <v>2.5249999999999999</v>
      </c>
      <c r="D707" s="21">
        <v>172.8</v>
      </c>
      <c r="E707" s="3">
        <v>89.77</v>
      </c>
      <c r="F707" s="3">
        <v>59.33</v>
      </c>
      <c r="G707" s="21">
        <v>626.6</v>
      </c>
      <c r="H707" s="3">
        <v>7.6740000000000004</v>
      </c>
      <c r="I707" s="13">
        <f t="shared" ref="I707:I770" si="12">E707/F707</f>
        <v>1.5130625316029001</v>
      </c>
    </row>
    <row r="708" spans="3:9">
      <c r="C708" s="20">
        <v>2.4889999999999999</v>
      </c>
      <c r="D708" s="21">
        <v>192.7</v>
      </c>
      <c r="E708" s="3">
        <v>90.31</v>
      </c>
      <c r="F708" s="3">
        <v>58.62</v>
      </c>
      <c r="G708" s="21">
        <v>625.4</v>
      </c>
      <c r="H708" s="3">
        <v>8.8620000000000001</v>
      </c>
      <c r="I708" s="13">
        <f t="shared" si="12"/>
        <v>1.54060047765268</v>
      </c>
    </row>
    <row r="709" spans="3:9">
      <c r="C709" s="20">
        <v>2.4129999999999998</v>
      </c>
      <c r="D709" s="21">
        <v>186.6</v>
      </c>
      <c r="E709" s="3">
        <v>89.62</v>
      </c>
      <c r="F709" s="3">
        <v>59.04</v>
      </c>
      <c r="G709" s="21">
        <v>633.1</v>
      </c>
      <c r="H709" s="3">
        <v>7.992</v>
      </c>
      <c r="I709" s="13">
        <f t="shared" si="12"/>
        <v>1.5179539295393001</v>
      </c>
    </row>
    <row r="710" spans="3:9">
      <c r="C710" s="20">
        <v>2.4670000000000001</v>
      </c>
      <c r="D710" s="21">
        <v>167</v>
      </c>
      <c r="E710" s="3">
        <v>90.01</v>
      </c>
      <c r="F710" s="3">
        <v>59.09</v>
      </c>
      <c r="G710" s="21">
        <v>621.20000000000005</v>
      </c>
      <c r="H710" s="3">
        <v>8.8970000000000002</v>
      </c>
      <c r="I710" s="13">
        <f t="shared" si="12"/>
        <v>1.5232695887629</v>
      </c>
    </row>
    <row r="711" spans="3:9">
      <c r="C711" s="20">
        <v>2.3809999999999998</v>
      </c>
      <c r="D711" s="21">
        <v>171.3</v>
      </c>
      <c r="E711" s="3">
        <v>90.25</v>
      </c>
      <c r="F711" s="3">
        <v>58.37</v>
      </c>
      <c r="G711" s="21">
        <v>624.29999999999995</v>
      </c>
      <c r="H711" s="3">
        <v>9.8849999999999998</v>
      </c>
      <c r="I711" s="13">
        <f t="shared" si="12"/>
        <v>1.5461709782422499</v>
      </c>
    </row>
    <row r="712" spans="3:9">
      <c r="C712" s="20">
        <v>2.3370000000000002</v>
      </c>
      <c r="D712" s="21">
        <v>162.4</v>
      </c>
      <c r="E712" s="3">
        <v>89.84</v>
      </c>
      <c r="F712" s="3">
        <v>59.94</v>
      </c>
      <c r="G712" s="21">
        <v>619.6</v>
      </c>
      <c r="H712" s="3">
        <v>9.157</v>
      </c>
      <c r="I712" s="13">
        <f t="shared" si="12"/>
        <v>1.4988321654988299</v>
      </c>
    </row>
    <row r="713" spans="3:9">
      <c r="C713" s="20">
        <v>2.3809999999999998</v>
      </c>
      <c r="D713" s="21">
        <v>161.6</v>
      </c>
      <c r="E713" s="3">
        <v>90.66</v>
      </c>
      <c r="F713" s="3">
        <v>59.55</v>
      </c>
      <c r="G713" s="21">
        <v>624</v>
      </c>
      <c r="H713" s="3">
        <v>9.1999999999999993</v>
      </c>
      <c r="I713" s="13">
        <f t="shared" si="12"/>
        <v>1.5224181360201501</v>
      </c>
    </row>
    <row r="714" spans="3:9">
      <c r="C714" s="20">
        <v>2.3719999999999999</v>
      </c>
      <c r="D714" s="21">
        <v>159.9</v>
      </c>
      <c r="E714" s="3">
        <v>88.93</v>
      </c>
      <c r="F714" s="3">
        <v>59.88</v>
      </c>
      <c r="G714" s="21">
        <v>622.29999999999995</v>
      </c>
      <c r="H714" s="3">
        <v>8.5060000000000002</v>
      </c>
      <c r="I714" s="13">
        <f t="shared" si="12"/>
        <v>1.4851369405477599</v>
      </c>
    </row>
    <row r="715" spans="3:9">
      <c r="C715" s="20">
        <v>2.343</v>
      </c>
      <c r="D715" s="21">
        <v>159.19999999999999</v>
      </c>
      <c r="E715" s="3">
        <v>90.47</v>
      </c>
      <c r="F715" s="3">
        <v>59.79</v>
      </c>
      <c r="G715" s="21">
        <v>625.70000000000005</v>
      </c>
      <c r="H715" s="3">
        <v>8.0060000000000002</v>
      </c>
      <c r="I715" s="13">
        <f t="shared" si="12"/>
        <v>1.5131292858337499</v>
      </c>
    </row>
    <row r="716" spans="3:9">
      <c r="C716" s="20">
        <v>2.4870000000000001</v>
      </c>
      <c r="D716" s="21">
        <v>159.6</v>
      </c>
      <c r="E716" s="3">
        <v>89.38</v>
      </c>
      <c r="F716" s="3">
        <v>59.2</v>
      </c>
      <c r="G716" s="21">
        <v>624.20000000000005</v>
      </c>
      <c r="H716" s="3">
        <v>7.5060000000000002</v>
      </c>
      <c r="I716" s="13">
        <f t="shared" si="12"/>
        <v>1.5097972972972999</v>
      </c>
    </row>
    <row r="717" spans="3:9">
      <c r="C717" s="20">
        <v>2.5150000000000001</v>
      </c>
      <c r="D717" s="21">
        <v>164</v>
      </c>
      <c r="E717" s="3">
        <v>90.71</v>
      </c>
      <c r="F717" s="3">
        <v>59.84</v>
      </c>
      <c r="G717" s="21">
        <v>624</v>
      </c>
      <c r="H717" s="3">
        <v>8.0289999999999999</v>
      </c>
      <c r="I717" s="13">
        <f t="shared" si="12"/>
        <v>1.5158756684492001</v>
      </c>
    </row>
    <row r="718" spans="3:9">
      <c r="C718" s="20">
        <v>2.5190000000000001</v>
      </c>
      <c r="D718" s="21">
        <v>183.3</v>
      </c>
      <c r="E718" s="3">
        <v>90.52</v>
      </c>
      <c r="F718" s="3">
        <v>58.18</v>
      </c>
      <c r="G718" s="21">
        <v>626.5</v>
      </c>
      <c r="H718" s="3">
        <v>9.2210000000000001</v>
      </c>
      <c r="I718" s="13">
        <f t="shared" si="12"/>
        <v>1.5558611206600199</v>
      </c>
    </row>
    <row r="719" spans="3:9">
      <c r="C719" s="20">
        <v>2.4470000000000001</v>
      </c>
      <c r="D719" s="21">
        <v>166</v>
      </c>
      <c r="E719" s="3">
        <v>90.15</v>
      </c>
      <c r="F719" s="3">
        <v>58.39</v>
      </c>
      <c r="G719" s="21">
        <v>627.29999999999995</v>
      </c>
      <c r="H719" s="3">
        <v>8.1660000000000004</v>
      </c>
      <c r="I719" s="13">
        <f t="shared" si="12"/>
        <v>1.5439287549237899</v>
      </c>
    </row>
    <row r="720" spans="3:9">
      <c r="C720" s="20">
        <v>2.218</v>
      </c>
      <c r="D720" s="21">
        <v>162.9</v>
      </c>
      <c r="E720" s="3">
        <v>88.88</v>
      </c>
      <c r="F720" s="3">
        <v>58.09</v>
      </c>
      <c r="G720" s="21">
        <v>624.70000000000005</v>
      </c>
      <c r="H720" s="3">
        <v>7.8380000000000001</v>
      </c>
      <c r="I720" s="13">
        <f t="shared" si="12"/>
        <v>1.53003959373386</v>
      </c>
    </row>
    <row r="721" spans="2:9">
      <c r="C721" s="20">
        <v>2.4550000000000001</v>
      </c>
      <c r="D721" s="21">
        <v>181.8</v>
      </c>
      <c r="E721" s="3">
        <v>90.04</v>
      </c>
      <c r="F721" s="3">
        <v>58.65</v>
      </c>
      <c r="G721" s="21">
        <v>621.20000000000005</v>
      </c>
      <c r="H721" s="3">
        <v>7.625</v>
      </c>
      <c r="I721" s="13">
        <f t="shared" si="12"/>
        <v>1.5352088661551599</v>
      </c>
    </row>
    <row r="722" spans="2:9">
      <c r="B722" s="16">
        <v>37</v>
      </c>
      <c r="C722" s="17">
        <v>2.7250000000000001</v>
      </c>
      <c r="D722" s="29">
        <v>177.2</v>
      </c>
      <c r="E722" s="18">
        <v>89.27</v>
      </c>
      <c r="F722" s="18">
        <v>58.27</v>
      </c>
      <c r="G722" s="19">
        <v>615.9</v>
      </c>
      <c r="H722" s="18">
        <v>6.5279999999999996</v>
      </c>
      <c r="I722" s="13">
        <f t="shared" si="12"/>
        <v>1.5320061781362599</v>
      </c>
    </row>
    <row r="723" spans="2:9">
      <c r="C723" s="20">
        <v>2.7360000000000002</v>
      </c>
      <c r="D723" s="21">
        <v>212.4</v>
      </c>
      <c r="E723" s="3">
        <v>90.45</v>
      </c>
      <c r="F723" s="3">
        <v>59.45</v>
      </c>
      <c r="G723" s="21">
        <v>618.29999999999995</v>
      </c>
      <c r="H723" s="3">
        <v>6.8570000000000002</v>
      </c>
      <c r="I723" s="13">
        <f t="shared" si="12"/>
        <v>1.52144659377628</v>
      </c>
    </row>
    <row r="724" spans="2:9">
      <c r="C724" s="20">
        <v>2.7250000000000001</v>
      </c>
      <c r="D724" s="21">
        <v>196.9</v>
      </c>
      <c r="E724" s="3">
        <v>89.91</v>
      </c>
      <c r="F724" s="3">
        <v>58.91</v>
      </c>
      <c r="G724" s="21">
        <v>618.70000000000005</v>
      </c>
      <c r="H724" s="3">
        <v>7.5110000000000001</v>
      </c>
      <c r="I724" s="13">
        <f t="shared" si="12"/>
        <v>1.52622644712273</v>
      </c>
    </row>
    <row r="725" spans="2:9">
      <c r="C725" s="20">
        <v>2.718</v>
      </c>
      <c r="D725" s="21">
        <v>186.3</v>
      </c>
      <c r="E725" s="3">
        <v>90.78</v>
      </c>
      <c r="F725" s="3">
        <v>59.78</v>
      </c>
      <c r="G725" s="21">
        <v>615.6</v>
      </c>
      <c r="H725" s="3">
        <v>6.0170000000000003</v>
      </c>
      <c r="I725" s="13">
        <f t="shared" si="12"/>
        <v>1.5185680829708901</v>
      </c>
    </row>
    <row r="726" spans="2:9">
      <c r="C726" s="20">
        <v>2.6930000000000001</v>
      </c>
      <c r="D726" s="21">
        <v>175.1</v>
      </c>
      <c r="E726" s="3">
        <v>89.62</v>
      </c>
      <c r="F726" s="3">
        <v>59.62</v>
      </c>
      <c r="G726" s="21">
        <v>616.9</v>
      </c>
      <c r="H726" s="3">
        <v>7.4909999999999997</v>
      </c>
      <c r="I726" s="13">
        <f t="shared" si="12"/>
        <v>1.50318685005032</v>
      </c>
    </row>
    <row r="727" spans="2:9">
      <c r="C727" s="20">
        <v>2.7410000000000001</v>
      </c>
      <c r="D727" s="21">
        <v>167.8</v>
      </c>
      <c r="E727" s="3">
        <v>90.17</v>
      </c>
      <c r="F727" s="3">
        <v>59.17</v>
      </c>
      <c r="G727" s="21">
        <v>619.79999999999995</v>
      </c>
      <c r="H727" s="3">
        <v>6.577</v>
      </c>
      <c r="I727" s="13">
        <f t="shared" si="12"/>
        <v>1.5239141456819301</v>
      </c>
    </row>
    <row r="728" spans="2:9">
      <c r="C728" s="20">
        <v>2.7360000000000002</v>
      </c>
      <c r="D728" s="21">
        <v>151.1</v>
      </c>
      <c r="E728" s="3">
        <v>90.34</v>
      </c>
      <c r="F728" s="3">
        <v>59.34</v>
      </c>
      <c r="G728" s="21">
        <v>620.9</v>
      </c>
      <c r="H728" s="3">
        <v>6.2779999999999996</v>
      </c>
      <c r="I728" s="13">
        <f t="shared" si="12"/>
        <v>1.52241321199865</v>
      </c>
    </row>
    <row r="729" spans="2:9">
      <c r="C729" s="20">
        <v>2.7</v>
      </c>
      <c r="D729" s="21">
        <v>147.4</v>
      </c>
      <c r="E729" s="3">
        <v>89.85</v>
      </c>
      <c r="F729" s="3">
        <v>58.85</v>
      </c>
      <c r="G729" s="21">
        <v>618.4</v>
      </c>
      <c r="H729" s="3">
        <v>6.8529999999999998</v>
      </c>
      <c r="I729" s="13">
        <f t="shared" si="12"/>
        <v>1.5267629566695</v>
      </c>
    </row>
    <row r="730" spans="2:9">
      <c r="C730" s="20">
        <v>2.6360000000000001</v>
      </c>
      <c r="D730" s="21">
        <v>191.3</v>
      </c>
      <c r="E730" s="3">
        <v>90.01</v>
      </c>
      <c r="F730" s="3">
        <v>59.01</v>
      </c>
      <c r="G730" s="21">
        <v>617.6</v>
      </c>
      <c r="H730" s="3">
        <v>6.1520000000000001</v>
      </c>
      <c r="I730" s="13">
        <f t="shared" si="12"/>
        <v>1.52533468903576</v>
      </c>
    </row>
    <row r="731" spans="2:9">
      <c r="C731" s="20">
        <v>2.7519999999999998</v>
      </c>
      <c r="D731" s="21">
        <v>198.1</v>
      </c>
      <c r="E731" s="3">
        <v>89.49</v>
      </c>
      <c r="F731" s="3">
        <v>58.49</v>
      </c>
      <c r="G731" s="21">
        <v>619.5</v>
      </c>
      <c r="H731" s="3">
        <v>6.7789999999999999</v>
      </c>
      <c r="I731" s="13">
        <f t="shared" si="12"/>
        <v>1.5300051290818899</v>
      </c>
    </row>
    <row r="732" spans="2:9">
      <c r="C732" s="20">
        <v>2.7320000000000002</v>
      </c>
      <c r="D732" s="21">
        <v>197</v>
      </c>
      <c r="E732" s="3">
        <v>90.66</v>
      </c>
      <c r="F732" s="3">
        <v>59.66</v>
      </c>
      <c r="G732" s="21">
        <v>619.1</v>
      </c>
      <c r="H732" s="3">
        <v>6.9009999999999998</v>
      </c>
      <c r="I732" s="13">
        <f t="shared" si="12"/>
        <v>1.51961112973517</v>
      </c>
    </row>
    <row r="733" spans="2:9">
      <c r="C733" s="20">
        <v>2.698</v>
      </c>
      <c r="D733" s="21">
        <v>163.80000000000001</v>
      </c>
      <c r="E733" s="3">
        <v>89.13</v>
      </c>
      <c r="F733" s="3">
        <v>58.13</v>
      </c>
      <c r="G733" s="21">
        <v>624</v>
      </c>
      <c r="H733" s="3">
        <v>7.3230000000000004</v>
      </c>
      <c r="I733" s="13">
        <f t="shared" si="12"/>
        <v>1.5332874591432999</v>
      </c>
    </row>
    <row r="734" spans="2:9">
      <c r="C734" s="20">
        <v>2.64</v>
      </c>
      <c r="D734" s="21">
        <v>165.2</v>
      </c>
      <c r="E734" s="3">
        <v>90.58</v>
      </c>
      <c r="F734" s="3">
        <v>59.58</v>
      </c>
      <c r="G734" s="21">
        <v>623.9</v>
      </c>
      <c r="H734" s="3">
        <v>7.008</v>
      </c>
      <c r="I734" s="13">
        <f t="shared" si="12"/>
        <v>1.5203088284659301</v>
      </c>
    </row>
    <row r="735" spans="2:9">
      <c r="C735" s="20">
        <v>2.7280000000000002</v>
      </c>
      <c r="D735" s="21">
        <v>147.4</v>
      </c>
      <c r="E735" s="3">
        <v>89.74</v>
      </c>
      <c r="F735" s="3">
        <v>60.74</v>
      </c>
      <c r="G735" s="21">
        <v>532.20000000000005</v>
      </c>
      <c r="H735" s="3">
        <v>7.9269999999999996</v>
      </c>
      <c r="I735" s="13">
        <f t="shared" si="12"/>
        <v>1.4774448468883801</v>
      </c>
    </row>
    <row r="736" spans="2:9">
      <c r="C736" s="20">
        <v>2.601</v>
      </c>
      <c r="D736" s="21">
        <v>151.1</v>
      </c>
      <c r="E736" s="3">
        <v>90.02</v>
      </c>
      <c r="F736" s="3">
        <v>59.02</v>
      </c>
      <c r="G736" s="21">
        <v>615.5</v>
      </c>
      <c r="H736" s="3">
        <v>6.2880000000000003</v>
      </c>
      <c r="I736" s="13">
        <f t="shared" si="12"/>
        <v>1.5252456794307001</v>
      </c>
    </row>
    <row r="737" spans="2:9">
      <c r="C737" s="20">
        <v>2.5609999999999999</v>
      </c>
      <c r="D737" s="21">
        <v>149.80000000000001</v>
      </c>
      <c r="E737" s="3">
        <v>89.93</v>
      </c>
      <c r="F737" s="3">
        <v>58.93</v>
      </c>
      <c r="G737" s="21">
        <v>618.29999999999995</v>
      </c>
      <c r="H737" s="3">
        <v>7.4459999999999997</v>
      </c>
      <c r="I737" s="13">
        <f t="shared" si="12"/>
        <v>1.5260478533853701</v>
      </c>
    </row>
    <row r="738" spans="2:9">
      <c r="C738" s="20">
        <v>2.5390000000000001</v>
      </c>
      <c r="D738" s="21">
        <v>189</v>
      </c>
      <c r="E738" s="3">
        <v>90.12</v>
      </c>
      <c r="F738" s="3">
        <v>60.12</v>
      </c>
      <c r="G738" s="21">
        <v>619.70000000000005</v>
      </c>
      <c r="H738" s="3">
        <v>7.9749999999999996</v>
      </c>
      <c r="I738" s="13">
        <f t="shared" si="12"/>
        <v>1.4990019960079799</v>
      </c>
    </row>
    <row r="739" spans="2:9">
      <c r="C739" s="20">
        <v>2.5</v>
      </c>
      <c r="D739" s="21">
        <v>147.4</v>
      </c>
      <c r="E739" s="3">
        <v>89.38</v>
      </c>
      <c r="F739" s="3">
        <v>58.38</v>
      </c>
      <c r="G739" s="21">
        <v>623</v>
      </c>
      <c r="H739" s="3">
        <v>7.6989999999999998</v>
      </c>
      <c r="I739" s="13">
        <f t="shared" si="12"/>
        <v>1.53100376841384</v>
      </c>
    </row>
    <row r="740" spans="2:9">
      <c r="C740" s="20">
        <v>2.577</v>
      </c>
      <c r="D740" s="21">
        <v>163.80000000000001</v>
      </c>
      <c r="E740" s="3">
        <v>90.81</v>
      </c>
      <c r="F740" s="3">
        <v>59.81</v>
      </c>
      <c r="G740" s="21">
        <v>623.9</v>
      </c>
      <c r="H740" s="3">
        <v>8.6259999999999994</v>
      </c>
      <c r="I740" s="13">
        <f t="shared" si="12"/>
        <v>1.51830797525497</v>
      </c>
    </row>
    <row r="741" spans="2:9">
      <c r="C741" s="20">
        <v>2.5289999999999999</v>
      </c>
      <c r="D741" s="21">
        <v>186.3</v>
      </c>
      <c r="E741" s="3">
        <v>89.57</v>
      </c>
      <c r="F741" s="3">
        <v>58.57</v>
      </c>
      <c r="G741" s="21">
        <v>625.5</v>
      </c>
      <c r="H741" s="3">
        <v>7.96</v>
      </c>
      <c r="I741" s="13">
        <f t="shared" si="12"/>
        <v>1.52928120198054</v>
      </c>
    </row>
    <row r="742" spans="2:9">
      <c r="B742" s="16">
        <v>38</v>
      </c>
      <c r="C742" s="17">
        <v>2.7829999999999999</v>
      </c>
      <c r="D742" s="29">
        <v>188.1</v>
      </c>
      <c r="E742" s="18">
        <v>92.27</v>
      </c>
      <c r="F742" s="18">
        <v>25.27</v>
      </c>
      <c r="G742" s="19">
        <v>654</v>
      </c>
      <c r="H742" s="18">
        <v>14.75</v>
      </c>
      <c r="I742" s="13">
        <f t="shared" si="12"/>
        <v>3.6513652552433702</v>
      </c>
    </row>
    <row r="743" spans="2:9">
      <c r="C743" s="20">
        <v>2.7130000000000001</v>
      </c>
      <c r="D743" s="21">
        <v>190.6</v>
      </c>
      <c r="E743" s="3">
        <v>94.45</v>
      </c>
      <c r="F743" s="3">
        <v>26.45</v>
      </c>
      <c r="G743" s="21">
        <v>655.4</v>
      </c>
      <c r="H743" s="3">
        <v>14.32</v>
      </c>
      <c r="I743" s="13">
        <f t="shared" si="12"/>
        <v>3.5708884688090698</v>
      </c>
    </row>
    <row r="744" spans="2:9">
      <c r="C744" s="20">
        <v>2.71</v>
      </c>
      <c r="D744" s="21">
        <v>252.8</v>
      </c>
      <c r="E744" s="3">
        <v>93.91</v>
      </c>
      <c r="F744" s="3">
        <v>25.91</v>
      </c>
      <c r="G744" s="21">
        <v>654.4</v>
      </c>
      <c r="H744" s="3">
        <v>15.28</v>
      </c>
      <c r="I744" s="13">
        <f t="shared" si="12"/>
        <v>3.6244693168660702</v>
      </c>
    </row>
    <row r="745" spans="2:9">
      <c r="C745" s="20">
        <v>2.681</v>
      </c>
      <c r="D745" s="21">
        <v>255.2</v>
      </c>
      <c r="E745" s="3">
        <v>94.78</v>
      </c>
      <c r="F745" s="3">
        <v>26.78</v>
      </c>
      <c r="G745" s="21">
        <v>656.3</v>
      </c>
      <c r="H745" s="3">
        <v>15.6</v>
      </c>
      <c r="I745" s="13">
        <f t="shared" si="12"/>
        <v>3.5392083644510799</v>
      </c>
    </row>
    <row r="746" spans="2:9">
      <c r="C746" s="20">
        <v>2.81</v>
      </c>
      <c r="D746" s="21">
        <v>229.2</v>
      </c>
      <c r="E746" s="3">
        <v>93.62</v>
      </c>
      <c r="F746" s="3">
        <v>25.62</v>
      </c>
      <c r="G746" s="21">
        <v>656.7</v>
      </c>
      <c r="H746" s="3">
        <v>15.27</v>
      </c>
      <c r="I746" s="13">
        <f t="shared" si="12"/>
        <v>3.65417642466823</v>
      </c>
    </row>
    <row r="747" spans="2:9">
      <c r="C747" s="20">
        <v>2.7789999999999999</v>
      </c>
      <c r="D747" s="21">
        <v>182</v>
      </c>
      <c r="E747" s="3">
        <v>94.17</v>
      </c>
      <c r="F747" s="3">
        <v>24.17</v>
      </c>
      <c r="G747" s="21">
        <v>653.20000000000005</v>
      </c>
      <c r="H747" s="3">
        <v>14.94</v>
      </c>
      <c r="I747" s="13">
        <f t="shared" si="12"/>
        <v>3.8961522548613998</v>
      </c>
    </row>
    <row r="748" spans="2:9">
      <c r="C748" s="20">
        <v>2.798</v>
      </c>
      <c r="D748" s="21">
        <v>164.5</v>
      </c>
      <c r="E748" s="3">
        <v>94.34</v>
      </c>
      <c r="F748" s="3">
        <v>26.34</v>
      </c>
      <c r="G748" s="21">
        <v>659.4</v>
      </c>
      <c r="H748" s="3">
        <v>14.46</v>
      </c>
      <c r="I748" s="13">
        <f t="shared" si="12"/>
        <v>3.5816249050873199</v>
      </c>
    </row>
    <row r="749" spans="2:9">
      <c r="C749" s="20">
        <v>2.8</v>
      </c>
      <c r="D749" s="21">
        <v>136.9</v>
      </c>
      <c r="E749" s="3">
        <v>92.85</v>
      </c>
      <c r="F749" s="3">
        <v>25.85</v>
      </c>
      <c r="G749" s="21">
        <v>656.2</v>
      </c>
      <c r="H749" s="3">
        <v>14.45</v>
      </c>
      <c r="I749" s="13">
        <f t="shared" si="12"/>
        <v>3.5918762088974798</v>
      </c>
    </row>
    <row r="750" spans="2:9">
      <c r="C750" s="20">
        <v>2.7949999999999999</v>
      </c>
      <c r="D750" s="21">
        <v>140.6</v>
      </c>
      <c r="E750" s="3">
        <v>94.01</v>
      </c>
      <c r="F750" s="3">
        <v>26.01</v>
      </c>
      <c r="G750" s="21">
        <v>565.29999999999995</v>
      </c>
      <c r="H750" s="3">
        <v>14.95</v>
      </c>
      <c r="I750" s="13">
        <f t="shared" si="12"/>
        <v>3.6143790849673199</v>
      </c>
    </row>
    <row r="751" spans="2:9">
      <c r="C751" s="20">
        <v>2.512</v>
      </c>
      <c r="D751" s="21">
        <v>200.7</v>
      </c>
      <c r="E751" s="3">
        <v>93.49</v>
      </c>
      <c r="F751" s="3">
        <v>25.49</v>
      </c>
      <c r="G751" s="21">
        <v>653.9</v>
      </c>
      <c r="H751" s="3">
        <v>15.09</v>
      </c>
      <c r="I751" s="13">
        <f t="shared" si="12"/>
        <v>3.6677128285602199</v>
      </c>
    </row>
    <row r="752" spans="2:9">
      <c r="C752" s="20">
        <v>2.6</v>
      </c>
      <c r="D752" s="21">
        <v>164.5</v>
      </c>
      <c r="E752" s="3">
        <v>94.66</v>
      </c>
      <c r="F752" s="3">
        <v>27.66</v>
      </c>
      <c r="G752" s="21">
        <v>644.29999999999995</v>
      </c>
      <c r="H752" s="3">
        <v>15.32</v>
      </c>
      <c r="I752" s="13">
        <f t="shared" si="12"/>
        <v>3.42227042660882</v>
      </c>
    </row>
    <row r="753" spans="2:9">
      <c r="C753" s="20">
        <v>2.7549999999999999</v>
      </c>
      <c r="D753" s="21">
        <v>136.9</v>
      </c>
      <c r="E753" s="3">
        <v>93.13</v>
      </c>
      <c r="F753" s="3">
        <v>25.13</v>
      </c>
      <c r="G753" s="21">
        <v>645</v>
      </c>
      <c r="H753" s="3">
        <v>15.33</v>
      </c>
      <c r="I753" s="13">
        <f t="shared" si="12"/>
        <v>3.70592916832471</v>
      </c>
    </row>
    <row r="754" spans="2:9">
      <c r="C754" s="20">
        <v>2.6680000000000001</v>
      </c>
      <c r="D754" s="21">
        <v>118</v>
      </c>
      <c r="E754" s="3">
        <v>93.58</v>
      </c>
      <c r="F754" s="3">
        <v>26.58</v>
      </c>
      <c r="G754" s="21">
        <v>662.9</v>
      </c>
      <c r="H754" s="3">
        <v>14.79</v>
      </c>
      <c r="I754" s="13">
        <f t="shared" si="12"/>
        <v>3.5206922498118902</v>
      </c>
    </row>
    <row r="755" spans="2:9">
      <c r="C755" s="20">
        <v>2.7949999999999999</v>
      </c>
      <c r="D755" s="21">
        <v>164</v>
      </c>
      <c r="E755" s="3">
        <v>93.74</v>
      </c>
      <c r="F755" s="3">
        <v>25.74</v>
      </c>
      <c r="G755" s="21">
        <v>655.8</v>
      </c>
      <c r="H755" s="3">
        <v>14.75</v>
      </c>
      <c r="I755" s="13">
        <f t="shared" si="12"/>
        <v>3.6418026418026401</v>
      </c>
    </row>
    <row r="756" spans="2:9">
      <c r="C756" s="20">
        <v>2.8119999999999998</v>
      </c>
      <c r="D756" s="21">
        <v>117.6</v>
      </c>
      <c r="E756" s="3">
        <v>92.02</v>
      </c>
      <c r="F756" s="3">
        <v>26.02</v>
      </c>
      <c r="G756" s="21">
        <v>657.4</v>
      </c>
      <c r="H756" s="3">
        <v>14.86</v>
      </c>
      <c r="I756" s="13">
        <f t="shared" si="12"/>
        <v>3.5365103766333599</v>
      </c>
    </row>
    <row r="757" spans="2:9">
      <c r="C757" s="20">
        <v>2.8130000000000002</v>
      </c>
      <c r="D757" s="21">
        <v>140.30000000000001</v>
      </c>
      <c r="E757" s="3">
        <v>93.93</v>
      </c>
      <c r="F757" s="3">
        <v>25.93</v>
      </c>
      <c r="G757" s="21">
        <v>659.1</v>
      </c>
      <c r="H757" s="3">
        <v>14.55</v>
      </c>
      <c r="I757" s="13">
        <f t="shared" si="12"/>
        <v>3.6224450443501701</v>
      </c>
    </row>
    <row r="758" spans="2:9">
      <c r="C758" s="20">
        <v>2.8069999999999999</v>
      </c>
      <c r="D758" s="21">
        <v>118</v>
      </c>
      <c r="E758" s="3">
        <v>94.12</v>
      </c>
      <c r="F758" s="3">
        <v>27.12</v>
      </c>
      <c r="G758" s="21">
        <v>652.1</v>
      </c>
      <c r="H758" s="3">
        <v>14.61</v>
      </c>
      <c r="I758" s="13">
        <f t="shared" si="12"/>
        <v>3.4705014749262499</v>
      </c>
    </row>
    <row r="759" spans="2:9">
      <c r="C759" s="20">
        <v>2.7989999999999999</v>
      </c>
      <c r="D759" s="21">
        <v>166.6</v>
      </c>
      <c r="E759" s="3">
        <v>93.38</v>
      </c>
      <c r="F759" s="3">
        <v>25.38</v>
      </c>
      <c r="G759" s="21">
        <v>659.5</v>
      </c>
      <c r="H759" s="3">
        <v>14.95</v>
      </c>
      <c r="I759" s="13">
        <f t="shared" si="12"/>
        <v>3.6792750197005502</v>
      </c>
    </row>
    <row r="760" spans="2:9">
      <c r="C760" s="20">
        <v>2.7949999999999999</v>
      </c>
      <c r="D760" s="21">
        <v>193.6</v>
      </c>
      <c r="E760" s="3">
        <v>94.81</v>
      </c>
      <c r="F760" s="3">
        <v>25.81</v>
      </c>
      <c r="G760" s="21">
        <v>656</v>
      </c>
      <c r="H760" s="3">
        <v>15.17</v>
      </c>
      <c r="I760" s="13">
        <f t="shared" si="12"/>
        <v>3.6733824099186401</v>
      </c>
    </row>
    <row r="761" spans="2:9">
      <c r="C761" s="20">
        <v>2.7850000000000001</v>
      </c>
      <c r="D761" s="21">
        <v>213.6</v>
      </c>
      <c r="E761" s="3">
        <v>93.57</v>
      </c>
      <c r="F761" s="3">
        <v>27.57</v>
      </c>
      <c r="G761" s="21">
        <v>655.4</v>
      </c>
      <c r="H761" s="3">
        <v>15.27</v>
      </c>
      <c r="I761" s="13">
        <f t="shared" si="12"/>
        <v>3.3939064200217599</v>
      </c>
    </row>
    <row r="762" spans="2:9">
      <c r="B762" s="16">
        <v>39</v>
      </c>
      <c r="C762" s="17">
        <v>2.4649999999999999</v>
      </c>
      <c r="D762" s="29">
        <v>207.4</v>
      </c>
      <c r="E762" s="18">
        <v>73.45</v>
      </c>
      <c r="F762" s="18">
        <v>23.62</v>
      </c>
      <c r="G762" s="19">
        <v>665.5</v>
      </c>
      <c r="H762" s="18">
        <v>6.7889999999999997</v>
      </c>
      <c r="I762" s="13">
        <f t="shared" si="12"/>
        <v>3.10965283657917</v>
      </c>
    </row>
    <row r="763" spans="2:9">
      <c r="C763" s="20">
        <v>2.5550000000000002</v>
      </c>
      <c r="D763" s="21">
        <v>259.39999999999998</v>
      </c>
      <c r="E763" s="3">
        <v>75.62</v>
      </c>
      <c r="F763" s="3">
        <v>24.18</v>
      </c>
      <c r="G763" s="21">
        <v>664.4</v>
      </c>
      <c r="H763" s="3">
        <v>6.05</v>
      </c>
      <c r="I763" s="13">
        <f t="shared" si="12"/>
        <v>3.1273779983457399</v>
      </c>
    </row>
    <row r="764" spans="2:9">
      <c r="C764" s="20">
        <v>2.4929999999999999</v>
      </c>
      <c r="D764" s="21">
        <v>226.7</v>
      </c>
      <c r="E764" s="3">
        <v>73.91</v>
      </c>
      <c r="F764" s="3">
        <v>25.91</v>
      </c>
      <c r="G764" s="21">
        <v>664.2</v>
      </c>
      <c r="H764" s="3">
        <v>6.2249999999999996</v>
      </c>
      <c r="I764" s="13">
        <f t="shared" si="12"/>
        <v>2.8525665766113502</v>
      </c>
    </row>
    <row r="765" spans="2:9">
      <c r="C765" s="20">
        <v>2.5230000000000001</v>
      </c>
      <c r="D765" s="21">
        <v>263.2</v>
      </c>
      <c r="E765" s="3">
        <v>74.27</v>
      </c>
      <c r="F765" s="3">
        <v>24.73</v>
      </c>
      <c r="G765" s="21">
        <v>662.3</v>
      </c>
      <c r="H765" s="3">
        <v>6.3979999999999997</v>
      </c>
      <c r="I765" s="13">
        <f t="shared" si="12"/>
        <v>3.0032349373230902</v>
      </c>
    </row>
    <row r="766" spans="2:9">
      <c r="C766" s="20">
        <v>2.5409999999999999</v>
      </c>
      <c r="D766" s="21">
        <v>231.4</v>
      </c>
      <c r="E766" s="3">
        <v>73.58</v>
      </c>
      <c r="F766" s="3">
        <v>23.58</v>
      </c>
      <c r="G766" s="21">
        <v>658.7</v>
      </c>
      <c r="H766" s="3">
        <v>6.3639999999999999</v>
      </c>
      <c r="I766" s="13">
        <f t="shared" si="12"/>
        <v>3.12044105173876</v>
      </c>
    </row>
    <row r="767" spans="2:9">
      <c r="C767" s="20">
        <v>2.5249999999999999</v>
      </c>
      <c r="D767" s="21">
        <v>207.4</v>
      </c>
      <c r="E767" s="3">
        <v>74.89</v>
      </c>
      <c r="F767" s="3">
        <v>25.29</v>
      </c>
      <c r="G767" s="21">
        <v>663.9</v>
      </c>
      <c r="H767" s="3">
        <v>7.2910000000000004</v>
      </c>
      <c r="I767" s="13">
        <f t="shared" si="12"/>
        <v>2.9612495057334902</v>
      </c>
    </row>
    <row r="768" spans="2:9">
      <c r="C768" s="20">
        <v>2.496</v>
      </c>
      <c r="D768" s="21">
        <v>172.8</v>
      </c>
      <c r="E768" s="3">
        <v>74.33</v>
      </c>
      <c r="F768" s="3">
        <v>24.76</v>
      </c>
      <c r="G768" s="21">
        <v>662.9</v>
      </c>
      <c r="H768" s="3">
        <v>7.7839999999999998</v>
      </c>
      <c r="I768" s="13">
        <f t="shared" si="12"/>
        <v>3.0020193861066198</v>
      </c>
    </row>
    <row r="769" spans="2:9">
      <c r="C769" s="20">
        <v>2.4649999999999999</v>
      </c>
      <c r="D769" s="21">
        <v>164.3</v>
      </c>
      <c r="E769" s="3">
        <v>74.75</v>
      </c>
      <c r="F769" s="3">
        <v>24.65</v>
      </c>
      <c r="G769" s="21">
        <v>663.4</v>
      </c>
      <c r="H769" s="3">
        <v>8.0630000000000006</v>
      </c>
      <c r="I769" s="13">
        <f t="shared" si="12"/>
        <v>3.0324543610547701</v>
      </c>
    </row>
    <row r="770" spans="2:9">
      <c r="C770" s="20">
        <v>2.4510000000000001</v>
      </c>
      <c r="D770" s="21">
        <v>151.69999999999999</v>
      </c>
      <c r="E770" s="3">
        <v>73.12</v>
      </c>
      <c r="F770" s="3">
        <v>23.44</v>
      </c>
      <c r="G770" s="21">
        <v>666.1</v>
      </c>
      <c r="H770" s="3">
        <v>7.9340000000000002</v>
      </c>
      <c r="I770" s="13">
        <f t="shared" si="12"/>
        <v>3.11945392491468</v>
      </c>
    </row>
    <row r="771" spans="2:9">
      <c r="C771" s="20">
        <v>2.4300000000000002</v>
      </c>
      <c r="D771" s="21">
        <v>159.6</v>
      </c>
      <c r="E771" s="3">
        <v>74.41</v>
      </c>
      <c r="F771" s="3">
        <v>23.81</v>
      </c>
      <c r="G771" s="21">
        <v>673.3</v>
      </c>
      <c r="H771" s="3">
        <v>8.0429999999999993</v>
      </c>
      <c r="I771" s="13">
        <f t="shared" ref="I771:I834" si="13">E771/F771</f>
        <v>3.1251574968500599</v>
      </c>
    </row>
    <row r="772" spans="2:9">
      <c r="C772" s="20">
        <v>2.3839999999999999</v>
      </c>
      <c r="D772" s="21">
        <v>217.8</v>
      </c>
      <c r="E772" s="3">
        <v>75.87</v>
      </c>
      <c r="F772" s="3">
        <v>23.92</v>
      </c>
      <c r="G772" s="21">
        <v>665</v>
      </c>
      <c r="H772" s="3">
        <v>7.9370000000000003</v>
      </c>
      <c r="I772" s="13">
        <f t="shared" si="13"/>
        <v>3.1718227424749199</v>
      </c>
    </row>
    <row r="773" spans="2:9">
      <c r="C773" s="20">
        <v>2.29</v>
      </c>
      <c r="D773" s="21">
        <v>183</v>
      </c>
      <c r="E773" s="3">
        <v>75.180000000000007</v>
      </c>
      <c r="F773" s="3">
        <v>24.53</v>
      </c>
      <c r="G773" s="21">
        <v>660.5</v>
      </c>
      <c r="H773" s="3">
        <v>7.7460000000000004</v>
      </c>
      <c r="I773" s="13">
        <f t="shared" si="13"/>
        <v>3.0648185894822699</v>
      </c>
    </row>
    <row r="774" spans="2:9">
      <c r="C774" s="20">
        <v>2.2490000000000001</v>
      </c>
      <c r="D774" s="21">
        <v>203.5</v>
      </c>
      <c r="E774" s="3">
        <v>73.69</v>
      </c>
      <c r="F774" s="3">
        <v>23.34</v>
      </c>
      <c r="G774" s="21">
        <v>659.6</v>
      </c>
      <c r="H774" s="3">
        <v>7.7839999999999998</v>
      </c>
      <c r="I774" s="13">
        <f t="shared" si="13"/>
        <v>3.1572407883461899</v>
      </c>
    </row>
    <row r="775" spans="2:9">
      <c r="C775" s="20">
        <v>2.218</v>
      </c>
      <c r="D775" s="21">
        <v>106.6</v>
      </c>
      <c r="E775" s="3">
        <v>74.53</v>
      </c>
      <c r="F775" s="3">
        <v>25.11</v>
      </c>
      <c r="G775" s="21">
        <v>658.7</v>
      </c>
      <c r="H775" s="3">
        <v>7.7640000000000002</v>
      </c>
      <c r="I775" s="13">
        <f t="shared" si="13"/>
        <v>2.9681401831939498</v>
      </c>
    </row>
    <row r="776" spans="2:9">
      <c r="C776" s="20">
        <v>2.2490000000000001</v>
      </c>
      <c r="D776" s="21">
        <v>227</v>
      </c>
      <c r="E776" s="3">
        <v>73.239999999999995</v>
      </c>
      <c r="F776" s="3">
        <v>23.69</v>
      </c>
      <c r="G776" s="21">
        <v>660.1</v>
      </c>
      <c r="H776" s="3">
        <v>7.3339999999999996</v>
      </c>
      <c r="I776" s="13">
        <f t="shared" si="13"/>
        <v>3.0915998311523798</v>
      </c>
    </row>
    <row r="777" spans="2:9">
      <c r="C777" s="20">
        <v>2.3519999999999999</v>
      </c>
      <c r="D777" s="21">
        <v>257.10000000000002</v>
      </c>
      <c r="E777" s="3">
        <v>74.06</v>
      </c>
      <c r="F777" s="3">
        <v>24.84</v>
      </c>
      <c r="G777" s="21">
        <v>662.4</v>
      </c>
      <c r="H777" s="3">
        <v>6.8920000000000003</v>
      </c>
      <c r="I777" s="13">
        <f t="shared" si="13"/>
        <v>2.9814814814814801</v>
      </c>
    </row>
    <row r="778" spans="2:9">
      <c r="C778" s="20">
        <v>2.4079999999999999</v>
      </c>
      <c r="D778" s="21">
        <v>214.9</v>
      </c>
      <c r="E778" s="3">
        <v>73.790000000000006</v>
      </c>
      <c r="F778" s="3">
        <v>25.77</v>
      </c>
      <c r="G778" s="21">
        <v>668.4</v>
      </c>
      <c r="H778" s="3">
        <v>7.3339999999999996</v>
      </c>
      <c r="I778" s="13">
        <f t="shared" si="13"/>
        <v>2.8634070624757499</v>
      </c>
    </row>
    <row r="779" spans="2:9">
      <c r="C779" s="20">
        <v>2.4300000000000002</v>
      </c>
      <c r="D779" s="21">
        <v>206.6</v>
      </c>
      <c r="E779" s="3">
        <v>75.38</v>
      </c>
      <c r="F779" s="3">
        <v>24.38</v>
      </c>
      <c r="G779" s="21">
        <v>671.1</v>
      </c>
      <c r="H779" s="3">
        <v>7.6459999999999999</v>
      </c>
      <c r="I779" s="13">
        <f t="shared" si="13"/>
        <v>3.0918785890073801</v>
      </c>
    </row>
    <row r="780" spans="2:9">
      <c r="C780" s="20">
        <v>2.4510000000000001</v>
      </c>
      <c r="D780" s="21">
        <v>164</v>
      </c>
      <c r="E780" s="3">
        <v>75.510000000000005</v>
      </c>
      <c r="F780" s="3">
        <v>24.14</v>
      </c>
      <c r="G780" s="21">
        <v>665.9</v>
      </c>
      <c r="H780" s="3">
        <v>7.9370000000000003</v>
      </c>
      <c r="I780" s="13">
        <f t="shared" si="13"/>
        <v>3.1280033140016599</v>
      </c>
    </row>
    <row r="781" spans="2:9">
      <c r="C781" s="20">
        <v>2.4649999999999999</v>
      </c>
      <c r="D781" s="21">
        <v>207.4</v>
      </c>
      <c r="E781" s="3">
        <v>74.930000000000007</v>
      </c>
      <c r="F781" s="3">
        <v>24.26</v>
      </c>
      <c r="G781" s="21">
        <v>658.9</v>
      </c>
      <c r="H781" s="3">
        <v>8.1470000000000002</v>
      </c>
      <c r="I781" s="13">
        <f t="shared" si="13"/>
        <v>3.0886232481450899</v>
      </c>
    </row>
    <row r="782" spans="2:9">
      <c r="B782" s="16">
        <v>40</v>
      </c>
      <c r="C782" s="17">
        <v>2.7690000000000001</v>
      </c>
      <c r="D782" s="29">
        <v>234.1</v>
      </c>
      <c r="E782" s="18">
        <v>98.45</v>
      </c>
      <c r="F782" s="18">
        <v>17.45</v>
      </c>
      <c r="G782" s="19">
        <v>664</v>
      </c>
      <c r="H782" s="18">
        <v>5.375</v>
      </c>
      <c r="I782" s="13">
        <f t="shared" si="13"/>
        <v>5.64183381088825</v>
      </c>
    </row>
    <row r="783" spans="2:9">
      <c r="C783" s="20">
        <v>2.73</v>
      </c>
      <c r="D783" s="21">
        <v>241.2</v>
      </c>
      <c r="E783" s="3">
        <v>99.62</v>
      </c>
      <c r="F783" s="3">
        <v>17.62</v>
      </c>
      <c r="G783" s="21">
        <v>662.5</v>
      </c>
      <c r="H783" s="3">
        <v>6.0570000000000004</v>
      </c>
      <c r="I783" s="13">
        <f t="shared" si="13"/>
        <v>5.65380249716232</v>
      </c>
    </row>
    <row r="784" spans="2:9">
      <c r="C784" s="20">
        <v>2.5790000000000002</v>
      </c>
      <c r="D784" s="21">
        <v>200.3</v>
      </c>
      <c r="E784" s="3">
        <v>98.91</v>
      </c>
      <c r="F784" s="3">
        <v>17.91</v>
      </c>
      <c r="G784" s="21">
        <v>661.2</v>
      </c>
      <c r="H784" s="3">
        <v>6.3529999999999998</v>
      </c>
      <c r="I784" s="13">
        <f t="shared" si="13"/>
        <v>5.5226130653266301</v>
      </c>
    </row>
    <row r="785" spans="3:9">
      <c r="C785" s="20">
        <v>2.7949999999999999</v>
      </c>
      <c r="D785" s="21">
        <v>225.6</v>
      </c>
      <c r="E785" s="3">
        <v>99.73</v>
      </c>
      <c r="F785" s="3">
        <v>18.73</v>
      </c>
      <c r="G785" s="21">
        <v>659.1</v>
      </c>
      <c r="H785" s="3">
        <v>6.3019999999999996</v>
      </c>
      <c r="I785" s="13">
        <f t="shared" si="13"/>
        <v>5.3246129204484802</v>
      </c>
    </row>
    <row r="786" spans="3:9">
      <c r="C786" s="20">
        <v>2.8159999999999998</v>
      </c>
      <c r="D786" s="21">
        <v>199.5</v>
      </c>
      <c r="E786" s="3">
        <v>98.58</v>
      </c>
      <c r="F786" s="3">
        <v>17.579999999999998</v>
      </c>
      <c r="G786" s="21">
        <v>663.4</v>
      </c>
      <c r="H786" s="3">
        <v>6.5910000000000002</v>
      </c>
      <c r="I786" s="13">
        <f t="shared" si="13"/>
        <v>5.6075085324232097</v>
      </c>
    </row>
    <row r="787" spans="3:9">
      <c r="C787" s="20">
        <v>2.6760000000000002</v>
      </c>
      <c r="D787" s="21">
        <v>248.5</v>
      </c>
      <c r="E787" s="3">
        <v>99.89</v>
      </c>
      <c r="F787" s="3">
        <v>16.29</v>
      </c>
      <c r="G787" s="21">
        <v>665.9</v>
      </c>
      <c r="H787" s="3">
        <v>6.835</v>
      </c>
      <c r="I787" s="13">
        <f t="shared" si="13"/>
        <v>6.1319828115408201</v>
      </c>
    </row>
    <row r="788" spans="3:9">
      <c r="C788" s="20">
        <v>2.8340000000000001</v>
      </c>
      <c r="D788" s="21">
        <v>241.2</v>
      </c>
      <c r="E788" s="3">
        <v>98.33</v>
      </c>
      <c r="F788" s="3">
        <v>19.760000000000002</v>
      </c>
      <c r="G788" s="21">
        <v>672.6</v>
      </c>
      <c r="H788" s="3">
        <v>6.3529999999999998</v>
      </c>
      <c r="I788" s="13">
        <f t="shared" si="13"/>
        <v>4.9762145748987896</v>
      </c>
    </row>
    <row r="789" spans="3:9">
      <c r="C789" s="20">
        <v>2.8029999999999999</v>
      </c>
      <c r="D789" s="21">
        <v>230.6</v>
      </c>
      <c r="E789" s="3">
        <v>100.8</v>
      </c>
      <c r="F789" s="3">
        <v>18.649999999999999</v>
      </c>
      <c r="G789" s="21">
        <v>680.7</v>
      </c>
      <c r="H789" s="3">
        <v>6.9189999999999996</v>
      </c>
      <c r="I789" s="13">
        <f t="shared" si="13"/>
        <v>5.40482573726542</v>
      </c>
    </row>
    <row r="790" spans="3:9">
      <c r="C790" s="20">
        <v>2.831</v>
      </c>
      <c r="D790" s="21">
        <v>210.8</v>
      </c>
      <c r="E790" s="3">
        <v>98.12</v>
      </c>
      <c r="F790" s="3">
        <v>17.440000000000001</v>
      </c>
      <c r="G790" s="21">
        <v>682</v>
      </c>
      <c r="H790" s="3">
        <v>7.0090000000000003</v>
      </c>
      <c r="I790" s="13">
        <f t="shared" si="13"/>
        <v>5.6261467889908303</v>
      </c>
    </row>
    <row r="791" spans="3:9">
      <c r="C791" s="20">
        <v>2.823</v>
      </c>
      <c r="D791" s="21">
        <v>241</v>
      </c>
      <c r="E791" s="3">
        <v>99.41</v>
      </c>
      <c r="F791" s="3">
        <v>18.809999999999999</v>
      </c>
      <c r="G791" s="21">
        <v>681.6</v>
      </c>
      <c r="H791" s="3">
        <v>6.4829999999999997</v>
      </c>
      <c r="I791" s="13">
        <f t="shared" si="13"/>
        <v>5.2849548112706</v>
      </c>
    </row>
    <row r="792" spans="3:9">
      <c r="C792" s="20">
        <v>2.7949999999999999</v>
      </c>
      <c r="D792" s="21">
        <v>259.8</v>
      </c>
      <c r="E792" s="3">
        <v>98.87</v>
      </c>
      <c r="F792" s="3">
        <v>18.920000000000002</v>
      </c>
      <c r="G792" s="21">
        <v>689</v>
      </c>
      <c r="H792" s="3">
        <v>6.3460000000000001</v>
      </c>
      <c r="I792" s="13">
        <f t="shared" si="13"/>
        <v>5.2256871035940797</v>
      </c>
    </row>
    <row r="793" spans="3:9">
      <c r="C793" s="20">
        <v>2.8239999999999998</v>
      </c>
      <c r="D793" s="21">
        <v>237.8</v>
      </c>
      <c r="E793" s="3">
        <v>99.18</v>
      </c>
      <c r="F793" s="3">
        <v>18.53</v>
      </c>
      <c r="G793" s="21">
        <v>688.2</v>
      </c>
      <c r="H793" s="3">
        <v>5.2919999999999998</v>
      </c>
      <c r="I793" s="13">
        <f t="shared" si="13"/>
        <v>5.3524015110631398</v>
      </c>
    </row>
    <row r="794" spans="3:9">
      <c r="C794" s="20">
        <v>2.7679999999999998</v>
      </c>
      <c r="D794" s="21">
        <v>243.8</v>
      </c>
      <c r="E794" s="3">
        <v>98.69</v>
      </c>
      <c r="F794" s="3">
        <v>17.34</v>
      </c>
      <c r="G794" s="21">
        <v>685.9</v>
      </c>
      <c r="H794" s="3">
        <v>6.0780000000000003</v>
      </c>
      <c r="I794" s="13">
        <f t="shared" si="13"/>
        <v>5.6914648212226098</v>
      </c>
    </row>
    <row r="795" spans="3:9">
      <c r="C795" s="20">
        <v>2.7850000000000001</v>
      </c>
      <c r="D795" s="21">
        <v>224</v>
      </c>
      <c r="E795" s="3">
        <v>99.53</v>
      </c>
      <c r="F795" s="3">
        <v>17.11</v>
      </c>
      <c r="G795" s="21">
        <v>682.9</v>
      </c>
      <c r="H795" s="3">
        <v>6.0819999999999999</v>
      </c>
      <c r="I795" s="13">
        <f t="shared" si="13"/>
        <v>5.81706604324956</v>
      </c>
    </row>
    <row r="796" spans="3:9">
      <c r="C796" s="20">
        <v>2.7949999999999999</v>
      </c>
      <c r="D796" s="21">
        <v>194.4</v>
      </c>
      <c r="E796" s="3">
        <v>98.24</v>
      </c>
      <c r="F796" s="3">
        <v>17.690000000000001</v>
      </c>
      <c r="G796" s="21">
        <v>677.1</v>
      </c>
      <c r="H796" s="3">
        <v>6.9189999999999996</v>
      </c>
      <c r="I796" s="13">
        <f t="shared" si="13"/>
        <v>5.5534200113058203</v>
      </c>
    </row>
    <row r="797" spans="3:9">
      <c r="C797" s="20">
        <v>2.6520000000000001</v>
      </c>
      <c r="D797" s="21">
        <v>200.3</v>
      </c>
      <c r="E797" s="3">
        <v>99.06</v>
      </c>
      <c r="F797" s="3">
        <v>18.84</v>
      </c>
      <c r="G797" s="21">
        <v>669.7</v>
      </c>
      <c r="H797" s="3">
        <v>7.109</v>
      </c>
      <c r="I797" s="13">
        <f t="shared" si="13"/>
        <v>5.2579617834394901</v>
      </c>
    </row>
    <row r="798" spans="3:9">
      <c r="C798" s="20">
        <v>2.496</v>
      </c>
      <c r="D798" s="21">
        <v>203.9</v>
      </c>
      <c r="E798" s="3">
        <v>98.79</v>
      </c>
      <c r="F798" s="3">
        <v>17.77</v>
      </c>
      <c r="G798" s="21">
        <v>683.6</v>
      </c>
      <c r="H798" s="3">
        <v>7.0430000000000001</v>
      </c>
      <c r="I798" s="13">
        <f t="shared" si="13"/>
        <v>5.5593697242543598</v>
      </c>
    </row>
    <row r="799" spans="3:9">
      <c r="C799" s="20">
        <v>2.2370000000000001</v>
      </c>
      <c r="D799" s="21">
        <v>197.8</v>
      </c>
      <c r="E799" s="3">
        <v>99.34</v>
      </c>
      <c r="F799" s="3">
        <v>19.38</v>
      </c>
      <c r="G799" s="21">
        <v>664.5</v>
      </c>
      <c r="H799" s="3">
        <v>7.1870000000000003</v>
      </c>
      <c r="I799" s="13">
        <f t="shared" si="13"/>
        <v>5.1259029927760604</v>
      </c>
    </row>
    <row r="800" spans="3:9">
      <c r="C800" s="20">
        <v>2.5790000000000002</v>
      </c>
      <c r="D800" s="21">
        <v>199.3</v>
      </c>
      <c r="E800" s="3">
        <v>98.51</v>
      </c>
      <c r="F800" s="3">
        <v>17.14</v>
      </c>
      <c r="G800" s="21">
        <v>665.9</v>
      </c>
      <c r="H800" s="3">
        <v>7.0430000000000001</v>
      </c>
      <c r="I800" s="13">
        <f t="shared" si="13"/>
        <v>5.74737456242707</v>
      </c>
    </row>
    <row r="801" spans="2:9">
      <c r="C801" s="20">
        <v>2.7320000000000002</v>
      </c>
      <c r="D801" s="21">
        <v>200</v>
      </c>
      <c r="E801" s="3">
        <v>99.68</v>
      </c>
      <c r="F801" s="3">
        <v>18.260000000000002</v>
      </c>
      <c r="G801" s="21">
        <v>685.7</v>
      </c>
      <c r="H801" s="3">
        <v>6.9960000000000004</v>
      </c>
      <c r="I801" s="13">
        <f t="shared" si="13"/>
        <v>5.4589266155531204</v>
      </c>
    </row>
    <row r="802" spans="2:9">
      <c r="B802" s="16">
        <v>41</v>
      </c>
      <c r="C802" s="17">
        <v>1.905</v>
      </c>
      <c r="D802" s="29">
        <v>219.3</v>
      </c>
      <c r="E802" s="18">
        <v>81.27</v>
      </c>
      <c r="F802" s="18">
        <v>25.27</v>
      </c>
      <c r="G802" s="19">
        <v>613.1</v>
      </c>
      <c r="H802" s="18">
        <v>5.9059999999999997</v>
      </c>
      <c r="I802" s="13">
        <f t="shared" si="13"/>
        <v>3.21606648199446</v>
      </c>
    </row>
    <row r="803" spans="2:9">
      <c r="C803" s="20">
        <v>1.954</v>
      </c>
      <c r="D803" s="21">
        <v>209</v>
      </c>
      <c r="E803" s="3">
        <v>82.45</v>
      </c>
      <c r="F803" s="3">
        <v>26.45</v>
      </c>
      <c r="G803" s="21">
        <v>611.79999999999995</v>
      </c>
      <c r="H803" s="20">
        <v>5.92</v>
      </c>
      <c r="I803" s="13">
        <f t="shared" si="13"/>
        <v>3.1172022684309999</v>
      </c>
    </row>
    <row r="804" spans="2:9">
      <c r="C804" s="20">
        <v>1.9530000000000001</v>
      </c>
      <c r="D804" s="21">
        <v>196.4</v>
      </c>
      <c r="E804" s="3">
        <v>81.91</v>
      </c>
      <c r="F804" s="3">
        <v>25.91</v>
      </c>
      <c r="G804" s="21">
        <v>623.70000000000005</v>
      </c>
      <c r="H804" s="3">
        <v>6.125</v>
      </c>
      <c r="I804" s="13">
        <f t="shared" si="13"/>
        <v>3.1613276727132398</v>
      </c>
    </row>
    <row r="805" spans="2:9">
      <c r="C805" s="20">
        <v>1.95</v>
      </c>
      <c r="D805" s="21">
        <v>195</v>
      </c>
      <c r="E805" s="3">
        <v>82.73</v>
      </c>
      <c r="F805" s="3">
        <v>26.78</v>
      </c>
      <c r="G805" s="21">
        <v>619.70000000000005</v>
      </c>
      <c r="H805" s="3">
        <v>6.1689999999999996</v>
      </c>
      <c r="I805" s="13">
        <f t="shared" si="13"/>
        <v>3.0892457057505598</v>
      </c>
    </row>
    <row r="806" spans="2:9">
      <c r="C806" s="20">
        <v>1.952</v>
      </c>
      <c r="D806" s="21">
        <v>187.4</v>
      </c>
      <c r="E806" s="3">
        <v>81.58</v>
      </c>
      <c r="F806" s="3">
        <v>26.62</v>
      </c>
      <c r="G806" s="21">
        <v>609.79999999999995</v>
      </c>
      <c r="H806" s="3">
        <v>6.125</v>
      </c>
      <c r="I806" s="13">
        <f t="shared" si="13"/>
        <v>3.06461307287754</v>
      </c>
    </row>
    <row r="807" spans="2:9">
      <c r="C807" s="20">
        <v>1.821</v>
      </c>
      <c r="D807" s="21">
        <v>196.8</v>
      </c>
      <c r="E807" s="3">
        <v>83.29</v>
      </c>
      <c r="F807" s="3">
        <v>26.17</v>
      </c>
      <c r="G807" s="21">
        <v>610.20000000000005</v>
      </c>
      <c r="H807" s="20">
        <v>6.5510000000000002</v>
      </c>
      <c r="I807" s="13">
        <f t="shared" si="13"/>
        <v>3.1826518914787898</v>
      </c>
    </row>
    <row r="808" spans="2:9">
      <c r="C808" s="20">
        <v>1.895</v>
      </c>
      <c r="D808" s="21">
        <v>219.3</v>
      </c>
      <c r="E808" s="3">
        <v>81.760000000000005</v>
      </c>
      <c r="F808" s="3">
        <v>26.34</v>
      </c>
      <c r="G808" s="21">
        <v>611.79999999999995</v>
      </c>
      <c r="H808" s="20">
        <v>6.51</v>
      </c>
      <c r="I808" s="13">
        <f t="shared" si="13"/>
        <v>3.1040242976461698</v>
      </c>
    </row>
    <row r="809" spans="2:9">
      <c r="C809" s="20">
        <v>1.929</v>
      </c>
      <c r="D809" s="21">
        <v>227.8</v>
      </c>
      <c r="E809" s="3">
        <v>82.65</v>
      </c>
      <c r="F809" s="3">
        <v>25.85</v>
      </c>
      <c r="G809" s="21">
        <v>609.9</v>
      </c>
      <c r="H809" s="3">
        <v>6.593</v>
      </c>
      <c r="I809" s="13">
        <f t="shared" si="13"/>
        <v>3.1972920696324998</v>
      </c>
    </row>
    <row r="810" spans="2:9">
      <c r="C810" s="20">
        <v>1.946</v>
      </c>
      <c r="D810" s="21">
        <v>217.3</v>
      </c>
      <c r="E810" s="3">
        <v>84.44</v>
      </c>
      <c r="F810" s="3">
        <v>26.01</v>
      </c>
      <c r="G810" s="21">
        <v>609.4</v>
      </c>
      <c r="H810" s="3">
        <v>6.2969999999999997</v>
      </c>
      <c r="I810" s="13">
        <f t="shared" si="13"/>
        <v>3.2464436755094201</v>
      </c>
    </row>
    <row r="811" spans="2:9">
      <c r="C811" s="20">
        <v>1.7889999999999999</v>
      </c>
      <c r="D811" s="21">
        <v>206.8</v>
      </c>
      <c r="E811" s="3">
        <v>83.81</v>
      </c>
      <c r="F811" s="3">
        <v>25.49</v>
      </c>
      <c r="G811" s="21">
        <v>610.20000000000005</v>
      </c>
      <c r="H811" s="3">
        <v>6.665</v>
      </c>
      <c r="I811" s="13">
        <f t="shared" si="13"/>
        <v>3.2879560612004699</v>
      </c>
    </row>
    <row r="812" spans="2:9">
      <c r="C812" s="20">
        <v>1.8320000000000001</v>
      </c>
      <c r="D812" s="21">
        <v>222.4</v>
      </c>
      <c r="E812" s="3">
        <v>81.92</v>
      </c>
      <c r="F812" s="3">
        <v>26.66</v>
      </c>
      <c r="G812" s="21">
        <v>610.9</v>
      </c>
      <c r="H812" s="3">
        <v>6.1109999999999998</v>
      </c>
      <c r="I812" s="13">
        <f t="shared" si="13"/>
        <v>3.0727681920480099</v>
      </c>
    </row>
    <row r="813" spans="2:9">
      <c r="C813" s="20">
        <v>1.6639999999999999</v>
      </c>
      <c r="D813" s="21">
        <v>228</v>
      </c>
      <c r="E813" s="3">
        <v>82.53</v>
      </c>
      <c r="F813" s="3">
        <v>26.13</v>
      </c>
      <c r="G813" s="21">
        <v>614.9</v>
      </c>
      <c r="H813" s="3">
        <v>5.8609999999999998</v>
      </c>
      <c r="I813" s="13">
        <f t="shared" si="13"/>
        <v>3.1584385763490199</v>
      </c>
    </row>
    <row r="814" spans="2:9">
      <c r="C814" s="20">
        <v>1.7150000000000001</v>
      </c>
      <c r="D814" s="21">
        <v>191.3</v>
      </c>
      <c r="E814" s="3">
        <v>81.34</v>
      </c>
      <c r="F814" s="3">
        <v>26.58</v>
      </c>
      <c r="G814" s="21">
        <v>612.4</v>
      </c>
      <c r="H814" s="3">
        <v>6.0730000000000004</v>
      </c>
      <c r="I814" s="13">
        <f t="shared" si="13"/>
        <v>3.0601956358164002</v>
      </c>
    </row>
    <row r="815" spans="2:9">
      <c r="C815" s="20">
        <v>1.6419999999999999</v>
      </c>
      <c r="D815" s="21">
        <v>184.5</v>
      </c>
      <c r="E815" s="3">
        <v>82.11</v>
      </c>
      <c r="F815" s="3">
        <v>25.74</v>
      </c>
      <c r="G815" s="21">
        <v>612.70000000000005</v>
      </c>
      <c r="H815" s="3">
        <v>5.9630000000000001</v>
      </c>
      <c r="I815" s="13">
        <f t="shared" si="13"/>
        <v>3.1899766899766901</v>
      </c>
    </row>
    <row r="816" spans="2:9">
      <c r="C816" s="20">
        <v>1.7150000000000001</v>
      </c>
      <c r="D816" s="21">
        <v>177.1</v>
      </c>
      <c r="E816" s="3">
        <v>81.69</v>
      </c>
      <c r="F816" s="3">
        <v>26.02</v>
      </c>
      <c r="G816" s="21">
        <v>610.5</v>
      </c>
      <c r="H816" s="3">
        <v>6.1479999999999997</v>
      </c>
      <c r="I816" s="13">
        <f t="shared" si="13"/>
        <v>3.1395080707148302</v>
      </c>
    </row>
    <row r="817" spans="2:9">
      <c r="C817" s="20">
        <v>1.667</v>
      </c>
      <c r="D817" s="21">
        <v>184.3</v>
      </c>
      <c r="E817" s="3">
        <v>82.84</v>
      </c>
      <c r="F817" s="3">
        <v>25.93</v>
      </c>
      <c r="G817" s="21">
        <v>611.5</v>
      </c>
      <c r="H817" s="3">
        <v>6.3739999999999997</v>
      </c>
      <c r="I817" s="13">
        <f t="shared" si="13"/>
        <v>3.1947551099112999</v>
      </c>
    </row>
    <row r="818" spans="2:9">
      <c r="C818" s="20">
        <v>1.629</v>
      </c>
      <c r="D818" s="21">
        <v>193.6</v>
      </c>
      <c r="E818" s="3">
        <v>81.77</v>
      </c>
      <c r="F818" s="3">
        <v>26.12</v>
      </c>
      <c r="G818" s="21">
        <v>612.6</v>
      </c>
      <c r="H818" s="3">
        <v>6.2190000000000003</v>
      </c>
      <c r="I818" s="13">
        <f t="shared" si="13"/>
        <v>3.1305513016845299</v>
      </c>
    </row>
    <row r="819" spans="2:9">
      <c r="C819" s="20">
        <v>1.597</v>
      </c>
      <c r="D819" s="21">
        <v>209</v>
      </c>
      <c r="E819" s="3">
        <v>82.38</v>
      </c>
      <c r="F819" s="3">
        <v>27.38</v>
      </c>
      <c r="G819" s="21">
        <v>614.9</v>
      </c>
      <c r="H819" s="3">
        <v>6.4770000000000003</v>
      </c>
      <c r="I819" s="13">
        <f t="shared" si="13"/>
        <v>3.0087655222790399</v>
      </c>
    </row>
    <row r="820" spans="2:9">
      <c r="C820" s="20">
        <v>1.6040000000000001</v>
      </c>
      <c r="D820" s="21">
        <v>227.8</v>
      </c>
      <c r="E820" s="3">
        <v>81.14</v>
      </c>
      <c r="F820" s="3">
        <v>26.81</v>
      </c>
      <c r="G820" s="21">
        <v>612.4</v>
      </c>
      <c r="H820" s="3">
        <v>6.2</v>
      </c>
      <c r="I820" s="13">
        <f t="shared" si="13"/>
        <v>3.0264826557254798</v>
      </c>
    </row>
    <row r="821" spans="2:9">
      <c r="C821" s="20">
        <v>1.597</v>
      </c>
      <c r="D821" s="21">
        <v>238.3</v>
      </c>
      <c r="E821" s="3">
        <v>84.26</v>
      </c>
      <c r="F821" s="3">
        <v>26.57</v>
      </c>
      <c r="G821" s="21">
        <v>610.9</v>
      </c>
      <c r="H821" s="3">
        <v>6.2480000000000002</v>
      </c>
      <c r="I821" s="13">
        <f t="shared" si="13"/>
        <v>3.1712457659013902</v>
      </c>
    </row>
    <row r="822" spans="2:9">
      <c r="B822" s="16">
        <v>42</v>
      </c>
      <c r="C822" s="17">
        <v>1.95</v>
      </c>
      <c r="D822" s="29">
        <v>166.3</v>
      </c>
      <c r="E822" s="18">
        <v>105.2</v>
      </c>
      <c r="F822" s="18">
        <v>37.29</v>
      </c>
      <c r="G822" s="19">
        <v>664.8</v>
      </c>
      <c r="H822" s="18">
        <v>16.309999999999999</v>
      </c>
      <c r="I822" s="13">
        <f t="shared" si="13"/>
        <v>2.8211316706891898</v>
      </c>
    </row>
    <row r="823" spans="2:9">
      <c r="C823" s="20">
        <v>1.9239999999999999</v>
      </c>
      <c r="D823" s="21">
        <v>164.2</v>
      </c>
      <c r="E823" s="3">
        <v>106.3</v>
      </c>
      <c r="F823" s="3">
        <v>38.119999999999997</v>
      </c>
      <c r="G823" s="21">
        <v>665.7</v>
      </c>
      <c r="H823" s="3">
        <v>16.55</v>
      </c>
      <c r="I823" s="13">
        <f t="shared" si="13"/>
        <v>2.7885624344176301</v>
      </c>
    </row>
    <row r="824" spans="2:9">
      <c r="C824" s="20">
        <v>1.905</v>
      </c>
      <c r="D824" s="21">
        <v>185.6</v>
      </c>
      <c r="E824" s="3">
        <v>107.4</v>
      </c>
      <c r="F824" s="3">
        <v>37.85</v>
      </c>
      <c r="G824" s="21">
        <v>664.5</v>
      </c>
      <c r="H824" s="3">
        <v>16.87</v>
      </c>
      <c r="I824" s="13">
        <f t="shared" si="13"/>
        <v>2.8375165125495401</v>
      </c>
    </row>
    <row r="825" spans="2:9">
      <c r="C825" s="20">
        <v>1.9530000000000001</v>
      </c>
      <c r="D825" s="21">
        <v>170.6</v>
      </c>
      <c r="E825" s="3">
        <v>106.1</v>
      </c>
      <c r="F825" s="3">
        <v>37.47</v>
      </c>
      <c r="G825" s="21">
        <v>663.3</v>
      </c>
      <c r="H825" s="3">
        <v>16.05</v>
      </c>
      <c r="I825" s="13">
        <f t="shared" si="13"/>
        <v>2.83159861222311</v>
      </c>
    </row>
    <row r="826" spans="2:9">
      <c r="C826" s="20">
        <v>1.954</v>
      </c>
      <c r="D826" s="21">
        <v>170</v>
      </c>
      <c r="E826" s="3">
        <v>107.7</v>
      </c>
      <c r="F826" s="3">
        <v>37.69</v>
      </c>
      <c r="G826" s="21">
        <v>663.7</v>
      </c>
      <c r="H826" s="3">
        <v>16.62</v>
      </c>
      <c r="I826" s="13">
        <f t="shared" si="13"/>
        <v>2.8575218890952501</v>
      </c>
    </row>
    <row r="827" spans="2:9">
      <c r="C827" s="20">
        <v>1.9239999999999999</v>
      </c>
      <c r="D827" s="21">
        <v>174.4</v>
      </c>
      <c r="E827" s="3">
        <v>105.9</v>
      </c>
      <c r="F827" s="3">
        <v>38.33</v>
      </c>
      <c r="G827" s="21">
        <v>665.9</v>
      </c>
      <c r="H827" s="3">
        <v>17.809999999999999</v>
      </c>
      <c r="I827" s="13">
        <f t="shared" si="13"/>
        <v>2.7628489433863801</v>
      </c>
    </row>
    <row r="828" spans="2:9">
      <c r="C828" s="20">
        <v>1.821</v>
      </c>
      <c r="D828" s="21">
        <v>192.6</v>
      </c>
      <c r="E828" s="3">
        <v>107.3</v>
      </c>
      <c r="F828" s="3">
        <v>37.54</v>
      </c>
      <c r="G828" s="21">
        <v>666.9</v>
      </c>
      <c r="H828" s="3">
        <v>17.93</v>
      </c>
      <c r="I828" s="13">
        <f t="shared" si="13"/>
        <v>2.85828449653703</v>
      </c>
    </row>
    <row r="829" spans="2:9">
      <c r="C829" s="20">
        <v>1.8859999999999999</v>
      </c>
      <c r="D829" s="21">
        <v>193.3</v>
      </c>
      <c r="E829" s="3">
        <v>106.7</v>
      </c>
      <c r="F829" s="3">
        <v>38.17</v>
      </c>
      <c r="G829" s="21">
        <v>669.6</v>
      </c>
      <c r="H829" s="3">
        <v>16.55</v>
      </c>
      <c r="I829" s="13">
        <f t="shared" si="13"/>
        <v>2.7953890489913502</v>
      </c>
    </row>
    <row r="830" spans="2:9">
      <c r="C830" s="20">
        <v>1.859</v>
      </c>
      <c r="D830" s="21">
        <v>174.4</v>
      </c>
      <c r="E830" s="3">
        <v>105.6</v>
      </c>
      <c r="F830" s="3">
        <v>38.909999999999997</v>
      </c>
      <c r="G830" s="21">
        <v>672.3</v>
      </c>
      <c r="H830" s="3">
        <v>15.85</v>
      </c>
      <c r="I830" s="13">
        <f t="shared" si="13"/>
        <v>2.7139552814186598</v>
      </c>
    </row>
    <row r="831" spans="2:9">
      <c r="C831" s="20">
        <v>1.851</v>
      </c>
      <c r="D831" s="21">
        <v>190.5</v>
      </c>
      <c r="E831" s="3">
        <v>107.8</v>
      </c>
      <c r="F831" s="3">
        <v>38.68</v>
      </c>
      <c r="G831" s="21">
        <v>670</v>
      </c>
      <c r="H831" s="3">
        <v>16.309999999999999</v>
      </c>
      <c r="I831" s="13">
        <f t="shared" si="13"/>
        <v>2.78697001034126</v>
      </c>
    </row>
    <row r="832" spans="2:9">
      <c r="C832" s="20">
        <v>1.877</v>
      </c>
      <c r="D832" s="21">
        <v>170</v>
      </c>
      <c r="E832" s="3">
        <v>106.4</v>
      </c>
      <c r="F832" s="3">
        <v>37.770000000000003</v>
      </c>
      <c r="G832" s="21">
        <v>668.9</v>
      </c>
      <c r="H832" s="3">
        <v>16.96</v>
      </c>
      <c r="I832" s="13">
        <f t="shared" si="13"/>
        <v>2.8170505692348402</v>
      </c>
    </row>
    <row r="833" spans="2:9">
      <c r="C833" s="20">
        <v>1.895</v>
      </c>
      <c r="D833" s="21">
        <v>164.2</v>
      </c>
      <c r="E833" s="3">
        <v>105.3</v>
      </c>
      <c r="F833" s="3">
        <v>38.56</v>
      </c>
      <c r="G833" s="21">
        <v>665</v>
      </c>
      <c r="H833" s="3">
        <v>17.010000000000002</v>
      </c>
      <c r="I833" s="13">
        <f t="shared" si="13"/>
        <v>2.7308091286307001</v>
      </c>
    </row>
    <row r="834" spans="2:9">
      <c r="C834" s="20">
        <v>1.8959999999999999</v>
      </c>
      <c r="D834" s="21">
        <v>170.6</v>
      </c>
      <c r="E834" s="3">
        <v>107.6</v>
      </c>
      <c r="F834" s="3">
        <v>37.619999999999997</v>
      </c>
      <c r="G834" s="21">
        <v>664.5</v>
      </c>
      <c r="H834" s="3">
        <v>16.89</v>
      </c>
      <c r="I834" s="13">
        <f t="shared" si="13"/>
        <v>2.8601807549176002</v>
      </c>
    </row>
    <row r="835" spans="2:9">
      <c r="C835" s="20">
        <v>1.9410000000000001</v>
      </c>
      <c r="D835" s="21">
        <v>193.1</v>
      </c>
      <c r="E835" s="3">
        <v>105.5</v>
      </c>
      <c r="F835" s="3">
        <v>38.72</v>
      </c>
      <c r="G835" s="21">
        <v>661.7</v>
      </c>
      <c r="H835" s="3">
        <v>16.71</v>
      </c>
      <c r="I835" s="13">
        <f t="shared" ref="I835:I898" si="14">E835/F835</f>
        <v>2.7246900826446301</v>
      </c>
    </row>
    <row r="836" spans="2:9">
      <c r="C836" s="20">
        <v>1.954</v>
      </c>
      <c r="D836" s="21">
        <v>174.3</v>
      </c>
      <c r="E836" s="3">
        <v>107</v>
      </c>
      <c r="F836" s="3">
        <v>37.340000000000003</v>
      </c>
      <c r="G836" s="21">
        <v>662.1</v>
      </c>
      <c r="H836" s="3">
        <v>17.170000000000002</v>
      </c>
      <c r="I836" s="13">
        <f t="shared" si="14"/>
        <v>2.8655597214783102</v>
      </c>
    </row>
    <row r="837" spans="2:9">
      <c r="C837" s="20">
        <v>1.8220000000000001</v>
      </c>
      <c r="D837" s="21">
        <v>205.7</v>
      </c>
      <c r="E837" s="3">
        <v>106.8</v>
      </c>
      <c r="F837" s="3">
        <v>38.04</v>
      </c>
      <c r="G837" s="21">
        <v>664.7</v>
      </c>
      <c r="H837" s="3">
        <v>16.420000000000002</v>
      </c>
      <c r="I837" s="13">
        <f t="shared" si="14"/>
        <v>2.80757097791798</v>
      </c>
    </row>
    <row r="838" spans="2:9">
      <c r="C838" s="20">
        <v>1.8580000000000001</v>
      </c>
      <c r="D838" s="21">
        <v>208.6</v>
      </c>
      <c r="E838" s="3">
        <v>105.8</v>
      </c>
      <c r="F838" s="3">
        <v>37.53</v>
      </c>
      <c r="G838" s="21">
        <v>663.7</v>
      </c>
      <c r="H838" s="3">
        <v>16.829999999999998</v>
      </c>
      <c r="I838" s="13">
        <f t="shared" si="14"/>
        <v>2.8190780708766301</v>
      </c>
    </row>
    <row r="839" spans="2:9">
      <c r="C839" s="20">
        <v>1.8360000000000001</v>
      </c>
      <c r="D839" s="21">
        <v>201.1</v>
      </c>
      <c r="E839" s="3">
        <v>107.1</v>
      </c>
      <c r="F839" s="3">
        <v>39.61</v>
      </c>
      <c r="G839" s="21">
        <v>664.5</v>
      </c>
      <c r="H839" s="3">
        <v>16.66</v>
      </c>
      <c r="I839" s="13">
        <f t="shared" si="14"/>
        <v>2.70386266094421</v>
      </c>
    </row>
    <row r="840" spans="2:9">
      <c r="C840" s="20">
        <v>1.873</v>
      </c>
      <c r="D840" s="21">
        <v>187.3</v>
      </c>
      <c r="E840" s="3">
        <v>106.5</v>
      </c>
      <c r="F840" s="3">
        <v>37.42</v>
      </c>
      <c r="G840" s="21">
        <v>662.6</v>
      </c>
      <c r="H840" s="3">
        <v>16.260000000000002</v>
      </c>
      <c r="I840" s="13">
        <f t="shared" si="14"/>
        <v>2.8460716194548401</v>
      </c>
    </row>
    <row r="841" spans="2:9">
      <c r="C841" s="20">
        <v>1.905</v>
      </c>
      <c r="D841" s="21">
        <v>171.4</v>
      </c>
      <c r="E841" s="3">
        <v>105.4</v>
      </c>
      <c r="F841" s="3">
        <v>38.29</v>
      </c>
      <c r="G841" s="21">
        <v>660.7</v>
      </c>
      <c r="H841" s="3">
        <v>16.510000000000002</v>
      </c>
      <c r="I841" s="13">
        <f t="shared" si="14"/>
        <v>2.7526769391485999</v>
      </c>
    </row>
    <row r="842" spans="2:9">
      <c r="B842" s="16">
        <v>43</v>
      </c>
      <c r="C842" s="17">
        <v>2.3410000000000002</v>
      </c>
      <c r="D842" s="29">
        <v>172.77</v>
      </c>
      <c r="E842" s="18">
        <v>97.41</v>
      </c>
      <c r="F842" s="18">
        <v>25.61</v>
      </c>
      <c r="G842" s="19">
        <v>603</v>
      </c>
      <c r="H842" s="18">
        <v>5.6559999999999997</v>
      </c>
      <c r="I842" s="13">
        <f t="shared" si="14"/>
        <v>3.80359234673955</v>
      </c>
    </row>
    <row r="843" spans="2:9">
      <c r="C843" s="20">
        <v>2.3010000000000002</v>
      </c>
      <c r="D843" s="21">
        <v>162.6</v>
      </c>
      <c r="E843" s="3">
        <v>98.62</v>
      </c>
      <c r="F843" s="3">
        <v>25.72</v>
      </c>
      <c r="G843" s="21">
        <v>605.6</v>
      </c>
      <c r="H843" s="3">
        <v>5.2519999999999998</v>
      </c>
      <c r="I843" s="13">
        <f t="shared" si="14"/>
        <v>3.8343701399688999</v>
      </c>
    </row>
    <row r="844" spans="2:9">
      <c r="C844" s="20">
        <v>2.2970000000000002</v>
      </c>
      <c r="D844" s="21">
        <v>189.9</v>
      </c>
      <c r="E844" s="3">
        <v>97.85</v>
      </c>
      <c r="F844" s="3">
        <v>25.91</v>
      </c>
      <c r="G844" s="21">
        <v>607.70000000000005</v>
      </c>
      <c r="H844" s="3">
        <v>5.0620000000000003</v>
      </c>
      <c r="I844" s="13">
        <f t="shared" si="14"/>
        <v>3.7765341566962598</v>
      </c>
    </row>
    <row r="845" spans="2:9">
      <c r="C845" s="20">
        <v>2.3340000000000001</v>
      </c>
      <c r="D845" s="21">
        <v>159.30000000000001</v>
      </c>
      <c r="E845" s="3">
        <v>98.73</v>
      </c>
      <c r="F845" s="3">
        <v>24.41</v>
      </c>
      <c r="G845" s="21">
        <v>615.29999999999995</v>
      </c>
      <c r="H845" s="3">
        <v>5.48</v>
      </c>
      <c r="I845" s="13">
        <f t="shared" si="14"/>
        <v>4.0446538303973796</v>
      </c>
    </row>
    <row r="846" spans="2:9">
      <c r="C846" s="20">
        <v>2.3759999999999999</v>
      </c>
      <c r="D846" s="21">
        <v>157.22</v>
      </c>
      <c r="E846" s="3">
        <v>97.59</v>
      </c>
      <c r="F846" s="3">
        <v>25.89</v>
      </c>
      <c r="G846" s="21">
        <v>604.1</v>
      </c>
      <c r="H846" s="3">
        <v>5.0750000000000002</v>
      </c>
      <c r="I846" s="13">
        <f t="shared" si="14"/>
        <v>3.7694090382387002</v>
      </c>
    </row>
    <row r="847" spans="2:9">
      <c r="C847" s="20">
        <v>2.3759999999999999</v>
      </c>
      <c r="D847" s="21">
        <v>162.26</v>
      </c>
      <c r="E847" s="3">
        <v>98.91</v>
      </c>
      <c r="F847" s="3">
        <v>26.84</v>
      </c>
      <c r="G847" s="21">
        <v>603</v>
      </c>
      <c r="H847" s="3">
        <v>5.2939999999999996</v>
      </c>
      <c r="I847" s="13">
        <f t="shared" si="14"/>
        <v>3.68517138599106</v>
      </c>
    </row>
    <row r="848" spans="2:9">
      <c r="C848" s="20">
        <v>2.367</v>
      </c>
      <c r="D848" s="21">
        <v>160.43</v>
      </c>
      <c r="E848" s="3">
        <v>97.67</v>
      </c>
      <c r="F848" s="3">
        <v>25.55</v>
      </c>
      <c r="G848" s="21">
        <v>601.4</v>
      </c>
      <c r="H848" s="3">
        <v>5.0990000000000002</v>
      </c>
      <c r="I848" s="13">
        <f t="shared" si="14"/>
        <v>3.8227005870841499</v>
      </c>
    </row>
    <row r="849" spans="2:9">
      <c r="C849" s="20">
        <v>2.3069999999999999</v>
      </c>
      <c r="D849" s="21">
        <v>165.96</v>
      </c>
      <c r="E849" s="3">
        <v>99.11</v>
      </c>
      <c r="F849" s="3">
        <v>25.99</v>
      </c>
      <c r="G849" s="21">
        <v>600.79999999999995</v>
      </c>
      <c r="H849" s="3">
        <v>5.2850000000000001</v>
      </c>
      <c r="I849" s="13">
        <f t="shared" si="14"/>
        <v>3.8133897652943398</v>
      </c>
    </row>
    <row r="850" spans="2:9">
      <c r="C850" s="20">
        <v>2.1389999999999998</v>
      </c>
      <c r="D850" s="21">
        <v>160.44</v>
      </c>
      <c r="E850" s="3">
        <v>97.24</v>
      </c>
      <c r="F850" s="3">
        <v>25.29</v>
      </c>
      <c r="G850" s="21">
        <v>599</v>
      </c>
      <c r="H850" s="3">
        <v>5.7560000000000002</v>
      </c>
      <c r="I850" s="13">
        <f t="shared" si="14"/>
        <v>3.8449980229339702</v>
      </c>
    </row>
    <row r="851" spans="2:9">
      <c r="C851" s="20">
        <v>2.1269999999999998</v>
      </c>
      <c r="D851" s="21">
        <v>160.77000000000001</v>
      </c>
      <c r="E851" s="3">
        <v>98.44</v>
      </c>
      <c r="F851" s="3">
        <v>26.18</v>
      </c>
      <c r="G851" s="21">
        <v>605.6</v>
      </c>
      <c r="H851" s="3">
        <v>5.327</v>
      </c>
      <c r="I851" s="13">
        <f t="shared" si="14"/>
        <v>3.7601222307104698</v>
      </c>
    </row>
    <row r="852" spans="2:9">
      <c r="C852" s="20">
        <v>2.089</v>
      </c>
      <c r="D852" s="21">
        <v>161.97</v>
      </c>
      <c r="E852" s="3">
        <v>97.92</v>
      </c>
      <c r="F852" s="3">
        <v>25.75</v>
      </c>
      <c r="G852" s="21">
        <v>609.70000000000005</v>
      </c>
      <c r="H852" s="3">
        <v>5.085</v>
      </c>
      <c r="I852" s="13">
        <f t="shared" si="14"/>
        <v>3.8027184466019399</v>
      </c>
    </row>
    <row r="853" spans="2:9">
      <c r="C853" s="20">
        <v>2.2370000000000001</v>
      </c>
      <c r="D853" s="21">
        <v>151.22</v>
      </c>
      <c r="E853" s="3">
        <v>98.57</v>
      </c>
      <c r="F853" s="3">
        <v>26.67</v>
      </c>
      <c r="G853" s="21">
        <v>606.70000000000005</v>
      </c>
      <c r="H853" s="3">
        <v>5.3609999999999998</v>
      </c>
      <c r="I853" s="13">
        <f t="shared" si="14"/>
        <v>3.6959130108736402</v>
      </c>
    </row>
    <row r="854" spans="2:9">
      <c r="C854" s="20">
        <v>2.3149999999999999</v>
      </c>
      <c r="D854" s="21">
        <v>165.27</v>
      </c>
      <c r="E854" s="3">
        <v>97.73</v>
      </c>
      <c r="F854" s="3">
        <v>25.93</v>
      </c>
      <c r="G854" s="21">
        <v>609.20000000000005</v>
      </c>
      <c r="H854" s="3">
        <v>5.5430000000000001</v>
      </c>
      <c r="I854" s="13">
        <f t="shared" si="14"/>
        <v>3.76899344388739</v>
      </c>
    </row>
    <row r="855" spans="2:9">
      <c r="C855" s="20">
        <v>2.2370000000000001</v>
      </c>
      <c r="D855" s="21">
        <v>185.6</v>
      </c>
      <c r="E855" s="3">
        <v>97.29</v>
      </c>
      <c r="F855" s="3">
        <v>26.36</v>
      </c>
      <c r="G855" s="21">
        <v>610.6</v>
      </c>
      <c r="H855" s="3">
        <v>5.718</v>
      </c>
      <c r="I855" s="13">
        <f t="shared" si="14"/>
        <v>3.6908194233687399</v>
      </c>
    </row>
    <row r="856" spans="2:9">
      <c r="C856" s="20">
        <v>2.1280000000000001</v>
      </c>
      <c r="D856" s="21">
        <v>173.18</v>
      </c>
      <c r="E856" s="3">
        <v>97.53</v>
      </c>
      <c r="F856" s="3">
        <v>25.42</v>
      </c>
      <c r="G856" s="21">
        <v>605.20000000000005</v>
      </c>
      <c r="H856" s="3">
        <v>5.9240000000000004</v>
      </c>
      <c r="I856" s="13">
        <f t="shared" si="14"/>
        <v>3.8367427222659298</v>
      </c>
    </row>
    <row r="857" spans="2:9">
      <c r="C857" s="20">
        <v>2.202</v>
      </c>
      <c r="D857" s="21">
        <v>180.5</v>
      </c>
      <c r="E857" s="3">
        <v>98.81</v>
      </c>
      <c r="F857" s="3">
        <v>26.51</v>
      </c>
      <c r="G857" s="21">
        <v>607</v>
      </c>
      <c r="H857" s="3">
        <v>5.8460000000000001</v>
      </c>
      <c r="I857" s="13">
        <f t="shared" si="14"/>
        <v>3.7272727272727302</v>
      </c>
    </row>
    <row r="858" spans="2:9">
      <c r="C858" s="20">
        <v>2.33</v>
      </c>
      <c r="D858" s="21">
        <v>158.16</v>
      </c>
      <c r="E858" s="3">
        <v>99.38</v>
      </c>
      <c r="F858" s="3">
        <v>24.8</v>
      </c>
      <c r="G858" s="21">
        <v>600.6</v>
      </c>
      <c r="H858" s="3">
        <v>5.8860000000000001</v>
      </c>
      <c r="I858" s="13">
        <f t="shared" si="14"/>
        <v>4.0072580645161304</v>
      </c>
    </row>
    <row r="859" spans="2:9">
      <c r="C859" s="20">
        <v>2.3119999999999998</v>
      </c>
      <c r="D859" s="21">
        <v>162.26</v>
      </c>
      <c r="E859" s="3">
        <v>98.15</v>
      </c>
      <c r="F859" s="3">
        <v>26.59</v>
      </c>
      <c r="G859" s="21">
        <v>606.29999999999995</v>
      </c>
      <c r="H859" s="3">
        <v>5.9249999999999998</v>
      </c>
      <c r="I859" s="13">
        <f t="shared" si="14"/>
        <v>3.69123730725837</v>
      </c>
    </row>
    <row r="860" spans="2:9">
      <c r="C860" s="20">
        <v>2.286</v>
      </c>
      <c r="D860" s="21">
        <v>166</v>
      </c>
      <c r="E860" s="3">
        <v>97.88</v>
      </c>
      <c r="F860" s="3">
        <v>25.67</v>
      </c>
      <c r="G860" s="21">
        <v>603.5</v>
      </c>
      <c r="H860" s="3">
        <v>5.9349999999999996</v>
      </c>
      <c r="I860" s="13">
        <f t="shared" si="14"/>
        <v>3.8130112972341199</v>
      </c>
    </row>
    <row r="861" spans="2:9">
      <c r="C861" s="20">
        <v>2.2850000000000001</v>
      </c>
      <c r="D861" s="21">
        <v>163.81</v>
      </c>
      <c r="E861" s="3">
        <v>98.03</v>
      </c>
      <c r="F861" s="3">
        <v>26.28</v>
      </c>
      <c r="G861" s="21">
        <v>611.1</v>
      </c>
      <c r="H861" s="20">
        <v>5.26</v>
      </c>
      <c r="I861" s="13">
        <f t="shared" si="14"/>
        <v>3.7302130898021302</v>
      </c>
    </row>
    <row r="862" spans="2:9">
      <c r="B862" s="16">
        <v>44</v>
      </c>
      <c r="C862" s="17">
        <v>2.036</v>
      </c>
      <c r="D862" s="29">
        <v>207.05</v>
      </c>
      <c r="E862" s="18">
        <v>90.12</v>
      </c>
      <c r="F862" s="18">
        <v>31.17</v>
      </c>
      <c r="G862" s="19">
        <v>652.70000000000005</v>
      </c>
      <c r="H862" s="18">
        <v>14.87</v>
      </c>
      <c r="I862" s="13">
        <f t="shared" si="14"/>
        <v>2.8912415784408099</v>
      </c>
    </row>
    <row r="863" spans="2:9">
      <c r="C863" s="20">
        <v>2.0449999999999999</v>
      </c>
      <c r="D863" s="21">
        <v>217.65</v>
      </c>
      <c r="E863" s="3">
        <v>91.45</v>
      </c>
      <c r="F863" s="3">
        <v>30.38</v>
      </c>
      <c r="G863" s="21">
        <v>650.1</v>
      </c>
      <c r="H863" s="3">
        <v>14.84</v>
      </c>
      <c r="I863" s="13">
        <f t="shared" si="14"/>
        <v>3.0102040816326499</v>
      </c>
    </row>
    <row r="864" spans="2:9">
      <c r="C864" s="20">
        <v>2.0649999999999999</v>
      </c>
      <c r="D864" s="21">
        <v>232.9</v>
      </c>
      <c r="E864" s="3">
        <v>89.87</v>
      </c>
      <c r="F864" s="3">
        <v>30.74</v>
      </c>
      <c r="G864" s="21">
        <v>651.70000000000005</v>
      </c>
      <c r="H864" s="3">
        <v>15.48</v>
      </c>
      <c r="I864" s="13">
        <f t="shared" si="14"/>
        <v>2.9235523747560199</v>
      </c>
    </row>
    <row r="865" spans="3:9">
      <c r="C865" s="20">
        <v>2.0779999999999998</v>
      </c>
      <c r="D865" s="21">
        <v>228.6</v>
      </c>
      <c r="E865" s="3">
        <v>91.68</v>
      </c>
      <c r="F865" s="3">
        <v>31.81</v>
      </c>
      <c r="G865" s="21">
        <v>654.1</v>
      </c>
      <c r="H865" s="3">
        <v>15.65</v>
      </c>
      <c r="I865" s="13">
        <f t="shared" si="14"/>
        <v>2.8821125432254</v>
      </c>
    </row>
    <row r="866" spans="3:9">
      <c r="C866" s="20">
        <v>2.0720000000000001</v>
      </c>
      <c r="D866" s="21">
        <v>218.78</v>
      </c>
      <c r="E866" s="3">
        <v>90.23</v>
      </c>
      <c r="F866" s="3">
        <v>30.91</v>
      </c>
      <c r="G866" s="21">
        <v>651.79999999999995</v>
      </c>
      <c r="H866" s="3">
        <v>15.55</v>
      </c>
      <c r="I866" s="13">
        <f t="shared" si="14"/>
        <v>2.9191200258815901</v>
      </c>
    </row>
    <row r="867" spans="3:9">
      <c r="C867" s="20">
        <v>2.0609999999999999</v>
      </c>
      <c r="D867" s="21">
        <v>217.03</v>
      </c>
      <c r="E867" s="3">
        <v>91.91</v>
      </c>
      <c r="F867" s="3">
        <v>31.12</v>
      </c>
      <c r="G867" s="21">
        <v>653.4</v>
      </c>
      <c r="H867" s="3">
        <v>16.190000000000001</v>
      </c>
      <c r="I867" s="13">
        <f t="shared" si="14"/>
        <v>2.95340616966581</v>
      </c>
    </row>
    <row r="868" spans="3:9">
      <c r="C868" s="20">
        <v>2.0470000000000002</v>
      </c>
      <c r="D868" s="21">
        <v>207.04</v>
      </c>
      <c r="E868" s="3">
        <v>90.34</v>
      </c>
      <c r="F868" s="3">
        <v>31.66</v>
      </c>
      <c r="G868" s="21">
        <v>654.4</v>
      </c>
      <c r="H868" s="3">
        <v>15.16</v>
      </c>
      <c r="I868" s="13">
        <f t="shared" si="14"/>
        <v>2.8534428300694898</v>
      </c>
    </row>
    <row r="869" spans="3:9">
      <c r="C869" s="20">
        <v>2.0230000000000001</v>
      </c>
      <c r="D869" s="21">
        <v>226.2</v>
      </c>
      <c r="E869" s="3">
        <v>91.76</v>
      </c>
      <c r="F869" s="3">
        <v>30.13</v>
      </c>
      <c r="G869" s="21">
        <v>654.9</v>
      </c>
      <c r="H869" s="3">
        <v>14.84</v>
      </c>
      <c r="I869" s="13">
        <f t="shared" si="14"/>
        <v>3.0454696315964198</v>
      </c>
    </row>
    <row r="870" spans="3:9">
      <c r="C870" s="20">
        <v>1.998</v>
      </c>
      <c r="D870" s="21">
        <v>217.03</v>
      </c>
      <c r="E870" s="3">
        <v>91.58</v>
      </c>
      <c r="F870" s="3">
        <v>30.49</v>
      </c>
      <c r="G870" s="21">
        <v>652.9</v>
      </c>
      <c r="H870" s="3">
        <v>14.83</v>
      </c>
      <c r="I870" s="13">
        <f t="shared" si="14"/>
        <v>3.0036077402427002</v>
      </c>
    </row>
    <row r="871" spans="3:9">
      <c r="C871" s="20">
        <v>2.0710000000000002</v>
      </c>
      <c r="D871" s="21">
        <v>228</v>
      </c>
      <c r="E871" s="3">
        <v>91.04</v>
      </c>
      <c r="F871" s="3">
        <v>31.45</v>
      </c>
      <c r="G871" s="21">
        <v>654.20000000000005</v>
      </c>
      <c r="H871" s="3">
        <v>14.53</v>
      </c>
      <c r="I871" s="13">
        <f t="shared" si="14"/>
        <v>2.89475357710652</v>
      </c>
    </row>
    <row r="872" spans="3:9">
      <c r="C872" s="20">
        <v>2.0630000000000002</v>
      </c>
      <c r="D872" s="21">
        <v>226.4</v>
      </c>
      <c r="E872" s="3">
        <v>90.81</v>
      </c>
      <c r="F872" s="3">
        <v>30.93</v>
      </c>
      <c r="G872" s="21">
        <v>654.4</v>
      </c>
      <c r="H872" s="3">
        <v>14.11</v>
      </c>
      <c r="I872" s="13">
        <f t="shared" si="14"/>
        <v>2.93598448108632</v>
      </c>
    </row>
    <row r="873" spans="3:9">
      <c r="C873" s="20">
        <v>2.0670000000000002</v>
      </c>
      <c r="D873" s="21">
        <v>254.1</v>
      </c>
      <c r="E873" s="3">
        <v>92.29</v>
      </c>
      <c r="F873" s="3">
        <v>30.62</v>
      </c>
      <c r="G873" s="21">
        <v>654.9</v>
      </c>
      <c r="H873" s="3">
        <v>15.2</v>
      </c>
      <c r="I873" s="13">
        <f t="shared" si="14"/>
        <v>3.0140431090790298</v>
      </c>
    </row>
    <row r="874" spans="3:9">
      <c r="C874" s="20">
        <v>2.0110000000000001</v>
      </c>
      <c r="D874" s="21">
        <v>233.9</v>
      </c>
      <c r="E874" s="3">
        <v>90.66</v>
      </c>
      <c r="F874" s="3">
        <v>31.34</v>
      </c>
      <c r="G874" s="21">
        <v>655.7</v>
      </c>
      <c r="H874" s="3">
        <v>14.05</v>
      </c>
      <c r="I874" s="13">
        <f t="shared" si="14"/>
        <v>2.89278876834716</v>
      </c>
    </row>
    <row r="875" spans="3:9">
      <c r="C875" s="20">
        <v>2.0190000000000001</v>
      </c>
      <c r="D875" s="21">
        <v>222.3</v>
      </c>
      <c r="E875" s="3">
        <v>92.15</v>
      </c>
      <c r="F875" s="3">
        <v>30.85</v>
      </c>
      <c r="G875" s="21">
        <v>651.70000000000005</v>
      </c>
      <c r="H875" s="3">
        <v>14.55</v>
      </c>
      <c r="I875" s="13">
        <f t="shared" si="14"/>
        <v>2.9870340356564</v>
      </c>
    </row>
    <row r="876" spans="3:9">
      <c r="C876" s="20">
        <v>1.9950000000000001</v>
      </c>
      <c r="D876" s="21">
        <v>222.1</v>
      </c>
      <c r="E876" s="3">
        <v>90.93</v>
      </c>
      <c r="F876" s="3">
        <v>31.02</v>
      </c>
      <c r="G876" s="21">
        <v>650.20000000000005</v>
      </c>
      <c r="H876" s="3">
        <v>14.23</v>
      </c>
      <c r="I876" s="13">
        <f t="shared" si="14"/>
        <v>2.9313346228239801</v>
      </c>
    </row>
    <row r="877" spans="3:9">
      <c r="C877" s="20">
        <v>2.0419999999999998</v>
      </c>
      <c r="D877" s="21">
        <v>232.9</v>
      </c>
      <c r="E877" s="3">
        <v>91.47</v>
      </c>
      <c r="F877" s="3">
        <v>31.58</v>
      </c>
      <c r="G877" s="21">
        <v>652.1</v>
      </c>
      <c r="H877" s="3">
        <v>15.7</v>
      </c>
      <c r="I877" s="13">
        <f t="shared" si="14"/>
        <v>2.89645345155161</v>
      </c>
    </row>
    <row r="878" spans="3:9">
      <c r="C878" s="20">
        <v>2.0649999999999999</v>
      </c>
      <c r="D878" s="21">
        <v>259</v>
      </c>
      <c r="E878" s="3">
        <v>90.59</v>
      </c>
      <c r="F878" s="3">
        <v>30.57</v>
      </c>
      <c r="G878" s="21">
        <v>655.7</v>
      </c>
      <c r="H878" s="3">
        <v>15.21</v>
      </c>
      <c r="I878" s="13">
        <f t="shared" si="14"/>
        <v>2.9633627739613999</v>
      </c>
    </row>
    <row r="879" spans="3:9">
      <c r="C879" s="20">
        <v>2.0739999999999998</v>
      </c>
      <c r="D879" s="21">
        <v>237</v>
      </c>
      <c r="E879" s="3">
        <v>91.25</v>
      </c>
      <c r="F879" s="3">
        <v>30.27</v>
      </c>
      <c r="G879" s="21">
        <v>656.2</v>
      </c>
      <c r="H879" s="3">
        <v>15.82</v>
      </c>
      <c r="I879" s="13">
        <f t="shared" si="14"/>
        <v>3.01453584407004</v>
      </c>
    </row>
    <row r="880" spans="3:9">
      <c r="C880" s="20">
        <v>2.0779999999999998</v>
      </c>
      <c r="D880" s="21">
        <v>217.65</v>
      </c>
      <c r="E880" s="3">
        <v>89.88</v>
      </c>
      <c r="F880" s="3">
        <v>31.01</v>
      </c>
      <c r="G880" s="21">
        <v>655.20000000000005</v>
      </c>
      <c r="H880" s="3">
        <v>14.78</v>
      </c>
      <c r="I880" s="13">
        <f t="shared" si="14"/>
        <v>2.8984198645598198</v>
      </c>
    </row>
    <row r="881" spans="2:9">
      <c r="C881" s="20">
        <v>2.073</v>
      </c>
      <c r="D881" s="21">
        <v>210.97</v>
      </c>
      <c r="E881" s="3">
        <v>91.36</v>
      </c>
      <c r="F881" s="3">
        <v>31.78</v>
      </c>
      <c r="G881" s="21">
        <v>655</v>
      </c>
      <c r="H881" s="3">
        <v>14.25</v>
      </c>
      <c r="I881" s="13">
        <f t="shared" si="14"/>
        <v>2.8747640025173098</v>
      </c>
    </row>
    <row r="882" spans="2:9">
      <c r="B882" s="16">
        <v>45</v>
      </c>
      <c r="C882" s="17">
        <v>1.901</v>
      </c>
      <c r="D882" s="29">
        <v>259.5</v>
      </c>
      <c r="E882" s="18">
        <v>81.23</v>
      </c>
      <c r="F882" s="19">
        <v>35.119999999999997</v>
      </c>
      <c r="G882" s="19">
        <v>614</v>
      </c>
      <c r="H882" s="18">
        <v>5.8710000000000004</v>
      </c>
      <c r="I882" s="13">
        <f t="shared" si="14"/>
        <v>2.3129271070614998</v>
      </c>
    </row>
    <row r="883" spans="2:9">
      <c r="C883" s="20">
        <v>1.9019999999999999</v>
      </c>
      <c r="D883" s="21">
        <v>276.39999999999998</v>
      </c>
      <c r="E883" s="3">
        <v>82.45</v>
      </c>
      <c r="F883" s="3">
        <v>39.9</v>
      </c>
      <c r="G883" s="21">
        <v>613.6</v>
      </c>
      <c r="H883" s="3">
        <v>5.681</v>
      </c>
      <c r="I883" s="13">
        <f t="shared" si="14"/>
        <v>2.06641604010025</v>
      </c>
    </row>
    <row r="884" spans="2:9">
      <c r="C884" s="20">
        <v>1.9019999999999999</v>
      </c>
      <c r="D884" s="21">
        <v>238.9</v>
      </c>
      <c r="E884" s="3">
        <v>81.91</v>
      </c>
      <c r="F884" s="3">
        <v>36.450000000000003</v>
      </c>
      <c r="G884" s="21">
        <v>616</v>
      </c>
      <c r="H884" s="3">
        <v>5.7809999999999997</v>
      </c>
      <c r="I884" s="13">
        <f t="shared" si="14"/>
        <v>2.2471879286694101</v>
      </c>
    </row>
    <row r="885" spans="2:9">
      <c r="C885" s="20">
        <v>1.9239999999999999</v>
      </c>
      <c r="D885" s="21">
        <v>230.6</v>
      </c>
      <c r="E885" s="3">
        <v>82.73</v>
      </c>
      <c r="F885" s="3">
        <v>39.6</v>
      </c>
      <c r="G885" s="21">
        <v>615.70000000000005</v>
      </c>
      <c r="H885" s="3">
        <v>5.7270000000000003</v>
      </c>
      <c r="I885" s="13">
        <f t="shared" si="14"/>
        <v>2.0891414141414102</v>
      </c>
    </row>
    <row r="886" spans="2:9">
      <c r="C886" s="20">
        <v>1.9350000000000001</v>
      </c>
      <c r="D886" s="21">
        <v>289.39999999999998</v>
      </c>
      <c r="E886" s="3">
        <v>82.58</v>
      </c>
      <c r="F886" s="3">
        <v>37.090000000000003</v>
      </c>
      <c r="G886" s="21">
        <v>623.79999999999995</v>
      </c>
      <c r="H886" s="20">
        <v>5.19</v>
      </c>
      <c r="I886" s="13">
        <f t="shared" si="14"/>
        <v>2.2264761391210599</v>
      </c>
    </row>
    <row r="887" spans="2:9">
      <c r="C887" s="20">
        <v>1.929</v>
      </c>
      <c r="D887" s="21">
        <v>264.3</v>
      </c>
      <c r="E887" s="3">
        <v>82.65</v>
      </c>
      <c r="F887" s="3">
        <v>38.14</v>
      </c>
      <c r="G887" s="21">
        <v>626.1</v>
      </c>
      <c r="H887" s="3">
        <v>5.069</v>
      </c>
      <c r="I887" s="13">
        <f t="shared" si="14"/>
        <v>2.1670162558993198</v>
      </c>
    </row>
    <row r="888" spans="2:9">
      <c r="C888" s="20">
        <v>1.901</v>
      </c>
      <c r="D888" s="21">
        <v>251</v>
      </c>
      <c r="E888" s="3">
        <v>81.760000000000005</v>
      </c>
      <c r="F888" s="3">
        <v>38.76</v>
      </c>
      <c r="G888" s="21">
        <v>623</v>
      </c>
      <c r="H888" s="3">
        <v>5.4169999999999998</v>
      </c>
      <c r="I888" s="13">
        <f t="shared" si="14"/>
        <v>2.1093911248709998</v>
      </c>
    </row>
    <row r="889" spans="2:9">
      <c r="C889" s="20">
        <v>1.891</v>
      </c>
      <c r="D889" s="21">
        <v>289</v>
      </c>
      <c r="E889" s="3">
        <v>82.53</v>
      </c>
      <c r="F889" s="3">
        <v>40.03</v>
      </c>
      <c r="G889" s="21">
        <v>617.1</v>
      </c>
      <c r="H889" s="3">
        <v>5.5750000000000002</v>
      </c>
      <c r="I889" s="13">
        <f t="shared" si="14"/>
        <v>2.0617037222083399</v>
      </c>
    </row>
    <row r="890" spans="2:9">
      <c r="C890" s="20">
        <v>1.9379999999999999</v>
      </c>
      <c r="D890" s="21">
        <v>280.60000000000002</v>
      </c>
      <c r="E890" s="3">
        <v>81.44</v>
      </c>
      <c r="F890" s="3">
        <v>39.33</v>
      </c>
      <c r="G890" s="21">
        <v>618.9</v>
      </c>
      <c r="H890" s="3">
        <v>5.6449999999999996</v>
      </c>
      <c r="I890" s="13">
        <f t="shared" si="14"/>
        <v>2.0706839562674801</v>
      </c>
    </row>
    <row r="891" spans="2:9">
      <c r="C891" s="20">
        <v>1.9350000000000001</v>
      </c>
      <c r="D891" s="21">
        <v>276.10000000000002</v>
      </c>
      <c r="E891" s="3">
        <v>82.11</v>
      </c>
      <c r="F891" s="3">
        <v>36.92</v>
      </c>
      <c r="G891" s="21">
        <v>612.9</v>
      </c>
      <c r="H891" s="3">
        <v>5.9950000000000001</v>
      </c>
      <c r="I891" s="13">
        <f t="shared" si="14"/>
        <v>2.2239978331527599</v>
      </c>
    </row>
    <row r="892" spans="2:9">
      <c r="C892" s="20">
        <v>1.9319999999999999</v>
      </c>
      <c r="D892" s="21">
        <v>195.7</v>
      </c>
      <c r="E892" s="3">
        <v>83.92</v>
      </c>
      <c r="F892" s="3">
        <v>40.21</v>
      </c>
      <c r="G892" s="21">
        <v>613.70000000000005</v>
      </c>
      <c r="H892" s="3">
        <v>5.7679999999999998</v>
      </c>
      <c r="I892" s="13">
        <f t="shared" si="14"/>
        <v>2.08704302412335</v>
      </c>
    </row>
    <row r="893" spans="2:9">
      <c r="C893" s="20">
        <v>1.8620000000000001</v>
      </c>
      <c r="D893" s="21">
        <v>224.2</v>
      </c>
      <c r="E893" s="3">
        <v>82.84</v>
      </c>
      <c r="F893" s="3">
        <v>34.99</v>
      </c>
      <c r="G893" s="21">
        <v>612.5</v>
      </c>
      <c r="H893" s="3">
        <v>5.9889999999999999</v>
      </c>
      <c r="I893" s="13">
        <f t="shared" si="14"/>
        <v>2.3675335810231499</v>
      </c>
    </row>
    <row r="894" spans="2:9">
      <c r="C894" s="20">
        <v>1.784</v>
      </c>
      <c r="D894" s="21">
        <v>269.89999999999998</v>
      </c>
      <c r="E894" s="3">
        <v>83.34</v>
      </c>
      <c r="F894" s="3">
        <v>41.57</v>
      </c>
      <c r="G894" s="21">
        <v>612.79999999999995</v>
      </c>
      <c r="H894" s="3">
        <v>6.0839999999999996</v>
      </c>
      <c r="I894" s="13">
        <f t="shared" si="14"/>
        <v>2.0048111618956002</v>
      </c>
    </row>
    <row r="895" spans="2:9">
      <c r="C895" s="20">
        <v>1.8620000000000001</v>
      </c>
      <c r="D895" s="21">
        <v>280.60000000000002</v>
      </c>
      <c r="E895" s="3">
        <v>82.38</v>
      </c>
      <c r="F895" s="3">
        <v>35.67</v>
      </c>
      <c r="G895" s="21">
        <v>614</v>
      </c>
      <c r="H895" s="3">
        <v>6.6059999999999999</v>
      </c>
      <c r="I895" s="13">
        <f t="shared" si="14"/>
        <v>2.3095037846930202</v>
      </c>
    </row>
    <row r="896" spans="2:9">
      <c r="C896" s="20">
        <v>1.9159999999999999</v>
      </c>
      <c r="D896" s="21">
        <v>240.7</v>
      </c>
      <c r="E896" s="3">
        <v>81.69</v>
      </c>
      <c r="F896" s="3">
        <v>36.81</v>
      </c>
      <c r="G896" s="21">
        <v>613.6</v>
      </c>
      <c r="H896" s="3">
        <v>6.8090000000000002</v>
      </c>
      <c r="I896" s="13">
        <f t="shared" si="14"/>
        <v>2.2192339038304798</v>
      </c>
    </row>
    <row r="897" spans="2:9">
      <c r="C897" s="20">
        <v>1.9319999999999999</v>
      </c>
      <c r="D897" s="21">
        <v>289</v>
      </c>
      <c r="E897" s="3">
        <v>82.26</v>
      </c>
      <c r="F897" s="3">
        <v>41.18</v>
      </c>
      <c r="G897" s="21">
        <v>618.9</v>
      </c>
      <c r="H897" s="3">
        <v>7.0629999999999997</v>
      </c>
      <c r="I897" s="13">
        <f t="shared" si="14"/>
        <v>1.9975716367168499</v>
      </c>
    </row>
    <row r="898" spans="2:9">
      <c r="C898" s="20">
        <v>1.891</v>
      </c>
      <c r="D898" s="21">
        <v>295.2</v>
      </c>
      <c r="E898" s="3">
        <v>81.77</v>
      </c>
      <c r="F898" s="3">
        <v>37.28</v>
      </c>
      <c r="G898" s="21">
        <v>621.29999999999995</v>
      </c>
      <c r="H898" s="3">
        <v>7.2069999999999999</v>
      </c>
      <c r="I898" s="13">
        <f t="shared" si="14"/>
        <v>2.1934012875536499</v>
      </c>
    </row>
    <row r="899" spans="2:9">
      <c r="C899" s="20">
        <v>1.8720000000000001</v>
      </c>
      <c r="D899" s="21">
        <v>199.7</v>
      </c>
      <c r="E899" s="3">
        <v>83.29</v>
      </c>
      <c r="F899" s="3">
        <v>37.47</v>
      </c>
      <c r="G899" s="21">
        <v>618.79999999999995</v>
      </c>
      <c r="H899" s="3">
        <v>7.0540000000000003</v>
      </c>
      <c r="I899" s="13">
        <f t="shared" ref="I899:I962" si="15">E899/F899</f>
        <v>2.2228449426207599</v>
      </c>
    </row>
    <row r="900" spans="2:9">
      <c r="C900" s="20">
        <v>1.9019999999999999</v>
      </c>
      <c r="D900" s="21">
        <v>201.9</v>
      </c>
      <c r="E900" s="3">
        <v>82.14</v>
      </c>
      <c r="F900" s="3">
        <v>38.5</v>
      </c>
      <c r="G900" s="21">
        <v>623.9</v>
      </c>
      <c r="H900" s="3">
        <v>6.9160000000000004</v>
      </c>
      <c r="I900" s="13">
        <f t="shared" si="15"/>
        <v>2.13350649350649</v>
      </c>
    </row>
    <row r="901" spans="2:9">
      <c r="C901" s="20">
        <v>1.8879999999999999</v>
      </c>
      <c r="D901" s="21">
        <v>260.5</v>
      </c>
      <c r="E901" s="3">
        <v>80.81</v>
      </c>
      <c r="F901" s="3">
        <v>40.64</v>
      </c>
      <c r="G901" s="21">
        <v>615.1</v>
      </c>
      <c r="H901" s="3">
        <v>7.1680000000000001</v>
      </c>
      <c r="I901" s="13">
        <f t="shared" si="15"/>
        <v>1.98843503937008</v>
      </c>
    </row>
    <row r="902" spans="2:9">
      <c r="B902" s="16">
        <v>46</v>
      </c>
      <c r="C902" s="17">
        <v>2.762</v>
      </c>
      <c r="D902" s="29">
        <v>160.6</v>
      </c>
      <c r="E902" s="18">
        <v>78.12</v>
      </c>
      <c r="F902" s="19">
        <v>16.12</v>
      </c>
      <c r="G902" s="19">
        <v>641.29999999999995</v>
      </c>
      <c r="H902" s="18">
        <v>5.3410000000000002</v>
      </c>
      <c r="I902" s="13">
        <f t="shared" si="15"/>
        <v>4.8461538461538503</v>
      </c>
    </row>
    <row r="903" spans="2:9">
      <c r="C903" s="20">
        <v>2.7690000000000001</v>
      </c>
      <c r="D903" s="21">
        <v>145</v>
      </c>
      <c r="E903" s="3">
        <v>78.34</v>
      </c>
      <c r="F903" s="3">
        <v>17.02</v>
      </c>
      <c r="G903" s="21">
        <v>640.5</v>
      </c>
      <c r="H903" s="3">
        <v>5.4530000000000003</v>
      </c>
      <c r="I903" s="13">
        <f t="shared" si="15"/>
        <v>4.6028202115158603</v>
      </c>
    </row>
    <row r="904" spans="2:9">
      <c r="C904" s="20">
        <v>2.7890000000000001</v>
      </c>
      <c r="D904" s="21">
        <v>141.19999999999999</v>
      </c>
      <c r="E904" s="3">
        <v>78.56</v>
      </c>
      <c r="F904" s="3">
        <v>18.12</v>
      </c>
      <c r="G904" s="21">
        <v>641.6</v>
      </c>
      <c r="H904" s="3">
        <v>5.444</v>
      </c>
      <c r="I904" s="13">
        <f t="shared" si="15"/>
        <v>4.3355408388520997</v>
      </c>
    </row>
    <row r="905" spans="2:9">
      <c r="C905" s="20">
        <v>2.7789999999999999</v>
      </c>
      <c r="D905" s="21">
        <v>138.6</v>
      </c>
      <c r="E905" s="3">
        <v>78.78</v>
      </c>
      <c r="F905" s="3">
        <v>19</v>
      </c>
      <c r="G905" s="21">
        <v>643.1</v>
      </c>
      <c r="H905" s="3">
        <v>5.383</v>
      </c>
      <c r="I905" s="13">
        <f t="shared" si="15"/>
        <v>4.1463157894736797</v>
      </c>
    </row>
    <row r="906" spans="2:9">
      <c r="C906" s="20">
        <v>2.8039999999999998</v>
      </c>
      <c r="D906" s="21">
        <v>138.19999999999999</v>
      </c>
      <c r="E906" s="3">
        <v>78.900000000000006</v>
      </c>
      <c r="F906" s="3">
        <v>16.34</v>
      </c>
      <c r="G906" s="21">
        <v>640.6</v>
      </c>
      <c r="H906" s="3">
        <v>5.4530000000000003</v>
      </c>
      <c r="I906" s="13">
        <f t="shared" si="15"/>
        <v>4.8286413708690299</v>
      </c>
    </row>
    <row r="907" spans="2:9">
      <c r="C907" s="20">
        <v>2.7690000000000001</v>
      </c>
      <c r="D907" s="21">
        <v>156.30000000000001</v>
      </c>
      <c r="E907" s="3">
        <v>79.02</v>
      </c>
      <c r="F907" s="3">
        <v>17.14</v>
      </c>
      <c r="G907" s="21">
        <v>639.4</v>
      </c>
      <c r="H907" s="3">
        <v>5.4390000000000001</v>
      </c>
      <c r="I907" s="13">
        <f t="shared" si="15"/>
        <v>4.6102683780630098</v>
      </c>
    </row>
    <row r="908" spans="2:9">
      <c r="C908" s="20">
        <v>2.4390000000000001</v>
      </c>
      <c r="D908" s="21">
        <v>145.69999999999999</v>
      </c>
      <c r="E908" s="3">
        <v>79.14</v>
      </c>
      <c r="F908" s="3">
        <v>18.239999999999998</v>
      </c>
      <c r="G908" s="21">
        <v>639.5</v>
      </c>
      <c r="H908" s="3">
        <v>5.3689999999999998</v>
      </c>
      <c r="I908" s="13">
        <f t="shared" si="15"/>
        <v>4.3388157894736796</v>
      </c>
    </row>
    <row r="909" spans="2:9">
      <c r="C909" s="20">
        <v>2.6970000000000001</v>
      </c>
      <c r="D909" s="21">
        <v>145</v>
      </c>
      <c r="E909" s="3">
        <v>79.260000000000005</v>
      </c>
      <c r="F909" s="3">
        <v>19.100000000000001</v>
      </c>
      <c r="G909" s="21">
        <v>643.20000000000005</v>
      </c>
      <c r="H909" s="3">
        <v>5.2270000000000003</v>
      </c>
      <c r="I909" s="13">
        <f t="shared" si="15"/>
        <v>4.1497382198952897</v>
      </c>
    </row>
    <row r="910" spans="2:9">
      <c r="C910" s="20">
        <v>2.6190000000000002</v>
      </c>
      <c r="D910" s="21">
        <v>154</v>
      </c>
      <c r="E910" s="3">
        <v>79.38</v>
      </c>
      <c r="F910" s="3">
        <v>16.559999999999999</v>
      </c>
      <c r="G910" s="21">
        <v>643.1</v>
      </c>
      <c r="H910" s="20">
        <v>5.1100000000000003</v>
      </c>
      <c r="I910" s="13">
        <f t="shared" si="15"/>
        <v>4.7934782608695699</v>
      </c>
    </row>
    <row r="911" spans="2:9">
      <c r="C911" s="20">
        <v>2.7210000000000001</v>
      </c>
      <c r="D911" s="21">
        <v>160.69999999999999</v>
      </c>
      <c r="E911" s="3">
        <v>79.5</v>
      </c>
      <c r="F911" s="3">
        <v>17.260000000000002</v>
      </c>
      <c r="G911" s="21">
        <v>641.6</v>
      </c>
      <c r="H911" s="3">
        <v>5.1150000000000002</v>
      </c>
      <c r="I911" s="13">
        <f t="shared" si="15"/>
        <v>4.6060254924681301</v>
      </c>
    </row>
    <row r="912" spans="2:9">
      <c r="C912" s="20">
        <v>2.7149999999999999</v>
      </c>
      <c r="D912" s="21">
        <v>163</v>
      </c>
      <c r="E912" s="3">
        <v>79.62</v>
      </c>
      <c r="F912" s="3">
        <v>18.36</v>
      </c>
      <c r="G912" s="21">
        <v>643.20000000000005</v>
      </c>
      <c r="H912" s="3">
        <v>5.218</v>
      </c>
      <c r="I912" s="13">
        <f t="shared" si="15"/>
        <v>4.3366013071895404</v>
      </c>
    </row>
    <row r="913" spans="2:9">
      <c r="C913" s="20">
        <v>2.6619999999999999</v>
      </c>
      <c r="D913" s="21">
        <v>163.6</v>
      </c>
      <c r="E913" s="3">
        <v>79.739999999999995</v>
      </c>
      <c r="F913" s="3">
        <v>19.2</v>
      </c>
      <c r="G913" s="21">
        <v>645.1</v>
      </c>
      <c r="H913" s="20">
        <v>5.14</v>
      </c>
      <c r="I913" s="13">
        <f t="shared" si="15"/>
        <v>4.1531250000000002</v>
      </c>
    </row>
    <row r="914" spans="2:9">
      <c r="C914" s="20">
        <v>2.6779999999999999</v>
      </c>
      <c r="D914" s="21">
        <v>160.6</v>
      </c>
      <c r="E914" s="3">
        <v>79.86</v>
      </c>
      <c r="F914" s="3">
        <v>16.78</v>
      </c>
      <c r="G914" s="21">
        <v>652.29999999999995</v>
      </c>
      <c r="H914" s="3">
        <v>5.1289999999999996</v>
      </c>
      <c r="I914" s="13">
        <f t="shared" si="15"/>
        <v>4.7592371871275301</v>
      </c>
    </row>
    <row r="915" spans="2:9">
      <c r="C915" s="20">
        <v>2.7189999999999999</v>
      </c>
      <c r="D915" s="21">
        <v>168.6</v>
      </c>
      <c r="E915" s="3">
        <v>79.98</v>
      </c>
      <c r="F915" s="3">
        <v>17.38</v>
      </c>
      <c r="G915" s="21">
        <v>645.70000000000005</v>
      </c>
      <c r="H915" s="3">
        <v>5.0350000000000001</v>
      </c>
      <c r="I915" s="13">
        <f t="shared" si="15"/>
        <v>4.6018411967779098</v>
      </c>
    </row>
    <row r="916" spans="2:9">
      <c r="C916" s="20">
        <v>2.6970000000000001</v>
      </c>
      <c r="D916" s="21">
        <v>157.69999999999999</v>
      </c>
      <c r="E916" s="3">
        <v>80</v>
      </c>
      <c r="F916" s="3">
        <v>18.48</v>
      </c>
      <c r="G916" s="21">
        <v>641.6</v>
      </c>
      <c r="H916" s="3">
        <v>5.1280000000000001</v>
      </c>
      <c r="I916" s="13">
        <f t="shared" si="15"/>
        <v>4.3290043290043299</v>
      </c>
    </row>
    <row r="917" spans="2:9">
      <c r="C917" s="20">
        <v>2.629</v>
      </c>
      <c r="D917" s="21">
        <v>163</v>
      </c>
      <c r="E917" s="3">
        <v>78.22</v>
      </c>
      <c r="F917" s="3">
        <v>19.3</v>
      </c>
      <c r="G917" s="21">
        <v>641.29999999999995</v>
      </c>
      <c r="H917" s="3">
        <v>5.2969999999999997</v>
      </c>
      <c r="I917" s="13">
        <f t="shared" si="15"/>
        <v>4.0528497409326398</v>
      </c>
    </row>
    <row r="918" spans="2:9">
      <c r="C918" s="20">
        <v>2.7610000000000001</v>
      </c>
      <c r="D918" s="21">
        <v>143.19999999999999</v>
      </c>
      <c r="E918" s="3">
        <v>78.44</v>
      </c>
      <c r="F918" s="3">
        <v>16.97</v>
      </c>
      <c r="G918" s="21">
        <v>639.4</v>
      </c>
      <c r="H918" s="3">
        <v>5.0060000000000002</v>
      </c>
      <c r="I918" s="13">
        <f t="shared" si="15"/>
        <v>4.6222746022392496</v>
      </c>
    </row>
    <row r="919" spans="2:9">
      <c r="C919" s="20">
        <v>2.3519999999999999</v>
      </c>
      <c r="D919" s="21">
        <v>138.6</v>
      </c>
      <c r="E919" s="3">
        <v>78.66</v>
      </c>
      <c r="F919" s="3">
        <v>17.55</v>
      </c>
      <c r="G919" s="21">
        <v>638.5</v>
      </c>
      <c r="H919" s="3">
        <v>5.1159999999999997</v>
      </c>
      <c r="I919" s="13">
        <f t="shared" si="15"/>
        <v>4.4820512820512803</v>
      </c>
    </row>
    <row r="920" spans="2:9">
      <c r="C920" s="20">
        <v>2.4289999999999998</v>
      </c>
      <c r="D920" s="21">
        <v>142.19999999999999</v>
      </c>
      <c r="E920" s="3">
        <v>78.88</v>
      </c>
      <c r="F920" s="3">
        <v>18.68</v>
      </c>
      <c r="G920" s="21">
        <v>637.6</v>
      </c>
      <c r="H920" s="3">
        <v>5.2640000000000002</v>
      </c>
      <c r="I920" s="13">
        <f t="shared" si="15"/>
        <v>4.22269807280514</v>
      </c>
    </row>
    <row r="921" spans="2:9">
      <c r="C921" s="20">
        <v>2.1949999999999998</v>
      </c>
      <c r="D921" s="21">
        <v>136.80000000000001</v>
      </c>
      <c r="E921" s="3">
        <v>79.099999999999994</v>
      </c>
      <c r="F921" s="3">
        <v>19.399999999999999</v>
      </c>
      <c r="G921" s="21">
        <v>639.20000000000005</v>
      </c>
      <c r="H921" s="3">
        <v>5.3620000000000001</v>
      </c>
      <c r="I921" s="13">
        <f t="shared" si="15"/>
        <v>4.0773195876288701</v>
      </c>
    </row>
    <row r="922" spans="2:9">
      <c r="B922" s="16">
        <v>47</v>
      </c>
      <c r="C922" s="17">
        <v>3.1459999999999999</v>
      </c>
      <c r="D922" s="29">
        <v>194.1</v>
      </c>
      <c r="E922" s="18">
        <v>97.12</v>
      </c>
      <c r="F922" s="18">
        <v>51.12</v>
      </c>
      <c r="G922" s="19">
        <v>557.70000000000005</v>
      </c>
      <c r="H922" s="18">
        <v>7.4290000000000003</v>
      </c>
      <c r="I922" s="13">
        <f t="shared" si="15"/>
        <v>1.89984350547731</v>
      </c>
    </row>
    <row r="923" spans="2:9">
      <c r="C923" s="20">
        <v>3.1850000000000001</v>
      </c>
      <c r="D923" s="21">
        <v>187.2</v>
      </c>
      <c r="E923" s="3">
        <v>98.45</v>
      </c>
      <c r="F923" s="3">
        <v>52.5</v>
      </c>
      <c r="G923" s="21">
        <v>554.9</v>
      </c>
      <c r="H923" s="3">
        <v>7.056</v>
      </c>
      <c r="I923" s="13">
        <f t="shared" si="15"/>
        <v>1.8752380952381</v>
      </c>
    </row>
    <row r="924" spans="2:9">
      <c r="C924" s="20">
        <v>3.17</v>
      </c>
      <c r="D924" s="21">
        <v>217.7</v>
      </c>
      <c r="E924" s="3">
        <v>99.03</v>
      </c>
      <c r="F924" s="3">
        <v>53.36</v>
      </c>
      <c r="G924" s="21">
        <v>557.6</v>
      </c>
      <c r="H924" s="3">
        <v>7.6050000000000004</v>
      </c>
      <c r="I924" s="13">
        <f t="shared" si="15"/>
        <v>1.85588455772114</v>
      </c>
    </row>
    <row r="925" spans="2:9">
      <c r="C925" s="20">
        <v>3.1869999999999998</v>
      </c>
      <c r="D925" s="21">
        <v>201.8</v>
      </c>
      <c r="E925" s="3">
        <v>97.56</v>
      </c>
      <c r="F925" s="3">
        <v>51.9</v>
      </c>
      <c r="G925" s="21">
        <v>554.9</v>
      </c>
      <c r="H925" s="3">
        <v>7.2770000000000001</v>
      </c>
      <c r="I925" s="13">
        <f t="shared" si="15"/>
        <v>1.8797687861271699</v>
      </c>
    </row>
    <row r="926" spans="2:9">
      <c r="C926" s="20">
        <v>3.1</v>
      </c>
      <c r="D926" s="21">
        <v>217.9</v>
      </c>
      <c r="E926" s="3">
        <v>98.22</v>
      </c>
      <c r="F926" s="3">
        <v>52.62</v>
      </c>
      <c r="G926" s="21">
        <v>556.70000000000005</v>
      </c>
      <c r="H926" s="3">
        <v>7.1289999999999996</v>
      </c>
      <c r="I926" s="13">
        <f t="shared" si="15"/>
        <v>1.8665906499429901</v>
      </c>
    </row>
    <row r="927" spans="2:9">
      <c r="C927" s="20">
        <v>3.1850000000000001</v>
      </c>
      <c r="D927" s="21">
        <v>200.9</v>
      </c>
      <c r="E927" s="3">
        <v>99.78</v>
      </c>
      <c r="F927" s="3">
        <v>51.12</v>
      </c>
      <c r="G927" s="21">
        <v>558.1</v>
      </c>
      <c r="H927" s="3">
        <v>7.7750000000000004</v>
      </c>
      <c r="I927" s="13">
        <f t="shared" si="15"/>
        <v>1.9518779342723001</v>
      </c>
    </row>
    <row r="928" spans="2:9">
      <c r="C928" s="20">
        <v>3.121</v>
      </c>
      <c r="D928" s="21">
        <v>187.2</v>
      </c>
      <c r="E928" s="3">
        <v>98.89</v>
      </c>
      <c r="F928" s="3">
        <v>51.56</v>
      </c>
      <c r="G928" s="21">
        <v>555</v>
      </c>
      <c r="H928" s="3">
        <v>7.1790000000000003</v>
      </c>
      <c r="I928" s="13">
        <f t="shared" si="15"/>
        <v>1.91795965865012</v>
      </c>
    </row>
    <row r="929" spans="2:9">
      <c r="C929" s="20">
        <v>3.1120000000000001</v>
      </c>
      <c r="D929" s="21">
        <v>193.8</v>
      </c>
      <c r="E929" s="3">
        <v>98.67</v>
      </c>
      <c r="F929" s="3">
        <v>52.14</v>
      </c>
      <c r="G929" s="21">
        <v>551.4</v>
      </c>
      <c r="H929" s="3">
        <v>7.3479999999999999</v>
      </c>
      <c r="I929" s="13">
        <f t="shared" si="15"/>
        <v>1.89240506329114</v>
      </c>
    </row>
    <row r="930" spans="2:9">
      <c r="C930" s="20">
        <v>3.0009999999999999</v>
      </c>
      <c r="D930" s="21">
        <v>202.7</v>
      </c>
      <c r="E930" s="3">
        <v>99.34</v>
      </c>
      <c r="F930" s="3">
        <v>53.48</v>
      </c>
      <c r="G930" s="21">
        <v>560</v>
      </c>
      <c r="H930" s="3">
        <v>7.3860000000000001</v>
      </c>
      <c r="I930" s="13">
        <f t="shared" si="15"/>
        <v>1.85751682872102</v>
      </c>
    </row>
    <row r="931" spans="2:9">
      <c r="C931" s="20">
        <v>3.0950000000000002</v>
      </c>
      <c r="D931" s="21">
        <v>218.3</v>
      </c>
      <c r="E931" s="3">
        <v>98.23</v>
      </c>
      <c r="F931" s="3">
        <v>51.34</v>
      </c>
      <c r="G931" s="21">
        <v>557.1</v>
      </c>
      <c r="H931" s="3">
        <v>7.4850000000000003</v>
      </c>
      <c r="I931" s="13">
        <f t="shared" si="15"/>
        <v>1.9133229450720699</v>
      </c>
    </row>
    <row r="932" spans="2:9">
      <c r="C932" s="20">
        <v>3.1850000000000001</v>
      </c>
      <c r="D932" s="21">
        <v>206</v>
      </c>
      <c r="E932" s="3">
        <v>98.56</v>
      </c>
      <c r="F932" s="3">
        <v>51.74</v>
      </c>
      <c r="G932" s="21">
        <v>555.79999999999995</v>
      </c>
      <c r="H932" s="3">
        <v>7.5629999999999997</v>
      </c>
      <c r="I932" s="13">
        <f t="shared" si="15"/>
        <v>1.90490916119057</v>
      </c>
    </row>
    <row r="933" spans="2:9">
      <c r="C933" s="20">
        <v>3.24</v>
      </c>
      <c r="D933" s="21">
        <v>209.5</v>
      </c>
      <c r="E933" s="3">
        <v>99.12</v>
      </c>
      <c r="F933" s="3">
        <v>53.6</v>
      </c>
      <c r="G933" s="21">
        <v>557.9</v>
      </c>
      <c r="H933" s="3">
        <v>7.5890000000000004</v>
      </c>
      <c r="I933" s="13">
        <f t="shared" si="15"/>
        <v>1.84925373134328</v>
      </c>
    </row>
    <row r="934" spans="2:9">
      <c r="C934" s="20">
        <v>3.238</v>
      </c>
      <c r="D934" s="21">
        <v>219.4</v>
      </c>
      <c r="E934" s="3">
        <v>98.65</v>
      </c>
      <c r="F934" s="3">
        <v>51.78</v>
      </c>
      <c r="G934" s="21">
        <v>557.5</v>
      </c>
      <c r="H934" s="3">
        <v>7.5039999999999996</v>
      </c>
      <c r="I934" s="13">
        <f t="shared" si="15"/>
        <v>1.90517574353032</v>
      </c>
    </row>
    <row r="935" spans="2:9">
      <c r="C935" s="20">
        <v>3.2290000000000001</v>
      </c>
      <c r="D935" s="21">
        <v>209.5</v>
      </c>
      <c r="E935" s="3">
        <v>98.34</v>
      </c>
      <c r="F935" s="3">
        <v>52.26</v>
      </c>
      <c r="G935" s="21">
        <v>558.29999999999995</v>
      </c>
      <c r="H935" s="3">
        <v>7.1319999999999997</v>
      </c>
      <c r="I935" s="13">
        <f t="shared" si="15"/>
        <v>1.88174512055109</v>
      </c>
    </row>
    <row r="936" spans="2:9">
      <c r="C936" s="20">
        <v>3.1850000000000001</v>
      </c>
      <c r="D936" s="21">
        <v>207.5</v>
      </c>
      <c r="E936" s="3">
        <v>99.45</v>
      </c>
      <c r="F936" s="3">
        <v>53.24</v>
      </c>
      <c r="G936" s="21">
        <v>556.29999999999995</v>
      </c>
      <c r="H936" s="3">
        <v>6.798</v>
      </c>
      <c r="I936" s="13">
        <f t="shared" si="15"/>
        <v>1.86795642374155</v>
      </c>
    </row>
    <row r="937" spans="2:9">
      <c r="C937" s="20">
        <v>3.1459999999999999</v>
      </c>
      <c r="D937" s="21">
        <v>193.8</v>
      </c>
      <c r="E937" s="3">
        <v>97.78</v>
      </c>
      <c r="F937" s="3">
        <v>51.02</v>
      </c>
      <c r="G937" s="21">
        <v>553.1</v>
      </c>
      <c r="H937" s="3">
        <v>7.4290000000000003</v>
      </c>
      <c r="I937" s="13">
        <f t="shared" si="15"/>
        <v>1.91650333202666</v>
      </c>
    </row>
    <row r="938" spans="2:9">
      <c r="C938" s="20">
        <v>3.1230000000000002</v>
      </c>
      <c r="D938" s="21">
        <v>204.2</v>
      </c>
      <c r="E938" s="3">
        <v>97.89</v>
      </c>
      <c r="F938" s="3">
        <v>51.38</v>
      </c>
      <c r="G938" s="21">
        <v>552.4</v>
      </c>
      <c r="H938" s="3">
        <v>7.1459999999999999</v>
      </c>
      <c r="I938" s="13">
        <f t="shared" si="15"/>
        <v>1.90521603736863</v>
      </c>
    </row>
    <row r="939" spans="2:9">
      <c r="C939" s="20">
        <v>2.8490000000000002</v>
      </c>
      <c r="D939" s="21">
        <v>217.3</v>
      </c>
      <c r="E939" s="3">
        <v>99.67</v>
      </c>
      <c r="F939" s="3">
        <v>53.72</v>
      </c>
      <c r="G939" s="21">
        <v>549.6</v>
      </c>
      <c r="H939" s="3">
        <v>6.9960000000000004</v>
      </c>
      <c r="I939" s="13">
        <f t="shared" si="15"/>
        <v>1.85536113179449</v>
      </c>
    </row>
    <row r="940" spans="2:9">
      <c r="C940" s="20">
        <v>3.0619999999999998</v>
      </c>
      <c r="D940" s="21">
        <v>217.9</v>
      </c>
      <c r="E940" s="3">
        <v>97.34</v>
      </c>
      <c r="F940" s="3">
        <v>51.34</v>
      </c>
      <c r="G940" s="21">
        <v>553.29999999999995</v>
      </c>
      <c r="H940" s="3">
        <v>6.7119999999999997</v>
      </c>
      <c r="I940" s="13">
        <f t="shared" si="15"/>
        <v>1.89598753408648</v>
      </c>
    </row>
    <row r="941" spans="2:9">
      <c r="C941" s="20">
        <v>2.867</v>
      </c>
      <c r="D941" s="21">
        <v>238.2</v>
      </c>
      <c r="E941" s="3">
        <v>97.03</v>
      </c>
      <c r="F941" s="3">
        <v>53.02</v>
      </c>
      <c r="G941" s="21">
        <v>560.70000000000005</v>
      </c>
      <c r="H941" s="3">
        <v>7.3049999999999997</v>
      </c>
      <c r="I941" s="13">
        <f t="shared" si="15"/>
        <v>1.83006412674462</v>
      </c>
    </row>
    <row r="942" spans="2:9">
      <c r="B942" s="16">
        <v>48</v>
      </c>
      <c r="C942" s="17">
        <v>1.621</v>
      </c>
      <c r="D942" s="29">
        <v>161.30000000000001</v>
      </c>
      <c r="E942" s="18">
        <v>81.12</v>
      </c>
      <c r="F942" s="18">
        <v>20.12</v>
      </c>
      <c r="G942" s="19">
        <v>673.8</v>
      </c>
      <c r="H942" s="18">
        <v>14.5</v>
      </c>
      <c r="I942" s="13">
        <f t="shared" si="15"/>
        <v>4.0318091451292304</v>
      </c>
    </row>
    <row r="943" spans="2:9">
      <c r="C943" s="20">
        <v>1.587</v>
      </c>
      <c r="D943" s="21">
        <v>166.2</v>
      </c>
      <c r="E943" s="3">
        <v>81.34</v>
      </c>
      <c r="F943" s="3">
        <v>21.34</v>
      </c>
      <c r="G943" s="21">
        <v>674.5</v>
      </c>
      <c r="H943" s="3">
        <v>16.309999999999999</v>
      </c>
      <c r="I943" s="13">
        <f t="shared" si="15"/>
        <v>3.8116213683223998</v>
      </c>
    </row>
    <row r="944" spans="2:9">
      <c r="C944" s="20">
        <v>1.53</v>
      </c>
      <c r="D944" s="21">
        <v>189.2</v>
      </c>
      <c r="E944" s="3">
        <v>82.56</v>
      </c>
      <c r="F944" s="3">
        <v>21.56</v>
      </c>
      <c r="G944" s="21">
        <v>675.1</v>
      </c>
      <c r="H944" s="3">
        <v>15.57</v>
      </c>
      <c r="I944" s="13">
        <f t="shared" si="15"/>
        <v>3.8293135435992598</v>
      </c>
    </row>
    <row r="945" spans="3:9">
      <c r="C945" s="20">
        <v>1.7090000000000001</v>
      </c>
      <c r="D945" s="21">
        <v>145.5</v>
      </c>
      <c r="E945" s="3">
        <v>83.78</v>
      </c>
      <c r="F945" s="3">
        <v>20.78</v>
      </c>
      <c r="G945" s="21">
        <v>675.4</v>
      </c>
      <c r="H945" s="3">
        <v>13.93</v>
      </c>
      <c r="I945" s="13">
        <f t="shared" si="15"/>
        <v>4.0317613089509097</v>
      </c>
    </row>
    <row r="946" spans="3:9">
      <c r="C946" s="20">
        <v>1.696</v>
      </c>
      <c r="D946" s="21">
        <v>135.1</v>
      </c>
      <c r="E946" s="3">
        <v>81.900000000000006</v>
      </c>
      <c r="F946" s="3">
        <v>20.9</v>
      </c>
      <c r="G946" s="21">
        <v>676.3</v>
      </c>
      <c r="H946" s="3">
        <v>13.97</v>
      </c>
      <c r="I946" s="13">
        <f t="shared" si="15"/>
        <v>3.9186602870813401</v>
      </c>
    </row>
    <row r="947" spans="3:9">
      <c r="C947" s="20">
        <v>1.7549999999999999</v>
      </c>
      <c r="D947" s="21">
        <v>119.4</v>
      </c>
      <c r="E947" s="3">
        <v>82.02</v>
      </c>
      <c r="F947" s="3">
        <v>21.02</v>
      </c>
      <c r="G947" s="21">
        <v>675.9</v>
      </c>
      <c r="H947" s="3">
        <v>14.73</v>
      </c>
      <c r="I947" s="13">
        <f t="shared" si="15"/>
        <v>3.9019980970504302</v>
      </c>
    </row>
    <row r="948" spans="3:9">
      <c r="C948" s="20">
        <v>1.786</v>
      </c>
      <c r="D948" s="21">
        <v>124.8</v>
      </c>
      <c r="E948" s="3">
        <v>82.14</v>
      </c>
      <c r="F948" s="3">
        <v>22.14</v>
      </c>
      <c r="G948" s="21">
        <v>675.8</v>
      </c>
      <c r="H948" s="3">
        <v>13.74</v>
      </c>
      <c r="I948" s="13">
        <f t="shared" si="15"/>
        <v>3.7100271002710001</v>
      </c>
    </row>
    <row r="949" spans="3:9">
      <c r="C949" s="20">
        <v>1.772</v>
      </c>
      <c r="D949" s="21">
        <v>116.5</v>
      </c>
      <c r="E949" s="3">
        <v>82.26</v>
      </c>
      <c r="F949" s="3">
        <v>21.26</v>
      </c>
      <c r="G949" s="21">
        <v>677.5</v>
      </c>
      <c r="H949" s="3">
        <v>13.94</v>
      </c>
      <c r="I949" s="13">
        <f t="shared" si="15"/>
        <v>3.8692380056443998</v>
      </c>
    </row>
    <row r="950" spans="3:9">
      <c r="C950" s="20">
        <v>1.7989999999999999</v>
      </c>
      <c r="D950" s="21">
        <v>126.7</v>
      </c>
      <c r="E950" s="3">
        <v>83.38</v>
      </c>
      <c r="F950" s="3">
        <v>22.38</v>
      </c>
      <c r="G950" s="21">
        <v>677.4</v>
      </c>
      <c r="H950" s="3">
        <v>14.5</v>
      </c>
      <c r="I950" s="13">
        <f t="shared" si="15"/>
        <v>3.7256478999106299</v>
      </c>
    </row>
    <row r="951" spans="3:9">
      <c r="C951" s="20">
        <v>1.762</v>
      </c>
      <c r="D951" s="21">
        <v>158.30000000000001</v>
      </c>
      <c r="E951" s="3">
        <v>82.5</v>
      </c>
      <c r="F951" s="3">
        <v>21.5</v>
      </c>
      <c r="G951" s="21">
        <v>677.1</v>
      </c>
      <c r="H951" s="3">
        <v>14.33</v>
      </c>
      <c r="I951" s="13">
        <f t="shared" si="15"/>
        <v>3.8372093023255802</v>
      </c>
    </row>
    <row r="952" spans="3:9">
      <c r="C952" s="20">
        <v>1.7929999999999999</v>
      </c>
      <c r="D952" s="21">
        <v>164.6</v>
      </c>
      <c r="E952" s="3">
        <v>83.62</v>
      </c>
      <c r="F952" s="3">
        <v>22.62</v>
      </c>
      <c r="G952" s="21">
        <v>675.4</v>
      </c>
      <c r="H952" s="3">
        <v>15.12</v>
      </c>
      <c r="I952" s="13">
        <f t="shared" si="15"/>
        <v>3.69672855879752</v>
      </c>
    </row>
    <row r="953" spans="3:9">
      <c r="C953" s="20">
        <v>1.5309999999999999</v>
      </c>
      <c r="D953" s="21">
        <v>177.9</v>
      </c>
      <c r="E953" s="3">
        <v>82.74</v>
      </c>
      <c r="F953" s="3">
        <v>21.74</v>
      </c>
      <c r="G953" s="21">
        <v>676.9</v>
      </c>
      <c r="H953" s="3">
        <v>15.18</v>
      </c>
      <c r="I953" s="13">
        <f t="shared" si="15"/>
        <v>3.80588776448942</v>
      </c>
    </row>
    <row r="954" spans="3:9">
      <c r="C954" s="20">
        <v>1.56</v>
      </c>
      <c r="D954" s="21">
        <v>166.2</v>
      </c>
      <c r="E954" s="3">
        <v>83.86</v>
      </c>
      <c r="F954" s="3">
        <v>21.86</v>
      </c>
      <c r="G954" s="21">
        <v>675.4</v>
      </c>
      <c r="H954" s="3">
        <v>15.12</v>
      </c>
      <c r="I954" s="13">
        <f t="shared" si="15"/>
        <v>3.8362305580969802</v>
      </c>
    </row>
    <row r="955" spans="3:9">
      <c r="C955" s="20">
        <v>1.6359999999999999</v>
      </c>
      <c r="D955" s="21">
        <v>145.30000000000001</v>
      </c>
      <c r="E955" s="3">
        <v>82.98</v>
      </c>
      <c r="F955" s="3">
        <v>21.98</v>
      </c>
      <c r="G955" s="21">
        <v>675.2</v>
      </c>
      <c r="H955" s="3">
        <v>15.28</v>
      </c>
      <c r="I955" s="13">
        <f t="shared" si="15"/>
        <v>3.7752502274795301</v>
      </c>
    </row>
    <row r="956" spans="3:9">
      <c r="C956" s="20">
        <v>1.7609999999999999</v>
      </c>
      <c r="D956" s="21">
        <v>170</v>
      </c>
      <c r="E956" s="3">
        <v>83</v>
      </c>
      <c r="F956" s="3">
        <v>21</v>
      </c>
      <c r="G956" s="21">
        <v>675.1</v>
      </c>
      <c r="H956" s="3">
        <v>14.82</v>
      </c>
      <c r="I956" s="13">
        <f t="shared" si="15"/>
        <v>3.9523809523809499</v>
      </c>
    </row>
    <row r="957" spans="3:9">
      <c r="C957" s="20">
        <v>1.6559999999999999</v>
      </c>
      <c r="D957" s="21">
        <v>135.1</v>
      </c>
      <c r="E957" s="3">
        <v>82.12</v>
      </c>
      <c r="F957" s="3">
        <v>21.12</v>
      </c>
      <c r="G957" s="21">
        <v>673.5</v>
      </c>
      <c r="H957" s="3">
        <v>13.94</v>
      </c>
      <c r="I957" s="13">
        <f t="shared" si="15"/>
        <v>3.8882575757575801</v>
      </c>
    </row>
    <row r="958" spans="3:9">
      <c r="C958" s="20">
        <v>1.75</v>
      </c>
      <c r="D958" s="21">
        <v>119.4</v>
      </c>
      <c r="E958" s="3">
        <v>82.24</v>
      </c>
      <c r="F958" s="3">
        <v>22.24</v>
      </c>
      <c r="G958" s="21">
        <v>673.8</v>
      </c>
      <c r="H958" s="3">
        <v>13.38</v>
      </c>
      <c r="I958" s="13">
        <f t="shared" si="15"/>
        <v>3.6978417266186998</v>
      </c>
    </row>
    <row r="959" spans="3:9">
      <c r="C959" s="20">
        <v>1.7090000000000001</v>
      </c>
      <c r="D959" s="21">
        <v>124.5</v>
      </c>
      <c r="E959" s="3">
        <v>83.36</v>
      </c>
      <c r="F959" s="3">
        <v>22.36</v>
      </c>
      <c r="G959" s="21">
        <v>675.6</v>
      </c>
      <c r="H959" s="3">
        <v>13.67</v>
      </c>
      <c r="I959" s="13">
        <f t="shared" si="15"/>
        <v>3.72808586762075</v>
      </c>
    </row>
    <row r="960" spans="3:9">
      <c r="C960" s="20">
        <v>1.5980000000000001</v>
      </c>
      <c r="D960" s="21">
        <v>124.8</v>
      </c>
      <c r="E960" s="3">
        <v>82.48</v>
      </c>
      <c r="F960" s="3">
        <v>22.48</v>
      </c>
      <c r="G960" s="21">
        <v>675.9</v>
      </c>
      <c r="H960" s="3">
        <v>14.38</v>
      </c>
      <c r="I960" s="13">
        <f t="shared" si="15"/>
        <v>3.6690391459074698</v>
      </c>
    </row>
    <row r="961" spans="2:9">
      <c r="C961" s="20">
        <v>1.7989999999999999</v>
      </c>
      <c r="D961" s="21">
        <v>125.7</v>
      </c>
      <c r="E961" s="3">
        <v>81.599999999999994</v>
      </c>
      <c r="F961" s="3">
        <v>22.6</v>
      </c>
      <c r="G961" s="21">
        <v>676.9</v>
      </c>
      <c r="H961" s="3">
        <v>13.67</v>
      </c>
      <c r="I961" s="13">
        <f t="shared" si="15"/>
        <v>3.6106194690265498</v>
      </c>
    </row>
    <row r="962" spans="2:9">
      <c r="B962" s="16">
        <v>49</v>
      </c>
      <c r="C962" s="17">
        <v>3.1280000000000001</v>
      </c>
      <c r="D962" s="29">
        <v>212.7</v>
      </c>
      <c r="E962" s="18">
        <v>84.12</v>
      </c>
      <c r="F962" s="18">
        <v>43.12</v>
      </c>
      <c r="G962" s="19">
        <v>600</v>
      </c>
      <c r="H962" s="18">
        <v>4.1319999999999997</v>
      </c>
      <c r="I962" s="13">
        <f t="shared" si="15"/>
        <v>1.95083487940631</v>
      </c>
    </row>
    <row r="963" spans="2:9">
      <c r="C963" s="20">
        <v>3.2069999999999999</v>
      </c>
      <c r="D963" s="21">
        <v>250.2</v>
      </c>
      <c r="E963" s="3">
        <v>84.23</v>
      </c>
      <c r="F963" s="3">
        <v>43.34</v>
      </c>
      <c r="G963" s="21">
        <v>596.5</v>
      </c>
      <c r="H963" s="3">
        <v>3.746</v>
      </c>
      <c r="I963" s="13">
        <f t="shared" ref="I963:I1026" si="16">E963/F963</f>
        <v>1.9434702353484099</v>
      </c>
    </row>
    <row r="964" spans="2:9">
      <c r="C964" s="20">
        <v>3.1789999999999998</v>
      </c>
      <c r="D964" s="21">
        <v>228.9</v>
      </c>
      <c r="E964" s="3">
        <v>84.34</v>
      </c>
      <c r="F964" s="3">
        <v>44.56</v>
      </c>
      <c r="G964" s="21">
        <v>593.70000000000005</v>
      </c>
      <c r="H964" s="3">
        <v>3.7509999999999999</v>
      </c>
      <c r="I964" s="13">
        <f t="shared" si="16"/>
        <v>1.8927289048474001</v>
      </c>
    </row>
    <row r="965" spans="2:9">
      <c r="C965" s="20">
        <v>3.1930000000000001</v>
      </c>
      <c r="D965" s="21">
        <v>296</v>
      </c>
      <c r="E965" s="3">
        <v>84.45</v>
      </c>
      <c r="F965" s="3">
        <v>43.78</v>
      </c>
      <c r="G965" s="21">
        <v>598.29999999999995</v>
      </c>
      <c r="H965" s="3">
        <v>4.0279999999999996</v>
      </c>
      <c r="I965" s="13">
        <f t="shared" si="16"/>
        <v>1.92896299680219</v>
      </c>
    </row>
    <row r="966" spans="2:9">
      <c r="C966" s="20">
        <v>3.169</v>
      </c>
      <c r="D966" s="21">
        <v>212.7</v>
      </c>
      <c r="E966" s="3">
        <v>84.56</v>
      </c>
      <c r="F966" s="3">
        <v>43.9</v>
      </c>
      <c r="G966" s="21">
        <v>599.6</v>
      </c>
      <c r="H966" s="3">
        <v>4.4189999999999996</v>
      </c>
      <c r="I966" s="13">
        <f t="shared" si="16"/>
        <v>1.92619589977221</v>
      </c>
    </row>
    <row r="967" spans="2:9">
      <c r="C967" s="20">
        <v>3.1739999999999999</v>
      </c>
      <c r="D967" s="21">
        <v>296.10000000000002</v>
      </c>
      <c r="E967" s="3">
        <v>84.67</v>
      </c>
      <c r="F967" s="3">
        <v>44.02</v>
      </c>
      <c r="G967" s="21">
        <v>604.79999999999995</v>
      </c>
      <c r="H967" s="3">
        <v>4.5819999999999999</v>
      </c>
      <c r="I967" s="13">
        <f t="shared" si="16"/>
        <v>1.9234438891412999</v>
      </c>
    </row>
    <row r="968" spans="2:9">
      <c r="C968" s="20">
        <v>3.198</v>
      </c>
      <c r="D968" s="21">
        <v>258.7</v>
      </c>
      <c r="E968" s="3">
        <v>84.78</v>
      </c>
      <c r="F968" s="3">
        <v>44.14</v>
      </c>
      <c r="G968" s="21">
        <v>610.1</v>
      </c>
      <c r="H968" s="3">
        <v>4.4790000000000001</v>
      </c>
      <c r="I968" s="13">
        <f t="shared" si="16"/>
        <v>1.9207068418667901</v>
      </c>
    </row>
    <row r="969" spans="2:9">
      <c r="C969" s="20">
        <v>3.2109999999999999</v>
      </c>
      <c r="D969" s="21">
        <v>261.39999999999998</v>
      </c>
      <c r="E969" s="3">
        <v>84.89</v>
      </c>
      <c r="F969" s="3">
        <v>45.26</v>
      </c>
      <c r="G969" s="21">
        <v>605.9</v>
      </c>
      <c r="H969" s="3">
        <v>4.7949999999999999</v>
      </c>
      <c r="I969" s="13">
        <f t="shared" si="16"/>
        <v>1.87560760053027</v>
      </c>
    </row>
    <row r="970" spans="2:9">
      <c r="C970" s="20">
        <v>3.1819999999999999</v>
      </c>
      <c r="D970" s="21">
        <v>273.8</v>
      </c>
      <c r="E970" s="3">
        <v>85.9</v>
      </c>
      <c r="F970" s="3">
        <v>45.38</v>
      </c>
      <c r="G970" s="21">
        <v>602.29999999999995</v>
      </c>
      <c r="H970" s="3">
        <v>4.4509999999999996</v>
      </c>
      <c r="I970" s="13">
        <f t="shared" si="16"/>
        <v>1.89290436315558</v>
      </c>
    </row>
    <row r="971" spans="2:9">
      <c r="C971" s="20">
        <v>3.1520000000000001</v>
      </c>
      <c r="D971" s="21">
        <v>276.3</v>
      </c>
      <c r="E971" s="3">
        <v>85.91</v>
      </c>
      <c r="F971" s="3">
        <v>44.5</v>
      </c>
      <c r="G971" s="21">
        <v>598.79999999999995</v>
      </c>
      <c r="H971" s="3">
        <v>3.9039999999999999</v>
      </c>
      <c r="I971" s="13">
        <f t="shared" si="16"/>
        <v>1.93056179775281</v>
      </c>
    </row>
    <row r="972" spans="2:9">
      <c r="C972" s="20">
        <v>3.1120000000000001</v>
      </c>
      <c r="D972" s="21">
        <v>249.2</v>
      </c>
      <c r="E972" s="3">
        <v>85.92</v>
      </c>
      <c r="F972" s="3">
        <v>44.62</v>
      </c>
      <c r="G972" s="21">
        <v>595.20000000000005</v>
      </c>
      <c r="H972" s="3">
        <v>3.9540000000000002</v>
      </c>
      <c r="I972" s="13">
        <f t="shared" si="16"/>
        <v>1.9255939040788901</v>
      </c>
    </row>
    <row r="973" spans="2:9">
      <c r="C973" s="20">
        <v>3.1150000000000002</v>
      </c>
      <c r="D973" s="21">
        <v>238</v>
      </c>
      <c r="E973" s="3">
        <v>84.93</v>
      </c>
      <c r="F973" s="3">
        <v>44.74</v>
      </c>
      <c r="G973" s="21">
        <v>602.9</v>
      </c>
      <c r="H973" s="3">
        <v>3.9740000000000002</v>
      </c>
      <c r="I973" s="13">
        <f t="shared" si="16"/>
        <v>1.89830129637908</v>
      </c>
    </row>
    <row r="974" spans="2:9">
      <c r="C974" s="20">
        <v>3.141</v>
      </c>
      <c r="D974" s="21">
        <v>219.2</v>
      </c>
      <c r="E974" s="3">
        <v>84.94</v>
      </c>
      <c r="F974" s="3">
        <v>44.86</v>
      </c>
      <c r="G974" s="21">
        <v>604.79999999999995</v>
      </c>
      <c r="H974" s="3">
        <v>3.9660000000000002</v>
      </c>
      <c r="I974" s="13">
        <f t="shared" si="16"/>
        <v>1.8934462773071801</v>
      </c>
    </row>
    <row r="975" spans="2:9">
      <c r="C975" s="20">
        <v>3.18</v>
      </c>
      <c r="D975" s="21">
        <v>237.7</v>
      </c>
      <c r="E975" s="3">
        <v>84.95</v>
      </c>
      <c r="F975" s="3">
        <v>44.98</v>
      </c>
      <c r="G975" s="21">
        <v>606.79999999999995</v>
      </c>
      <c r="H975" s="3">
        <v>4.0149999999999997</v>
      </c>
      <c r="I975" s="13">
        <f t="shared" si="16"/>
        <v>1.8886171631836399</v>
      </c>
    </row>
    <row r="976" spans="2:9">
      <c r="C976" s="20">
        <v>3.1478999999999999</v>
      </c>
      <c r="D976" s="21">
        <v>216.7</v>
      </c>
      <c r="E976" s="3">
        <v>84.96</v>
      </c>
      <c r="F976" s="3">
        <v>45</v>
      </c>
      <c r="G976" s="21">
        <v>608.79999999999995</v>
      </c>
      <c r="H976" s="3">
        <v>4.242</v>
      </c>
      <c r="I976" s="13">
        <f t="shared" si="16"/>
        <v>1.8879999999999999</v>
      </c>
    </row>
    <row r="977" spans="2:9">
      <c r="C977" s="20">
        <v>3.1760000000000002</v>
      </c>
      <c r="D977" s="21">
        <v>206.7</v>
      </c>
      <c r="E977" s="3">
        <v>84.97</v>
      </c>
      <c r="F977" s="3">
        <v>44.12</v>
      </c>
      <c r="G977" s="21">
        <v>613</v>
      </c>
      <c r="H977" s="3">
        <v>4.4420000000000002</v>
      </c>
      <c r="I977" s="13">
        <f t="shared" si="16"/>
        <v>1.92588395285585</v>
      </c>
    </row>
    <row r="978" spans="2:9">
      <c r="C978" s="20">
        <v>3.1389999999999998</v>
      </c>
      <c r="D978" s="21">
        <v>250.3</v>
      </c>
      <c r="E978" s="3">
        <v>85</v>
      </c>
      <c r="F978" s="3">
        <v>44.24</v>
      </c>
      <c r="G978" s="21">
        <v>617.4</v>
      </c>
      <c r="H978" s="3">
        <v>3.7519999999999998</v>
      </c>
      <c r="I978" s="13">
        <f t="shared" si="16"/>
        <v>1.9213381555153699</v>
      </c>
    </row>
    <row r="979" spans="2:9">
      <c r="C979" s="20">
        <v>3.161</v>
      </c>
      <c r="D979" s="21">
        <v>244.9</v>
      </c>
      <c r="E979" s="3">
        <v>85.01</v>
      </c>
      <c r="F979" s="3">
        <v>45.36</v>
      </c>
      <c r="G979" s="21">
        <v>619.5</v>
      </c>
      <c r="H979" s="3">
        <v>3.7869999999999999</v>
      </c>
      <c r="I979" s="13">
        <f t="shared" si="16"/>
        <v>1.87411816578483</v>
      </c>
    </row>
    <row r="980" spans="2:9">
      <c r="C980" s="20">
        <v>3.19</v>
      </c>
      <c r="D980" s="21">
        <v>232.7</v>
      </c>
      <c r="E980" s="3">
        <v>84.02</v>
      </c>
      <c r="F980" s="3">
        <v>44.48</v>
      </c>
      <c r="G980" s="21">
        <v>621.5</v>
      </c>
      <c r="H980" s="3">
        <v>3.8559999999999999</v>
      </c>
      <c r="I980" s="13">
        <f t="shared" si="16"/>
        <v>1.8889388489208601</v>
      </c>
    </row>
    <row r="981" spans="2:9">
      <c r="C981" s="20">
        <v>3.198</v>
      </c>
      <c r="D981" s="21">
        <v>242</v>
      </c>
      <c r="E981" s="3">
        <v>85.03</v>
      </c>
      <c r="F981" s="3">
        <v>45.6</v>
      </c>
      <c r="G981" s="21">
        <v>625</v>
      </c>
      <c r="H981" s="3">
        <v>4.1100000000000003</v>
      </c>
      <c r="I981" s="13">
        <f t="shared" si="16"/>
        <v>1.86469298245614</v>
      </c>
    </row>
    <row r="982" spans="2:9">
      <c r="B982" s="16">
        <v>50</v>
      </c>
      <c r="C982" s="17">
        <v>2.8149999999999999</v>
      </c>
      <c r="D982" s="29">
        <v>153.80000000000001</v>
      </c>
      <c r="E982" s="18">
        <v>89.09</v>
      </c>
      <c r="F982" s="18">
        <v>27.21</v>
      </c>
      <c r="G982" s="19">
        <v>659.2</v>
      </c>
      <c r="H982" s="18">
        <v>4.7759999999999998</v>
      </c>
      <c r="I982" s="13">
        <f t="shared" si="16"/>
        <v>3.2741639103270899</v>
      </c>
    </row>
    <row r="983" spans="2:9">
      <c r="C983" s="20">
        <v>2.7690000000000001</v>
      </c>
      <c r="D983" s="21">
        <v>156.30000000000001</v>
      </c>
      <c r="E983" s="3">
        <v>88.76</v>
      </c>
      <c r="F983" s="3">
        <v>27.37</v>
      </c>
      <c r="G983" s="21">
        <v>661.6</v>
      </c>
      <c r="H983" s="3">
        <v>4.84</v>
      </c>
      <c r="I983" s="13">
        <f t="shared" si="16"/>
        <v>3.2429667519181602</v>
      </c>
    </row>
    <row r="984" spans="2:9">
      <c r="C984" s="20">
        <v>2.8260000000000001</v>
      </c>
      <c r="D984" s="21">
        <v>137.6</v>
      </c>
      <c r="E984" s="3">
        <v>89.27</v>
      </c>
      <c r="F984" s="3">
        <v>27.09</v>
      </c>
      <c r="G984" s="21">
        <v>664.1</v>
      </c>
      <c r="H984" s="3">
        <v>4.984</v>
      </c>
      <c r="I984" s="13">
        <f t="shared" si="16"/>
        <v>3.2953119232188999</v>
      </c>
    </row>
    <row r="985" spans="2:9">
      <c r="C985" s="20">
        <v>2.8210000000000002</v>
      </c>
      <c r="D985" s="21">
        <v>141.69999999999999</v>
      </c>
      <c r="E985" s="3">
        <v>89.15</v>
      </c>
      <c r="F985" s="3">
        <v>27.42</v>
      </c>
      <c r="G985" s="21">
        <v>667.7</v>
      </c>
      <c r="H985" s="3">
        <v>4.7949999999999999</v>
      </c>
      <c r="I985" s="13">
        <f t="shared" si="16"/>
        <v>3.25127644055434</v>
      </c>
    </row>
    <row r="986" spans="2:9">
      <c r="C986" s="20">
        <v>2.8620000000000001</v>
      </c>
      <c r="D986" s="21">
        <v>128.19999999999999</v>
      </c>
      <c r="E986" s="3">
        <v>89.58</v>
      </c>
      <c r="F986" s="3">
        <v>27.58</v>
      </c>
      <c r="G986" s="21">
        <v>672.7</v>
      </c>
      <c r="H986" s="3">
        <v>4.4630000000000001</v>
      </c>
      <c r="I986" s="13">
        <f t="shared" si="16"/>
        <v>3.2480058013052902</v>
      </c>
    </row>
    <row r="987" spans="2:9">
      <c r="C987" s="20">
        <v>2.871</v>
      </c>
      <c r="D987" s="21">
        <v>133.69999999999999</v>
      </c>
      <c r="E987" s="3">
        <v>89.55</v>
      </c>
      <c r="F987" s="3">
        <v>27.36</v>
      </c>
      <c r="G987" s="21">
        <v>659.5</v>
      </c>
      <c r="H987" s="3">
        <v>4.5880000000000001</v>
      </c>
      <c r="I987" s="13">
        <f t="shared" si="16"/>
        <v>3.2730263157894699</v>
      </c>
    </row>
    <row r="988" spans="2:9">
      <c r="C988" s="20">
        <v>2.87</v>
      </c>
      <c r="D988" s="21">
        <v>144</v>
      </c>
      <c r="E988" s="3">
        <v>89.39</v>
      </c>
      <c r="F988" s="3">
        <v>27.68</v>
      </c>
      <c r="G988" s="21">
        <v>658.6</v>
      </c>
      <c r="H988" s="3">
        <v>4.83</v>
      </c>
      <c r="I988" s="13">
        <f t="shared" si="16"/>
        <v>3.22940751445087</v>
      </c>
    </row>
    <row r="989" spans="2:9">
      <c r="C989" s="20">
        <v>2.8780000000000001</v>
      </c>
      <c r="D989" s="21">
        <v>140.69999999999999</v>
      </c>
      <c r="E989" s="3">
        <v>89.15</v>
      </c>
      <c r="F989" s="3">
        <v>27.57</v>
      </c>
      <c r="G989" s="21">
        <v>658.4</v>
      </c>
      <c r="H989" s="3">
        <v>5.2320000000000002</v>
      </c>
      <c r="I989" s="13">
        <f t="shared" si="16"/>
        <v>3.2335872324990902</v>
      </c>
    </row>
    <row r="990" spans="2:9">
      <c r="C990" s="20">
        <v>2.851</v>
      </c>
      <c r="D990" s="21">
        <v>128.19999999999999</v>
      </c>
      <c r="E990" s="3">
        <v>88.76</v>
      </c>
      <c r="F990" s="3">
        <v>27.96</v>
      </c>
      <c r="G990" s="21">
        <v>658</v>
      </c>
      <c r="H990" s="3">
        <v>5.2850000000000001</v>
      </c>
      <c r="I990" s="13">
        <f t="shared" si="16"/>
        <v>3.1745350500715301</v>
      </c>
    </row>
    <row r="991" spans="2:9">
      <c r="C991" s="20">
        <v>2.806</v>
      </c>
      <c r="D991" s="21">
        <v>131.69999999999999</v>
      </c>
      <c r="E991" s="3">
        <v>89</v>
      </c>
      <c r="F991" s="3">
        <v>27.47</v>
      </c>
      <c r="G991" s="21">
        <v>657.3</v>
      </c>
      <c r="H991" s="3">
        <v>5.5960000000000001</v>
      </c>
      <c r="I991" s="13">
        <f t="shared" si="16"/>
        <v>3.2398980706225</v>
      </c>
    </row>
    <row r="992" spans="2:9">
      <c r="C992" s="20">
        <v>2.7749999999999999</v>
      </c>
      <c r="D992" s="21">
        <v>155.80000000000001</v>
      </c>
      <c r="E992" s="3">
        <v>89.27</v>
      </c>
      <c r="F992" s="3">
        <v>27.2</v>
      </c>
      <c r="G992" s="21">
        <v>656.2</v>
      </c>
      <c r="H992" s="3">
        <v>6.0919999999999996</v>
      </c>
      <c r="I992" s="13">
        <f t="shared" si="16"/>
        <v>3.2819852941176499</v>
      </c>
    </row>
    <row r="993" spans="2:9">
      <c r="C993" s="20">
        <v>2.6789999999999998</v>
      </c>
      <c r="D993" s="21">
        <v>164.4</v>
      </c>
      <c r="E993" s="3">
        <v>89.81</v>
      </c>
      <c r="F993" s="3">
        <v>27.64</v>
      </c>
      <c r="G993" s="21">
        <v>658.7</v>
      </c>
      <c r="H993" s="3">
        <v>5.625</v>
      </c>
      <c r="I993" s="13">
        <f t="shared" si="16"/>
        <v>3.2492764109985499</v>
      </c>
    </row>
    <row r="994" spans="2:9">
      <c r="C994" s="20">
        <v>2.71</v>
      </c>
      <c r="D994" s="21">
        <v>150.4</v>
      </c>
      <c r="E994" s="3">
        <v>89.21</v>
      </c>
      <c r="F994" s="3">
        <v>27.79</v>
      </c>
      <c r="G994" s="21">
        <v>657.7</v>
      </c>
      <c r="H994" s="3">
        <v>5.2850000000000001</v>
      </c>
      <c r="I994" s="13">
        <f t="shared" si="16"/>
        <v>3.2101475350845599</v>
      </c>
    </row>
    <row r="995" spans="2:9">
      <c r="C995" s="20">
        <v>2.718</v>
      </c>
      <c r="D995" s="21">
        <v>158.9</v>
      </c>
      <c r="E995" s="3">
        <v>89.51</v>
      </c>
      <c r="F995" s="3">
        <v>27.52</v>
      </c>
      <c r="G995" s="21">
        <v>658.2</v>
      </c>
      <c r="H995" s="3">
        <v>5.0949999999999998</v>
      </c>
      <c r="I995" s="13">
        <f t="shared" si="16"/>
        <v>3.25254360465116</v>
      </c>
    </row>
    <row r="996" spans="2:9">
      <c r="C996" s="20">
        <v>2.7759999999999998</v>
      </c>
      <c r="D996" s="21">
        <v>152.6</v>
      </c>
      <c r="E996" s="3">
        <v>89.54</v>
      </c>
      <c r="F996" s="3">
        <v>27.15</v>
      </c>
      <c r="G996" s="21">
        <v>660.5</v>
      </c>
      <c r="H996" s="3">
        <v>5.2510000000000003</v>
      </c>
      <c r="I996" s="13">
        <f t="shared" si="16"/>
        <v>3.2979742173112299</v>
      </c>
    </row>
    <row r="997" spans="2:9">
      <c r="C997" s="20">
        <v>2.8260000000000001</v>
      </c>
      <c r="D997" s="21">
        <v>131.69999999999999</v>
      </c>
      <c r="E997" s="3">
        <v>89.48</v>
      </c>
      <c r="F997" s="3">
        <v>27.36</v>
      </c>
      <c r="G997" s="21">
        <v>664.2</v>
      </c>
      <c r="H997" s="3">
        <v>5.5</v>
      </c>
      <c r="I997" s="13">
        <f t="shared" si="16"/>
        <v>3.2704678362573101</v>
      </c>
    </row>
    <row r="998" spans="2:9">
      <c r="C998" s="20">
        <v>2.8210000000000002</v>
      </c>
      <c r="D998" s="21">
        <v>145.5</v>
      </c>
      <c r="E998" s="3">
        <v>89.24</v>
      </c>
      <c r="F998" s="3">
        <v>27.37</v>
      </c>
      <c r="G998" s="21">
        <v>657.3</v>
      </c>
      <c r="H998" s="3">
        <v>5.2830000000000004</v>
      </c>
      <c r="I998" s="13">
        <f t="shared" si="16"/>
        <v>3.26050420168067</v>
      </c>
    </row>
    <row r="999" spans="2:9">
      <c r="C999" s="20">
        <v>2.863</v>
      </c>
      <c r="D999" s="21">
        <v>171.2</v>
      </c>
      <c r="E999" s="3">
        <v>89.03</v>
      </c>
      <c r="F999" s="3">
        <v>27.63</v>
      </c>
      <c r="G999" s="21">
        <v>657.6</v>
      </c>
      <c r="H999" s="3">
        <v>4.58</v>
      </c>
      <c r="I999" s="13">
        <f t="shared" si="16"/>
        <v>3.2222222222222201</v>
      </c>
    </row>
    <row r="1000" spans="2:9">
      <c r="C1000" s="20">
        <v>2.7679999999999998</v>
      </c>
      <c r="D1000" s="21">
        <v>156.30000000000001</v>
      </c>
      <c r="E1000" s="3">
        <v>89.15</v>
      </c>
      <c r="F1000" s="3">
        <v>27.47</v>
      </c>
      <c r="G1000" s="21">
        <v>657.3</v>
      </c>
      <c r="H1000" s="3">
        <v>4.8479999999999999</v>
      </c>
      <c r="I1000" s="13">
        <f t="shared" si="16"/>
        <v>3.2453585729887102</v>
      </c>
    </row>
    <row r="1001" spans="2:9">
      <c r="C1001" s="20">
        <v>2.8149999999999999</v>
      </c>
      <c r="D1001" s="21">
        <v>157.4</v>
      </c>
      <c r="E1001" s="3">
        <v>89.39</v>
      </c>
      <c r="F1001" s="3">
        <v>27.33</v>
      </c>
      <c r="G1001" s="21">
        <v>658.7</v>
      </c>
      <c r="H1001" s="3">
        <v>5.2759999999999998</v>
      </c>
      <c r="I1001" s="13">
        <f t="shared" si="16"/>
        <v>3.2707647274057798</v>
      </c>
    </row>
    <row r="1002" spans="2:9">
      <c r="B1002" s="16">
        <v>51</v>
      </c>
      <c r="C1002" s="17">
        <v>1.6970000000000001</v>
      </c>
      <c r="D1002" s="29">
        <v>236.1</v>
      </c>
      <c r="E1002" s="18">
        <v>107.2</v>
      </c>
      <c r="F1002" s="18">
        <v>40.229999999999997</v>
      </c>
      <c r="G1002" s="19">
        <v>712.2</v>
      </c>
      <c r="H1002" s="18">
        <v>5.8520000000000003</v>
      </c>
      <c r="I1002" s="13">
        <f t="shared" si="16"/>
        <v>2.6646781009197098</v>
      </c>
    </row>
    <row r="1003" spans="2:9">
      <c r="C1003" s="20">
        <v>1.6870000000000001</v>
      </c>
      <c r="D1003" s="21">
        <v>176.7</v>
      </c>
      <c r="E1003" s="3">
        <v>106.5</v>
      </c>
      <c r="F1003" s="3">
        <v>40.42</v>
      </c>
      <c r="G1003" s="21">
        <v>713.8</v>
      </c>
      <c r="H1003" s="3">
        <v>5.7309999999999999</v>
      </c>
      <c r="I1003" s="13">
        <f t="shared" si="16"/>
        <v>2.6348342404750098</v>
      </c>
    </row>
    <row r="1004" spans="2:9">
      <c r="C1004" s="20">
        <v>1.659</v>
      </c>
      <c r="D1004" s="21">
        <v>184.4</v>
      </c>
      <c r="E1004" s="3">
        <v>106.7</v>
      </c>
      <c r="F1004" s="3">
        <v>40.29</v>
      </c>
      <c r="G1004" s="21">
        <v>712</v>
      </c>
      <c r="H1004" s="3">
        <v>6.3129999999999997</v>
      </c>
      <c r="I1004" s="13">
        <f t="shared" si="16"/>
        <v>2.64829982625962</v>
      </c>
    </row>
    <row r="1005" spans="2:9">
      <c r="C1005" s="20">
        <v>1.6419999999999999</v>
      </c>
      <c r="D1005" s="21">
        <v>207</v>
      </c>
      <c r="E1005" s="3">
        <v>106.6</v>
      </c>
      <c r="F1005" s="3">
        <v>40.49</v>
      </c>
      <c r="G1005" s="21">
        <v>714</v>
      </c>
      <c r="H1005" s="3">
        <v>5.85</v>
      </c>
      <c r="I1005" s="13">
        <f t="shared" si="16"/>
        <v>2.6327488268708299</v>
      </c>
    </row>
    <row r="1006" spans="2:9">
      <c r="C1006" s="20">
        <v>1.643</v>
      </c>
      <c r="D1006" s="21">
        <v>233</v>
      </c>
      <c r="E1006" s="3">
        <v>106.8</v>
      </c>
      <c r="F1006" s="3">
        <v>40.14</v>
      </c>
      <c r="G1006" s="21">
        <v>714.6</v>
      </c>
      <c r="H1006" s="3">
        <v>5.335</v>
      </c>
      <c r="I1006" s="13">
        <f t="shared" si="16"/>
        <v>2.6606875934230199</v>
      </c>
    </row>
    <row r="1007" spans="2:9">
      <c r="C1007" s="20">
        <v>1.6240000000000001</v>
      </c>
      <c r="D1007" s="21">
        <v>206.7</v>
      </c>
      <c r="E1007" s="3">
        <v>106.9</v>
      </c>
      <c r="F1007" s="3">
        <v>40.299999999999997</v>
      </c>
      <c r="G1007" s="21">
        <v>712.7</v>
      </c>
      <c r="H1007" s="3">
        <v>4.9340000000000002</v>
      </c>
      <c r="I1007" s="13">
        <f t="shared" si="16"/>
        <v>2.65260545905707</v>
      </c>
    </row>
    <row r="1008" spans="2:9">
      <c r="C1008" s="20">
        <v>1.657</v>
      </c>
      <c r="D1008" s="21">
        <v>220.1</v>
      </c>
      <c r="E1008" s="3">
        <v>107</v>
      </c>
      <c r="F1008" s="3">
        <v>40.47</v>
      </c>
      <c r="G1008" s="21">
        <v>711.6</v>
      </c>
      <c r="H1008" s="3">
        <v>5.5419999999999998</v>
      </c>
      <c r="I1008" s="13">
        <f t="shared" si="16"/>
        <v>2.6439337781072401</v>
      </c>
    </row>
    <row r="1009" spans="2:9">
      <c r="C1009" s="20">
        <v>1.6419999999999999</v>
      </c>
      <c r="D1009" s="21">
        <v>173.5</v>
      </c>
      <c r="E1009" s="3">
        <v>107.2</v>
      </c>
      <c r="F1009" s="3">
        <v>40.56</v>
      </c>
      <c r="G1009" s="21">
        <v>709.9</v>
      </c>
      <c r="H1009" s="3">
        <v>4.9800000000000004</v>
      </c>
      <c r="I1009" s="13">
        <f t="shared" si="16"/>
        <v>2.6429980276134102</v>
      </c>
    </row>
    <row r="1010" spans="2:9">
      <c r="C1010" s="20">
        <v>1.661</v>
      </c>
      <c r="D1010" s="21">
        <v>216.7</v>
      </c>
      <c r="E1010" s="3">
        <v>107.1</v>
      </c>
      <c r="F1010" s="3">
        <v>40.22</v>
      </c>
      <c r="G1010" s="21">
        <v>708.3</v>
      </c>
      <c r="H1010" s="3">
        <v>4.5590000000000002</v>
      </c>
      <c r="I1010" s="13">
        <f t="shared" si="16"/>
        <v>2.66285430134262</v>
      </c>
    </row>
    <row r="1011" spans="2:9">
      <c r="C1011" s="20">
        <v>1.681</v>
      </c>
      <c r="D1011" s="21">
        <v>207.5</v>
      </c>
      <c r="E1011" s="3">
        <v>107</v>
      </c>
      <c r="F1011" s="3">
        <v>40.14</v>
      </c>
      <c r="G1011" s="21">
        <v>709.7</v>
      </c>
      <c r="H1011" s="3">
        <v>5.3449999999999998</v>
      </c>
      <c r="I1011" s="13">
        <f t="shared" si="16"/>
        <v>2.6656701544593902</v>
      </c>
    </row>
    <row r="1012" spans="2:9">
      <c r="C1012" s="20">
        <v>1.696</v>
      </c>
      <c r="D1012" s="21">
        <v>228.7</v>
      </c>
      <c r="E1012" s="3">
        <v>107.5</v>
      </c>
      <c r="F1012" s="3">
        <v>40.56</v>
      </c>
      <c r="G1012" s="21">
        <v>713.4</v>
      </c>
      <c r="H1012" s="3">
        <v>5.5579999999999998</v>
      </c>
      <c r="I1012" s="13">
        <f t="shared" si="16"/>
        <v>2.6503944773175498</v>
      </c>
    </row>
    <row r="1013" spans="2:9">
      <c r="C1013" s="20">
        <v>1.7010000000000001</v>
      </c>
      <c r="D1013" s="21">
        <v>198.2</v>
      </c>
      <c r="E1013" s="3">
        <v>107.2</v>
      </c>
      <c r="F1013" s="3">
        <v>40.14</v>
      </c>
      <c r="G1013" s="21">
        <v>717.5</v>
      </c>
      <c r="H1013" s="3">
        <v>5.74</v>
      </c>
      <c r="I1013" s="13">
        <f t="shared" si="16"/>
        <v>2.67065271549576</v>
      </c>
    </row>
    <row r="1014" spans="2:9">
      <c r="C1014" s="20">
        <v>1.6970000000000001</v>
      </c>
      <c r="D1014" s="21">
        <v>184.4</v>
      </c>
      <c r="E1014" s="3">
        <v>107.4</v>
      </c>
      <c r="F1014" s="3">
        <v>40.479999999999997</v>
      </c>
      <c r="G1014" s="21">
        <v>716.1</v>
      </c>
      <c r="H1014" s="3">
        <v>5.5309999999999997</v>
      </c>
      <c r="I1014" s="13">
        <f t="shared" si="16"/>
        <v>2.65316205533597</v>
      </c>
    </row>
    <row r="1015" spans="2:9">
      <c r="C1015" s="20">
        <v>1.6839999999999999</v>
      </c>
      <c r="D1015" s="21">
        <v>229.7</v>
      </c>
      <c r="E1015" s="3">
        <v>107.5</v>
      </c>
      <c r="F1015" s="3">
        <v>40.22</v>
      </c>
      <c r="G1015" s="21">
        <v>715.5</v>
      </c>
      <c r="H1015" s="3">
        <v>5.944</v>
      </c>
      <c r="I1015" s="13">
        <f t="shared" si="16"/>
        <v>2.6727996021879701</v>
      </c>
    </row>
    <row r="1016" spans="2:9">
      <c r="C1016" s="20">
        <v>1.665</v>
      </c>
      <c r="D1016" s="21">
        <v>262.2</v>
      </c>
      <c r="E1016" s="3">
        <v>106.6</v>
      </c>
      <c r="F1016" s="3">
        <v>40.31</v>
      </c>
      <c r="G1016" s="21">
        <v>712.2</v>
      </c>
      <c r="H1016" s="3">
        <v>6.2839999999999998</v>
      </c>
      <c r="I1016" s="13">
        <f t="shared" si="16"/>
        <v>2.6445050855867001</v>
      </c>
    </row>
    <row r="1017" spans="2:9">
      <c r="C1017" s="20">
        <v>1.651</v>
      </c>
      <c r="D1017" s="21">
        <v>193.6</v>
      </c>
      <c r="E1017" s="3">
        <v>106.7</v>
      </c>
      <c r="F1017" s="3">
        <v>40.35</v>
      </c>
      <c r="G1017" s="21">
        <v>707.3</v>
      </c>
      <c r="H1017" s="3">
        <v>5.774</v>
      </c>
      <c r="I1017" s="13">
        <f t="shared" si="16"/>
        <v>2.6443618339529098</v>
      </c>
    </row>
    <row r="1018" spans="2:9">
      <c r="C1018" s="20">
        <v>1.659</v>
      </c>
      <c r="D1018" s="21">
        <v>206.7</v>
      </c>
      <c r="E1018" s="3">
        <v>107</v>
      </c>
      <c r="F1018" s="3">
        <v>40.19</v>
      </c>
      <c r="G1018" s="21">
        <v>708.3</v>
      </c>
      <c r="H1018" s="3">
        <v>5.5110000000000001</v>
      </c>
      <c r="I1018" s="13">
        <f t="shared" si="16"/>
        <v>2.6623538193580498</v>
      </c>
    </row>
    <row r="1019" spans="2:9">
      <c r="C1019" s="20">
        <v>1.7010000000000001</v>
      </c>
      <c r="D1019" s="21">
        <v>174.1</v>
      </c>
      <c r="E1019" s="3">
        <v>107.1</v>
      </c>
      <c r="F1019" s="3">
        <v>40.49</v>
      </c>
      <c r="G1019" s="21">
        <v>713.4</v>
      </c>
      <c r="H1019" s="3">
        <v>5.343</v>
      </c>
      <c r="I1019" s="13">
        <f t="shared" si="16"/>
        <v>2.6450975549518398</v>
      </c>
    </row>
    <row r="1020" spans="2:9">
      <c r="C1020" s="20">
        <v>1.716</v>
      </c>
      <c r="D1020" s="21">
        <v>182.1</v>
      </c>
      <c r="E1020" s="3">
        <v>106.9</v>
      </c>
      <c r="F1020" s="3">
        <v>40.26</v>
      </c>
      <c r="G1020" s="21">
        <v>715.7</v>
      </c>
      <c r="H1020" s="3">
        <v>5.8780000000000001</v>
      </c>
      <c r="I1020" s="13">
        <f t="shared" si="16"/>
        <v>2.65524093392946</v>
      </c>
    </row>
    <row r="1021" spans="2:9">
      <c r="C1021" s="20">
        <v>1.698</v>
      </c>
      <c r="D1021" s="21">
        <v>198.2</v>
      </c>
      <c r="E1021" s="3">
        <v>107.3</v>
      </c>
      <c r="F1021" s="3">
        <v>40.06</v>
      </c>
      <c r="G1021" s="21">
        <v>712.2</v>
      </c>
      <c r="H1021" s="3">
        <v>6.07</v>
      </c>
      <c r="I1021" s="13">
        <f t="shared" si="16"/>
        <v>2.6784822765851199</v>
      </c>
    </row>
    <row r="1022" spans="2:9">
      <c r="B1022" s="16">
        <v>52</v>
      </c>
      <c r="C1022" s="17">
        <v>1.3919999999999999</v>
      </c>
      <c r="D1022" s="29">
        <v>168.55</v>
      </c>
      <c r="E1022" s="18">
        <v>80.63</v>
      </c>
      <c r="F1022" s="18">
        <v>25.09</v>
      </c>
      <c r="G1022" s="19">
        <v>678.5</v>
      </c>
      <c r="H1022" s="18">
        <v>8.2520000000000007</v>
      </c>
      <c r="I1022" s="13">
        <f t="shared" si="16"/>
        <v>3.2136309286568401</v>
      </c>
    </row>
    <row r="1023" spans="2:9">
      <c r="C1023" s="20">
        <v>1.3839999999999999</v>
      </c>
      <c r="D1023" s="21">
        <v>163.16</v>
      </c>
      <c r="E1023" s="3">
        <v>80.430000000000007</v>
      </c>
      <c r="F1023" s="3">
        <v>24.96</v>
      </c>
      <c r="G1023" s="21">
        <v>688.5</v>
      </c>
      <c r="H1023" s="3">
        <v>7.1369999999999996</v>
      </c>
      <c r="I1023" s="13">
        <f t="shared" si="16"/>
        <v>3.2223557692307701</v>
      </c>
    </row>
    <row r="1024" spans="2:9">
      <c r="C1024" s="20">
        <v>1.379</v>
      </c>
      <c r="D1024" s="21">
        <v>164.97</v>
      </c>
      <c r="E1024" s="3">
        <v>80.28</v>
      </c>
      <c r="F1024" s="3">
        <v>25.26</v>
      </c>
      <c r="G1024" s="21">
        <v>662.1</v>
      </c>
      <c r="H1024" s="3">
        <v>6.8959999999999999</v>
      </c>
      <c r="I1024" s="13">
        <f t="shared" si="16"/>
        <v>3.1781472684085501</v>
      </c>
    </row>
    <row r="1025" spans="3:9">
      <c r="C1025" s="20">
        <v>1.3720000000000001</v>
      </c>
      <c r="D1025" s="21">
        <v>168.55</v>
      </c>
      <c r="E1025" s="3">
        <v>80.760000000000005</v>
      </c>
      <c r="F1025" s="3">
        <v>25.66</v>
      </c>
      <c r="G1025" s="21">
        <v>722</v>
      </c>
      <c r="H1025" s="3">
        <v>7.2939999999999996</v>
      </c>
      <c r="I1025" s="13">
        <f t="shared" si="16"/>
        <v>3.1473109898675</v>
      </c>
    </row>
    <row r="1026" spans="3:9">
      <c r="C1026" s="20">
        <v>1.347</v>
      </c>
      <c r="D1026" s="21">
        <v>163.52000000000001</v>
      </c>
      <c r="E1026" s="3">
        <v>80.959999999999994</v>
      </c>
      <c r="F1026" s="3">
        <v>25.54</v>
      </c>
      <c r="G1026" s="21">
        <v>661.2</v>
      </c>
      <c r="H1026" s="3">
        <v>7.67</v>
      </c>
      <c r="I1026" s="13">
        <f t="shared" si="16"/>
        <v>3.16992952231793</v>
      </c>
    </row>
    <row r="1027" spans="3:9">
      <c r="C1027" s="20">
        <v>1.367</v>
      </c>
      <c r="D1027" s="21">
        <v>169.16</v>
      </c>
      <c r="E1027" s="3">
        <v>80.36</v>
      </c>
      <c r="F1027" s="3">
        <v>25.32</v>
      </c>
      <c r="G1027" s="21">
        <v>728.5</v>
      </c>
      <c r="H1027" s="3">
        <v>8.7349999999999994</v>
      </c>
      <c r="I1027" s="13">
        <f t="shared" ref="I1027:I1090" si="17">E1027/F1027</f>
        <v>3.1737756714060001</v>
      </c>
    </row>
    <row r="1028" spans="3:9">
      <c r="C1028" s="20">
        <v>1.34</v>
      </c>
      <c r="D1028" s="21">
        <v>187.28</v>
      </c>
      <c r="E1028" s="3">
        <v>80.650000000000006</v>
      </c>
      <c r="F1028" s="3">
        <v>25.25</v>
      </c>
      <c r="G1028" s="21">
        <v>728.4</v>
      </c>
      <c r="H1028" s="3">
        <v>8.8070000000000004</v>
      </c>
      <c r="I1028" s="13">
        <f t="shared" si="17"/>
        <v>3.1940594059405898</v>
      </c>
    </row>
    <row r="1029" spans="3:9">
      <c r="C1029" s="20">
        <v>1.3240000000000001</v>
      </c>
      <c r="D1029" s="21">
        <v>189.7</v>
      </c>
      <c r="E1029" s="3">
        <v>80.95</v>
      </c>
      <c r="F1029" s="3">
        <v>25.3</v>
      </c>
      <c r="G1029" s="3">
        <v>729.7</v>
      </c>
      <c r="H1029" s="3">
        <v>7.1479999999999997</v>
      </c>
      <c r="I1029" s="13">
        <f t="shared" si="17"/>
        <v>3.1996047430829999</v>
      </c>
    </row>
    <row r="1030" spans="3:9">
      <c r="C1030" s="20">
        <v>1.333</v>
      </c>
      <c r="D1030" s="21">
        <v>170.04</v>
      </c>
      <c r="E1030" s="3">
        <v>80.239999999999995</v>
      </c>
      <c r="F1030" s="3">
        <v>25.3</v>
      </c>
      <c r="G1030" s="3">
        <v>720.7</v>
      </c>
      <c r="H1030" s="3">
        <v>7.2919999999999998</v>
      </c>
      <c r="I1030" s="13">
        <f t="shared" si="17"/>
        <v>3.17154150197628</v>
      </c>
    </row>
    <row r="1031" spans="3:9">
      <c r="C1031" s="20">
        <v>1.357</v>
      </c>
      <c r="D1031" s="21">
        <v>175.71</v>
      </c>
      <c r="E1031" s="3">
        <v>80.59</v>
      </c>
      <c r="F1031" s="3">
        <v>25.25</v>
      </c>
      <c r="G1031" s="21">
        <v>695.2</v>
      </c>
      <c r="H1031" s="3">
        <v>8.0510000000000002</v>
      </c>
      <c r="I1031" s="13">
        <f t="shared" si="17"/>
        <v>3.1916831683168301</v>
      </c>
    </row>
    <row r="1032" spans="3:9">
      <c r="C1032" s="20">
        <v>1.39</v>
      </c>
      <c r="D1032" s="21">
        <v>185.97</v>
      </c>
      <c r="E1032" s="3">
        <v>80.83</v>
      </c>
      <c r="F1032" s="3">
        <v>25.42</v>
      </c>
      <c r="G1032" s="21">
        <v>767.5</v>
      </c>
      <c r="H1032" s="3">
        <v>7.1429999999999998</v>
      </c>
      <c r="I1032" s="13">
        <f t="shared" si="17"/>
        <v>3.1797797010228201</v>
      </c>
    </row>
    <row r="1033" spans="3:9">
      <c r="C1033" s="20">
        <v>1.3480000000000001</v>
      </c>
      <c r="D1033" s="21">
        <v>164.97</v>
      </c>
      <c r="E1033" s="3">
        <v>80.569999999999993</v>
      </c>
      <c r="F1033" s="3">
        <v>25.61</v>
      </c>
      <c r="G1033" s="21">
        <v>745.2</v>
      </c>
      <c r="H1033" s="3">
        <v>8.6349999999999998</v>
      </c>
      <c r="I1033" s="13">
        <f t="shared" si="17"/>
        <v>3.1460367044123401</v>
      </c>
    </row>
    <row r="1034" spans="3:9">
      <c r="C1034" s="20">
        <v>1.36</v>
      </c>
      <c r="D1034" s="21">
        <v>199.2</v>
      </c>
      <c r="E1034" s="3">
        <v>80.77</v>
      </c>
      <c r="F1034" s="3">
        <v>26.02</v>
      </c>
      <c r="G1034" s="21">
        <v>729.7</v>
      </c>
      <c r="H1034" s="3">
        <v>9.3030000000000008</v>
      </c>
      <c r="I1034" s="13">
        <f t="shared" si="17"/>
        <v>3.1041506533435799</v>
      </c>
    </row>
    <row r="1035" spans="3:9">
      <c r="C1035" s="20">
        <v>1.341</v>
      </c>
      <c r="D1035" s="21">
        <v>199</v>
      </c>
      <c r="E1035" s="3">
        <v>80.2</v>
      </c>
      <c r="F1035" s="3">
        <v>25.45</v>
      </c>
      <c r="G1035" s="21">
        <v>767.5</v>
      </c>
      <c r="H1035" s="3">
        <v>9.0719999999999992</v>
      </c>
      <c r="I1035" s="13">
        <f t="shared" si="17"/>
        <v>3.1512770137524599</v>
      </c>
    </row>
    <row r="1036" spans="3:9">
      <c r="C1036" s="20">
        <v>1.3440000000000001</v>
      </c>
      <c r="D1036" s="21">
        <v>182.16</v>
      </c>
      <c r="E1036" s="3">
        <v>80.989999999999995</v>
      </c>
      <c r="F1036" s="3">
        <v>25.43</v>
      </c>
      <c r="G1036" s="21">
        <v>693.2</v>
      </c>
      <c r="H1036" s="3">
        <v>7.9160000000000004</v>
      </c>
      <c r="I1036" s="13">
        <f t="shared" si="17"/>
        <v>3.1848210774675598</v>
      </c>
    </row>
    <row r="1037" spans="3:9">
      <c r="C1037" s="20">
        <v>1.355</v>
      </c>
      <c r="D1037" s="21">
        <v>168.55</v>
      </c>
      <c r="E1037" s="3">
        <v>81</v>
      </c>
      <c r="F1037" s="3">
        <v>25.61</v>
      </c>
      <c r="G1037" s="21">
        <v>693.4</v>
      </c>
      <c r="H1037" s="3">
        <v>8.1750000000000007</v>
      </c>
      <c r="I1037" s="13">
        <f t="shared" si="17"/>
        <v>3.16282702069504</v>
      </c>
    </row>
    <row r="1038" spans="3:9">
      <c r="C1038" s="20">
        <v>1.391</v>
      </c>
      <c r="D1038" s="21">
        <v>170.04</v>
      </c>
      <c r="E1038" s="3">
        <v>80.41</v>
      </c>
      <c r="F1038" s="3">
        <v>25.81</v>
      </c>
      <c r="G1038" s="21">
        <v>728.4</v>
      </c>
      <c r="H1038" s="3">
        <v>8.7349999999999994</v>
      </c>
      <c r="I1038" s="13">
        <f t="shared" si="17"/>
        <v>3.1154591243704002</v>
      </c>
    </row>
    <row r="1039" spans="3:9">
      <c r="C1039" s="20">
        <v>1.3779999999999999</v>
      </c>
      <c r="D1039" s="21">
        <v>155.19</v>
      </c>
      <c r="E1039" s="3">
        <v>80.63</v>
      </c>
      <c r="F1039" s="3">
        <v>26.01</v>
      </c>
      <c r="G1039" s="21">
        <v>768.3</v>
      </c>
      <c r="H1039" s="3">
        <v>9.3859999999999992</v>
      </c>
      <c r="I1039" s="13">
        <f t="shared" si="17"/>
        <v>3.0999615532487499</v>
      </c>
    </row>
    <row r="1040" spans="3:9">
      <c r="C1040" s="20">
        <v>1.3839999999999999</v>
      </c>
      <c r="D1040" s="21">
        <v>157.01</v>
      </c>
      <c r="E1040" s="3">
        <v>80.239999999999995</v>
      </c>
      <c r="F1040" s="3">
        <v>25.21</v>
      </c>
      <c r="G1040" s="21">
        <v>767.6</v>
      </c>
      <c r="H1040" s="3">
        <v>9.4280000000000008</v>
      </c>
      <c r="I1040" s="13">
        <f t="shared" si="17"/>
        <v>3.18286394287981</v>
      </c>
    </row>
    <row r="1041" spans="2:9">
      <c r="C1041" s="20">
        <v>1.3919999999999999</v>
      </c>
      <c r="D1041" s="21">
        <v>169.16</v>
      </c>
      <c r="E1041" s="3">
        <v>80.36</v>
      </c>
      <c r="F1041" s="3">
        <v>25.42</v>
      </c>
      <c r="G1041" s="21">
        <v>730.3</v>
      </c>
      <c r="H1041" s="3">
        <v>9.3979999999999997</v>
      </c>
      <c r="I1041" s="13">
        <f t="shared" si="17"/>
        <v>3.1612903225806401</v>
      </c>
    </row>
    <row r="1042" spans="2:9">
      <c r="B1042" s="16">
        <v>53</v>
      </c>
      <c r="C1042" s="16">
        <v>1.9910000000000001</v>
      </c>
      <c r="D1042" s="29">
        <v>262.2</v>
      </c>
      <c r="E1042" s="16">
        <v>88.54</v>
      </c>
      <c r="F1042" s="16">
        <v>24.71</v>
      </c>
      <c r="G1042" s="16">
        <v>618.5</v>
      </c>
      <c r="H1042" s="16">
        <v>5.3650000000000002</v>
      </c>
      <c r="I1042" s="13">
        <f t="shared" si="17"/>
        <v>3.5831647106434601</v>
      </c>
    </row>
    <row r="1043" spans="2:9">
      <c r="C1043" s="3">
        <v>2.012</v>
      </c>
      <c r="D1043" s="21">
        <v>265.10000000000002</v>
      </c>
      <c r="E1043" s="3">
        <v>88.38</v>
      </c>
      <c r="F1043" s="3">
        <v>25.13</v>
      </c>
      <c r="G1043" s="3">
        <v>619.20000000000005</v>
      </c>
      <c r="H1043" s="3">
        <v>5.0839999999999996</v>
      </c>
      <c r="I1043" s="13">
        <f t="shared" si="17"/>
        <v>3.5169120573020298</v>
      </c>
    </row>
    <row r="1044" spans="2:9">
      <c r="C1044" s="3">
        <v>2.036</v>
      </c>
      <c r="D1044" s="21">
        <v>286.5</v>
      </c>
      <c r="E1044" s="3">
        <v>88.25</v>
      </c>
      <c r="F1044" s="3">
        <v>24.81</v>
      </c>
      <c r="G1044" s="3">
        <v>623.5</v>
      </c>
      <c r="H1044" s="3">
        <v>5.0990000000000002</v>
      </c>
      <c r="I1044" s="13">
        <f t="shared" si="17"/>
        <v>3.5570334542523199</v>
      </c>
    </row>
    <row r="1045" spans="2:9">
      <c r="C1045" s="3">
        <v>2.0310000000000001</v>
      </c>
      <c r="D1045" s="21">
        <v>294.3</v>
      </c>
      <c r="E1045" s="3">
        <v>88.28</v>
      </c>
      <c r="F1045" s="3">
        <v>25</v>
      </c>
      <c r="G1045" s="3">
        <v>626.6</v>
      </c>
      <c r="H1045" s="3">
        <v>4.9930000000000003</v>
      </c>
      <c r="I1045" s="13">
        <f t="shared" si="17"/>
        <v>3.5312000000000001</v>
      </c>
    </row>
    <row r="1046" spans="2:9">
      <c r="C1046" s="3">
        <v>2.077</v>
      </c>
      <c r="D1046" s="21">
        <v>272.60000000000002</v>
      </c>
      <c r="E1046" s="3">
        <v>88.36</v>
      </c>
      <c r="F1046" s="3">
        <v>24.82</v>
      </c>
      <c r="G1046" s="3">
        <v>621.1</v>
      </c>
      <c r="H1046" s="3">
        <v>5.3140000000000001</v>
      </c>
      <c r="I1046" s="13">
        <f t="shared" si="17"/>
        <v>3.5600322320709101</v>
      </c>
    </row>
    <row r="1047" spans="2:9">
      <c r="C1047" s="3">
        <v>2.0739999999999998</v>
      </c>
      <c r="D1047" s="21">
        <v>265.10000000000002</v>
      </c>
      <c r="E1047" s="3">
        <v>88.21</v>
      </c>
      <c r="F1047" s="3">
        <v>25.39</v>
      </c>
      <c r="G1047" s="3">
        <v>623</v>
      </c>
      <c r="H1047" s="3">
        <v>5.298</v>
      </c>
      <c r="I1047" s="13">
        <f t="shared" si="17"/>
        <v>3.47420244190626</v>
      </c>
    </row>
    <row r="1048" spans="2:9">
      <c r="C1048" s="3">
        <v>2.056</v>
      </c>
      <c r="D1048" s="21">
        <v>262.2</v>
      </c>
      <c r="E1048" s="3">
        <v>88.33</v>
      </c>
      <c r="F1048" s="3">
        <v>25.7</v>
      </c>
      <c r="G1048" s="3">
        <v>626.6</v>
      </c>
      <c r="H1048" s="3">
        <v>5.2460000000000004</v>
      </c>
      <c r="I1048" s="13">
        <f t="shared" si="17"/>
        <v>3.43696498054475</v>
      </c>
    </row>
    <row r="1049" spans="2:9">
      <c r="C1049" s="3">
        <v>2.0179999999999998</v>
      </c>
      <c r="D1049" s="21">
        <v>271.89999999999998</v>
      </c>
      <c r="E1049" s="3">
        <v>88.85</v>
      </c>
      <c r="F1049" s="3">
        <v>25.03</v>
      </c>
      <c r="G1049" s="3">
        <v>625</v>
      </c>
      <c r="H1049" s="3">
        <v>5.335</v>
      </c>
      <c r="I1049" s="13">
        <f t="shared" si="17"/>
        <v>3.5497403116260502</v>
      </c>
    </row>
    <row r="1050" spans="2:9">
      <c r="C1050" s="3">
        <v>2.0430000000000001</v>
      </c>
      <c r="D1050" s="21">
        <v>291.3</v>
      </c>
      <c r="E1050" s="3">
        <v>88.01</v>
      </c>
      <c r="F1050" s="3">
        <v>25.44</v>
      </c>
      <c r="G1050" s="3">
        <v>623.79999999999995</v>
      </c>
      <c r="H1050" s="3">
        <v>5.2519999999999998</v>
      </c>
      <c r="I1050" s="13">
        <f t="shared" si="17"/>
        <v>3.4595125786163501</v>
      </c>
    </row>
    <row r="1051" spans="2:9">
      <c r="C1051" s="3">
        <v>2.0190000000000001</v>
      </c>
      <c r="D1051" s="21">
        <v>275.60000000000002</v>
      </c>
      <c r="E1051" s="3">
        <v>88.36</v>
      </c>
      <c r="F1051" s="3">
        <v>25.6</v>
      </c>
      <c r="G1051" s="3">
        <v>618.5</v>
      </c>
      <c r="H1051" s="3">
        <v>5.3650000000000002</v>
      </c>
      <c r="I1051" s="13">
        <f t="shared" si="17"/>
        <v>3.4515625000000001</v>
      </c>
    </row>
    <row r="1052" spans="2:9">
      <c r="C1052" s="3">
        <v>2.036</v>
      </c>
      <c r="D1052" s="21">
        <v>272.39999999999998</v>
      </c>
      <c r="E1052" s="3">
        <v>88.66</v>
      </c>
      <c r="F1052" s="3">
        <v>25.52</v>
      </c>
      <c r="G1052" s="3">
        <v>619.70000000000005</v>
      </c>
      <c r="H1052" s="3">
        <v>5.33</v>
      </c>
      <c r="I1052" s="13">
        <f t="shared" si="17"/>
        <v>3.47413793103448</v>
      </c>
    </row>
    <row r="1053" spans="2:9">
      <c r="C1053" s="3">
        <v>1.994</v>
      </c>
      <c r="D1053" s="21">
        <v>272.60000000000002</v>
      </c>
      <c r="E1053" s="3">
        <v>88.51</v>
      </c>
      <c r="F1053" s="3">
        <v>25.11</v>
      </c>
      <c r="G1053" s="3">
        <v>613.9</v>
      </c>
      <c r="H1053" s="3">
        <v>5.1479999999999997</v>
      </c>
      <c r="I1053" s="13">
        <f t="shared" si="17"/>
        <v>3.52489048187973</v>
      </c>
    </row>
    <row r="1054" spans="2:9">
      <c r="C1054" s="3">
        <v>1.861</v>
      </c>
      <c r="D1054" s="21">
        <v>275.8</v>
      </c>
      <c r="E1054" s="3">
        <v>88.69</v>
      </c>
      <c r="F1054" s="3">
        <v>25.27</v>
      </c>
      <c r="G1054" s="3">
        <v>619.29999999999995</v>
      </c>
      <c r="H1054" s="3">
        <v>5.173</v>
      </c>
      <c r="I1054" s="13">
        <f t="shared" si="17"/>
        <v>3.5096952908587302</v>
      </c>
    </row>
    <row r="1055" spans="2:9">
      <c r="C1055" s="3">
        <v>1.895</v>
      </c>
      <c r="D1055" s="21">
        <v>265.10000000000002</v>
      </c>
      <c r="E1055" s="3">
        <v>88.27</v>
      </c>
      <c r="F1055" s="3">
        <v>24.68</v>
      </c>
      <c r="G1055" s="3">
        <v>620.79999999999995</v>
      </c>
      <c r="H1055" s="3">
        <v>5.157</v>
      </c>
      <c r="I1055" s="13">
        <f t="shared" si="17"/>
        <v>3.57658022690438</v>
      </c>
    </row>
    <row r="1056" spans="2:9">
      <c r="C1056" s="3">
        <v>1.92</v>
      </c>
      <c r="D1056" s="21">
        <v>262.2</v>
      </c>
      <c r="E1056" s="3">
        <v>88.69</v>
      </c>
      <c r="F1056" s="3">
        <v>25.69</v>
      </c>
      <c r="G1056" s="3">
        <v>620.29999999999995</v>
      </c>
      <c r="H1056" s="3">
        <v>5.0590000000000002</v>
      </c>
      <c r="I1056" s="13">
        <f t="shared" si="17"/>
        <v>3.4523160762942799</v>
      </c>
    </row>
    <row r="1057" spans="2:9">
      <c r="C1057" s="3">
        <v>2.0590000000000002</v>
      </c>
      <c r="D1057" s="21">
        <v>269.89999999999998</v>
      </c>
      <c r="E1057" s="3">
        <v>88.62</v>
      </c>
      <c r="F1057" s="3">
        <v>25.28</v>
      </c>
      <c r="G1057" s="3">
        <v>621.29999999999995</v>
      </c>
      <c r="H1057" s="3">
        <v>5.0270000000000001</v>
      </c>
      <c r="I1057" s="13">
        <f t="shared" si="17"/>
        <v>3.50553797468354</v>
      </c>
    </row>
    <row r="1058" spans="2:9">
      <c r="C1058" s="3">
        <v>2.0760000000000001</v>
      </c>
      <c r="D1058" s="21">
        <v>275.60000000000002</v>
      </c>
      <c r="E1058" s="3">
        <v>88.55</v>
      </c>
      <c r="F1058" s="3">
        <v>25.54</v>
      </c>
      <c r="G1058" s="3">
        <v>620.4</v>
      </c>
      <c r="H1058" s="3">
        <v>5.1059999999999999</v>
      </c>
      <c r="I1058" s="13">
        <f t="shared" si="17"/>
        <v>3.4671104150352399</v>
      </c>
    </row>
    <row r="1059" spans="2:9">
      <c r="C1059" s="3">
        <v>2.0819999999999999</v>
      </c>
      <c r="D1059" s="21">
        <v>303.2</v>
      </c>
      <c r="E1059" s="3">
        <v>88.06</v>
      </c>
      <c r="F1059" s="3">
        <v>25.52</v>
      </c>
      <c r="G1059" s="3">
        <v>619</v>
      </c>
      <c r="H1059" s="3">
        <v>5.1180000000000003</v>
      </c>
      <c r="I1059" s="13">
        <f t="shared" si="17"/>
        <v>3.4506269592476499</v>
      </c>
    </row>
    <row r="1060" spans="2:9">
      <c r="C1060" s="3">
        <v>2.069</v>
      </c>
      <c r="D1060" s="21">
        <v>298.39999999999998</v>
      </c>
      <c r="E1060" s="3">
        <v>88.67</v>
      </c>
      <c r="F1060" s="3">
        <v>25.44</v>
      </c>
      <c r="G1060" s="3">
        <v>619.70000000000005</v>
      </c>
      <c r="H1060" s="3">
        <v>5.0259999999999998</v>
      </c>
      <c r="I1060" s="13">
        <f t="shared" si="17"/>
        <v>3.48545597484277</v>
      </c>
    </row>
    <row r="1061" spans="2:9">
      <c r="C1061" s="3">
        <v>2.0819999999999999</v>
      </c>
      <c r="D1061" s="21">
        <v>284</v>
      </c>
      <c r="E1061" s="3">
        <v>88.59</v>
      </c>
      <c r="F1061" s="3">
        <v>25.6</v>
      </c>
      <c r="G1061" s="3">
        <v>618.5</v>
      </c>
      <c r="H1061" s="3">
        <v>5.093</v>
      </c>
      <c r="I1061" s="13">
        <f t="shared" si="17"/>
        <v>3.4605468749999999</v>
      </c>
    </row>
    <row r="1062" spans="2:9">
      <c r="B1062" s="16">
        <v>54</v>
      </c>
      <c r="C1062" s="16">
        <v>2.1850000000000001</v>
      </c>
      <c r="D1062" s="29">
        <v>152</v>
      </c>
      <c r="E1062" s="16">
        <v>87.67</v>
      </c>
      <c r="F1062" s="16">
        <v>41.6</v>
      </c>
      <c r="G1062" s="16">
        <v>644.20000000000005</v>
      </c>
      <c r="H1062" s="16">
        <v>7.508</v>
      </c>
      <c r="I1062" s="13">
        <f t="shared" si="17"/>
        <v>2.10745192307692</v>
      </c>
    </row>
    <row r="1063" spans="2:9">
      <c r="C1063" s="3">
        <v>2.1829999999999998</v>
      </c>
      <c r="D1063" s="21">
        <v>157.4</v>
      </c>
      <c r="E1063" s="3">
        <v>87.63</v>
      </c>
      <c r="F1063" s="3">
        <v>41.3</v>
      </c>
      <c r="G1063" s="3">
        <v>641.5</v>
      </c>
      <c r="H1063" s="3">
        <v>7.7869999999999999</v>
      </c>
      <c r="I1063" s="13">
        <f t="shared" si="17"/>
        <v>2.12179176755448</v>
      </c>
    </row>
    <row r="1064" spans="2:9">
      <c r="C1064" s="3">
        <v>2.1819999999999999</v>
      </c>
      <c r="D1064" s="21">
        <v>179.3</v>
      </c>
      <c r="E1064" s="3">
        <v>87.25</v>
      </c>
      <c r="F1064" s="3">
        <v>41.41</v>
      </c>
      <c r="G1064" s="3">
        <v>646.79999999999995</v>
      </c>
      <c r="H1064" s="3">
        <v>7.4470000000000001</v>
      </c>
      <c r="I1064" s="13">
        <f t="shared" si="17"/>
        <v>2.10697899058199</v>
      </c>
    </row>
    <row r="1065" spans="2:9">
      <c r="C1065" s="3">
        <v>2.1259999999999999</v>
      </c>
      <c r="D1065" s="21">
        <v>158.4</v>
      </c>
      <c r="E1065" s="3">
        <v>87.06</v>
      </c>
      <c r="F1065" s="3">
        <v>41.19</v>
      </c>
      <c r="G1065" s="3">
        <v>646.29999999999995</v>
      </c>
      <c r="H1065" s="3">
        <v>7.14</v>
      </c>
      <c r="I1065" s="13">
        <f t="shared" si="17"/>
        <v>2.1136198106336499</v>
      </c>
    </row>
    <row r="1066" spans="2:9">
      <c r="C1066" s="3">
        <v>2.1</v>
      </c>
      <c r="D1066" s="21">
        <v>152</v>
      </c>
      <c r="E1066" s="3">
        <v>87.65</v>
      </c>
      <c r="F1066" s="3">
        <v>40.81</v>
      </c>
      <c r="G1066" s="3">
        <v>643.29999999999995</v>
      </c>
      <c r="H1066" s="3">
        <v>7.1539999999999999</v>
      </c>
      <c r="I1066" s="13">
        <f t="shared" si="17"/>
        <v>2.1477579024748801</v>
      </c>
    </row>
    <row r="1067" spans="2:9">
      <c r="C1067" s="3">
        <v>2.169</v>
      </c>
      <c r="D1067" s="21">
        <v>186.3</v>
      </c>
      <c r="E1067" s="3">
        <v>87.99</v>
      </c>
      <c r="F1067" s="3">
        <v>41</v>
      </c>
      <c r="G1067" s="3">
        <v>644.20000000000005</v>
      </c>
      <c r="H1067" s="3">
        <v>7.931</v>
      </c>
      <c r="I1067" s="13">
        <f t="shared" si="17"/>
        <v>2.1460975609756101</v>
      </c>
    </row>
    <row r="1068" spans="2:9">
      <c r="C1068" s="3">
        <v>2.1869999999999998</v>
      </c>
      <c r="D1068" s="21">
        <v>189.8</v>
      </c>
      <c r="E1068" s="3">
        <v>87.53</v>
      </c>
      <c r="F1068" s="3">
        <v>40.89</v>
      </c>
      <c r="G1068" s="3">
        <v>641.20000000000005</v>
      </c>
      <c r="H1068" s="3">
        <v>7.9139999999999997</v>
      </c>
      <c r="I1068" s="13">
        <f t="shared" si="17"/>
        <v>2.1406211787723199</v>
      </c>
    </row>
    <row r="1069" spans="2:9">
      <c r="C1069" s="3">
        <v>2.1709999999999998</v>
      </c>
      <c r="D1069" s="21">
        <v>189.8</v>
      </c>
      <c r="E1069" s="3">
        <v>87.38</v>
      </c>
      <c r="F1069" s="3">
        <v>40.409999999999997</v>
      </c>
      <c r="G1069" s="3">
        <v>640.6</v>
      </c>
      <c r="H1069" s="3">
        <v>7.5570000000000004</v>
      </c>
      <c r="I1069" s="13">
        <f t="shared" si="17"/>
        <v>2.1623360554318198</v>
      </c>
    </row>
    <row r="1070" spans="2:9">
      <c r="C1070" s="3">
        <v>2.1509999999999998</v>
      </c>
      <c r="D1070" s="21">
        <v>167.5</v>
      </c>
      <c r="E1070" s="3">
        <v>87.06</v>
      </c>
      <c r="F1070" s="3">
        <v>41.21</v>
      </c>
      <c r="G1070" s="3">
        <v>648.9</v>
      </c>
      <c r="H1070" s="3">
        <v>7.306</v>
      </c>
      <c r="I1070" s="13">
        <f t="shared" si="17"/>
        <v>2.1125940305750999</v>
      </c>
    </row>
    <row r="1071" spans="2:9">
      <c r="C1071" s="3">
        <v>2.1459999999999999</v>
      </c>
      <c r="D1071" s="21">
        <v>171.6</v>
      </c>
      <c r="E1071" s="3">
        <v>87.114000000000004</v>
      </c>
      <c r="F1071" s="3">
        <v>40.840000000000003</v>
      </c>
      <c r="G1071" s="3">
        <v>649.9</v>
      </c>
      <c r="H1071" s="3">
        <v>8.0980000000000008</v>
      </c>
      <c r="I1071" s="13">
        <f t="shared" si="17"/>
        <v>2.1330558276199798</v>
      </c>
    </row>
    <row r="1072" spans="2:9">
      <c r="C1072" s="3">
        <v>2.1549999999999998</v>
      </c>
      <c r="D1072" s="21">
        <v>175.9</v>
      </c>
      <c r="E1072" s="3">
        <v>87.33</v>
      </c>
      <c r="F1072" s="3">
        <v>40.81</v>
      </c>
      <c r="G1072" s="3">
        <v>650.1</v>
      </c>
      <c r="H1072" s="3">
        <v>7.4320000000000004</v>
      </c>
      <c r="I1072" s="13">
        <f t="shared" si="17"/>
        <v>2.1399166870865001</v>
      </c>
    </row>
    <row r="1073" spans="2:9">
      <c r="C1073" s="3">
        <v>2.1579999999999999</v>
      </c>
      <c r="D1073" s="21">
        <v>176.3</v>
      </c>
      <c r="E1073" s="3">
        <v>87.88</v>
      </c>
      <c r="F1073" s="3">
        <v>41.37</v>
      </c>
      <c r="G1073" s="3">
        <v>645.79999999999995</v>
      </c>
      <c r="H1073" s="3">
        <v>7.1109999999999998</v>
      </c>
      <c r="I1073" s="13">
        <f t="shared" si="17"/>
        <v>2.1242446217065498</v>
      </c>
    </row>
    <row r="1074" spans="2:9">
      <c r="C1074" s="3">
        <v>2.1779999999999999</v>
      </c>
      <c r="D1074" s="21">
        <v>172.8</v>
      </c>
      <c r="E1074" s="3">
        <v>87.54</v>
      </c>
      <c r="F1074" s="3">
        <v>40.549999999999997</v>
      </c>
      <c r="G1074" s="3">
        <v>644.5</v>
      </c>
      <c r="H1074" s="3">
        <v>7.577</v>
      </c>
      <c r="I1074" s="13">
        <f t="shared" si="17"/>
        <v>2.1588162762022201</v>
      </c>
    </row>
    <row r="1075" spans="2:9">
      <c r="C1075" s="3">
        <v>2.1850000000000001</v>
      </c>
      <c r="D1075" s="21">
        <v>160.30000000000001</v>
      </c>
      <c r="E1075" s="3">
        <v>87.47</v>
      </c>
      <c r="F1075" s="3">
        <v>41</v>
      </c>
      <c r="G1075" s="3">
        <v>645.79999999999995</v>
      </c>
      <c r="H1075" s="3">
        <v>7.9409999999999998</v>
      </c>
      <c r="I1075" s="13">
        <f t="shared" si="17"/>
        <v>2.13341463414634</v>
      </c>
    </row>
    <row r="1076" spans="2:9">
      <c r="C1076" s="3">
        <v>2.1930000000000001</v>
      </c>
      <c r="D1076" s="21">
        <v>161.19999999999999</v>
      </c>
      <c r="E1076" s="3">
        <v>87.39</v>
      </c>
      <c r="F1076" s="3">
        <v>41.11</v>
      </c>
      <c r="G1076" s="3">
        <v>651.9</v>
      </c>
      <c r="H1076" s="3">
        <v>8.4260000000000002</v>
      </c>
      <c r="I1076" s="13">
        <f t="shared" si="17"/>
        <v>2.1257601556798802</v>
      </c>
    </row>
    <row r="1077" spans="2:9">
      <c r="C1077" s="3">
        <v>2.1890000000000001</v>
      </c>
      <c r="D1077" s="21">
        <v>156.13</v>
      </c>
      <c r="E1077" s="3">
        <v>87.01</v>
      </c>
      <c r="F1077" s="3">
        <v>41.33</v>
      </c>
      <c r="G1077" s="3">
        <v>657.3</v>
      </c>
      <c r="H1077" s="3">
        <v>8.8059999999999992</v>
      </c>
      <c r="I1077" s="13">
        <f t="shared" si="17"/>
        <v>2.1052504234212401</v>
      </c>
    </row>
    <row r="1078" spans="2:9">
      <c r="C1078" s="3">
        <v>2.1850000000000001</v>
      </c>
      <c r="D1078" s="21">
        <v>166.9</v>
      </c>
      <c r="E1078" s="3">
        <v>87.53</v>
      </c>
      <c r="F1078" s="3">
        <v>40.549999999999997</v>
      </c>
      <c r="G1078" s="3">
        <v>657.7</v>
      </c>
      <c r="H1078" s="3">
        <v>7.931</v>
      </c>
      <c r="I1078" s="13">
        <f t="shared" si="17"/>
        <v>2.1585696670776802</v>
      </c>
    </row>
    <row r="1079" spans="2:9">
      <c r="C1079" s="3">
        <v>2.1589999999999998</v>
      </c>
      <c r="D1079" s="21">
        <v>209</v>
      </c>
      <c r="E1079" s="3">
        <v>87.61</v>
      </c>
      <c r="F1079" s="3">
        <v>40.49</v>
      </c>
      <c r="G1079" s="3">
        <v>641.20000000000005</v>
      </c>
      <c r="H1079" s="3">
        <v>8.5340000000000007</v>
      </c>
      <c r="I1079" s="13">
        <f t="shared" si="17"/>
        <v>2.1637441343541601</v>
      </c>
    </row>
    <row r="1080" spans="2:9">
      <c r="C1080" s="3">
        <v>2.1709999999999998</v>
      </c>
      <c r="D1080" s="21">
        <v>189.8</v>
      </c>
      <c r="E1080" s="3">
        <v>87.63</v>
      </c>
      <c r="F1080" s="3">
        <v>40.78</v>
      </c>
      <c r="G1080" s="3">
        <v>642.5</v>
      </c>
      <c r="H1080" s="3">
        <v>7.2640000000000002</v>
      </c>
      <c r="I1080" s="13">
        <f t="shared" si="17"/>
        <v>2.1488474742520798</v>
      </c>
    </row>
    <row r="1081" spans="2:9">
      <c r="C1081" s="3">
        <v>2.1819999999999999</v>
      </c>
      <c r="D1081" s="21">
        <v>193.9</v>
      </c>
      <c r="E1081" s="3">
        <v>87.77</v>
      </c>
      <c r="F1081" s="3">
        <v>41.1</v>
      </c>
      <c r="G1081" s="3">
        <v>644.5</v>
      </c>
      <c r="H1081" s="3">
        <v>7.2389999999999999</v>
      </c>
      <c r="I1081" s="13">
        <f t="shared" si="17"/>
        <v>2.1355231143552298</v>
      </c>
    </row>
    <row r="1082" spans="2:9">
      <c r="B1082" s="16">
        <v>55</v>
      </c>
      <c r="C1082" s="16">
        <v>2.3889999999999998</v>
      </c>
      <c r="D1082" s="29">
        <v>191.9</v>
      </c>
      <c r="E1082" s="16">
        <v>93.62</v>
      </c>
      <c r="F1082" s="16">
        <v>54</v>
      </c>
      <c r="G1082" s="16">
        <v>722.1</v>
      </c>
      <c r="H1082" s="16">
        <v>6.3929999999999998</v>
      </c>
      <c r="I1082" s="13">
        <f t="shared" si="17"/>
        <v>1.7337037037037</v>
      </c>
    </row>
    <row r="1083" spans="2:9">
      <c r="C1083" s="3">
        <v>2.2349999999999999</v>
      </c>
      <c r="D1083" s="21">
        <v>191.98</v>
      </c>
      <c r="E1083" s="3">
        <v>93.92</v>
      </c>
      <c r="F1083" s="3">
        <v>53.85</v>
      </c>
      <c r="G1083" s="3">
        <v>713.1</v>
      </c>
      <c r="H1083" s="3">
        <v>6.8730000000000002</v>
      </c>
      <c r="I1083" s="13">
        <f t="shared" si="17"/>
        <v>1.7441039925719599</v>
      </c>
    </row>
    <row r="1084" spans="2:9">
      <c r="C1084" s="3">
        <v>2.3290000000000002</v>
      </c>
      <c r="D1084" s="21">
        <v>213.6</v>
      </c>
      <c r="E1084" s="3">
        <v>94.23</v>
      </c>
      <c r="F1084" s="3">
        <v>53.75</v>
      </c>
      <c r="G1084" s="3">
        <v>722.2</v>
      </c>
      <c r="H1084" s="3">
        <v>7.0129999999999999</v>
      </c>
      <c r="I1084" s="13">
        <f t="shared" si="17"/>
        <v>1.7531162790697701</v>
      </c>
    </row>
    <row r="1085" spans="2:9">
      <c r="C1085" s="3">
        <v>2.3170000000000002</v>
      </c>
      <c r="D1085" s="21">
        <v>182.41</v>
      </c>
      <c r="E1085" s="3">
        <v>93.77</v>
      </c>
      <c r="F1085" s="3">
        <v>53.61</v>
      </c>
      <c r="G1085" s="3">
        <v>721.5</v>
      </c>
      <c r="H1085" s="3">
        <v>6.6319999999999997</v>
      </c>
      <c r="I1085" s="13">
        <f t="shared" si="17"/>
        <v>1.74911397127402</v>
      </c>
    </row>
    <row r="1086" spans="2:9">
      <c r="C1086" s="3">
        <v>2.3809999999999998</v>
      </c>
      <c r="D1086" s="21">
        <v>178.65</v>
      </c>
      <c r="E1086" s="3">
        <v>94.21</v>
      </c>
      <c r="F1086" s="3">
        <v>52.87</v>
      </c>
      <c r="G1086" s="3">
        <v>723.5</v>
      </c>
      <c r="H1086" s="3">
        <v>7.0129999999999999</v>
      </c>
      <c r="I1086" s="13">
        <f t="shared" si="17"/>
        <v>1.7819179118592801</v>
      </c>
    </row>
    <row r="1087" spans="2:9">
      <c r="C1087" s="3">
        <v>2.3889999999999998</v>
      </c>
      <c r="D1087" s="21">
        <v>178.22</v>
      </c>
      <c r="E1087" s="3">
        <v>97.91</v>
      </c>
      <c r="F1087" s="3">
        <v>53.29</v>
      </c>
      <c r="G1087" s="3">
        <v>725.5</v>
      </c>
      <c r="H1087" s="3">
        <v>5.9320000000000004</v>
      </c>
      <c r="I1087" s="13">
        <f t="shared" si="17"/>
        <v>1.83730531056483</v>
      </c>
    </row>
    <row r="1088" spans="2:9">
      <c r="C1088" s="3">
        <v>2.3919999999999999</v>
      </c>
      <c r="D1088" s="21">
        <v>172.26</v>
      </c>
      <c r="E1088" s="3">
        <v>93.77</v>
      </c>
      <c r="F1088" s="3">
        <v>52.98</v>
      </c>
      <c r="G1088" s="3">
        <v>716.1</v>
      </c>
      <c r="H1088" s="3">
        <v>5.5119999999999996</v>
      </c>
      <c r="I1088" s="13">
        <f t="shared" si="17"/>
        <v>1.76991317478294</v>
      </c>
    </row>
    <row r="1089" spans="2:9">
      <c r="C1089" s="3">
        <v>2.3839999999999999</v>
      </c>
      <c r="D1089" s="21">
        <v>170.59</v>
      </c>
      <c r="E1089" s="3">
        <v>93.64</v>
      </c>
      <c r="F1089" s="3">
        <v>52.74</v>
      </c>
      <c r="G1089" s="3">
        <v>714.1</v>
      </c>
      <c r="H1089" s="3">
        <v>5.3390000000000004</v>
      </c>
      <c r="I1089" s="13">
        <f t="shared" si="17"/>
        <v>1.7755024649222599</v>
      </c>
    </row>
    <row r="1090" spans="2:9">
      <c r="C1090" s="3">
        <v>2.3580000000000001</v>
      </c>
      <c r="D1090" s="21">
        <v>170.29</v>
      </c>
      <c r="E1090" s="3">
        <v>93.79</v>
      </c>
      <c r="F1090" s="3">
        <v>52.89</v>
      </c>
      <c r="G1090" s="3">
        <v>721.5</v>
      </c>
      <c r="H1090" s="3">
        <v>5.359</v>
      </c>
      <c r="I1090" s="13">
        <f t="shared" si="17"/>
        <v>1.77330308186803</v>
      </c>
    </row>
    <row r="1091" spans="2:9">
      <c r="C1091" s="3">
        <v>2.3690000000000002</v>
      </c>
      <c r="D1091" s="21">
        <v>177.62</v>
      </c>
      <c r="E1091" s="3">
        <v>93.94</v>
      </c>
      <c r="F1091" s="3">
        <v>53.48</v>
      </c>
      <c r="G1091" s="3">
        <v>718.6</v>
      </c>
      <c r="H1091" s="3">
        <v>6.125</v>
      </c>
      <c r="I1091" s="13">
        <f t="shared" ref="I1091:I1154" si="18">E1091/F1091</f>
        <v>1.7565445026177999</v>
      </c>
    </row>
    <row r="1092" spans="2:9">
      <c r="C1092" s="3">
        <v>2.34</v>
      </c>
      <c r="D1092" s="21">
        <v>180.5</v>
      </c>
      <c r="E1092" s="3">
        <v>94.78</v>
      </c>
      <c r="F1092" s="3">
        <v>53.61</v>
      </c>
      <c r="G1092" s="3">
        <v>717.3</v>
      </c>
      <c r="H1092" s="3">
        <v>6.0010000000000003</v>
      </c>
      <c r="I1092" s="13">
        <f t="shared" si="18"/>
        <v>1.76795373997389</v>
      </c>
    </row>
    <row r="1093" spans="2:9">
      <c r="C1093" s="3">
        <v>2.4049999999999998</v>
      </c>
      <c r="D1093" s="21">
        <v>186.46</v>
      </c>
      <c r="E1093" s="3">
        <v>94.46</v>
      </c>
      <c r="F1093" s="3">
        <v>53.63</v>
      </c>
      <c r="G1093" s="3">
        <v>711</v>
      </c>
      <c r="H1093" s="3">
        <v>5.81</v>
      </c>
      <c r="I1093" s="13">
        <f t="shared" si="18"/>
        <v>1.76132761514078</v>
      </c>
    </row>
    <row r="1094" spans="2:9">
      <c r="C1094" s="3">
        <v>2.395</v>
      </c>
      <c r="D1094" s="21">
        <v>178.22</v>
      </c>
      <c r="E1094" s="3">
        <v>94.51</v>
      </c>
      <c r="F1094" s="3">
        <v>53.49</v>
      </c>
      <c r="G1094" s="3">
        <v>711.7</v>
      </c>
      <c r="H1094" s="3">
        <v>6.5279999999999996</v>
      </c>
      <c r="I1094" s="13">
        <f t="shared" si="18"/>
        <v>1.76687231258179</v>
      </c>
    </row>
    <row r="1095" spans="2:9">
      <c r="C1095" s="3">
        <v>2.3690000000000002</v>
      </c>
      <c r="D1095" s="21">
        <v>178.68</v>
      </c>
      <c r="E1095" s="3">
        <v>93.56</v>
      </c>
      <c r="F1095" s="3">
        <v>53.93</v>
      </c>
      <c r="G1095" s="3">
        <v>717.2</v>
      </c>
      <c r="H1095" s="3">
        <v>5.66</v>
      </c>
      <c r="I1095" s="13">
        <f t="shared" si="18"/>
        <v>1.73484146115335</v>
      </c>
    </row>
    <row r="1096" spans="2:9">
      <c r="C1096" s="3">
        <v>2.1</v>
      </c>
      <c r="D1096" s="21">
        <v>180.38</v>
      </c>
      <c r="E1096" s="3">
        <v>94.33</v>
      </c>
      <c r="F1096" s="3">
        <v>53.8</v>
      </c>
      <c r="G1096" s="3">
        <v>720</v>
      </c>
      <c r="H1096" s="3">
        <v>5.577</v>
      </c>
      <c r="I1096" s="13">
        <f t="shared" si="18"/>
        <v>1.7533457249070601</v>
      </c>
    </row>
    <row r="1097" spans="2:9">
      <c r="C1097" s="3">
        <v>2.3170000000000002</v>
      </c>
      <c r="D1097" s="21">
        <v>182.41</v>
      </c>
      <c r="E1097" s="3">
        <v>94.24</v>
      </c>
      <c r="F1097" s="3">
        <v>53.49</v>
      </c>
      <c r="G1097" s="3">
        <v>725.2</v>
      </c>
      <c r="H1097" s="3">
        <v>5.7039999999999997</v>
      </c>
      <c r="I1097" s="13">
        <f t="shared" si="18"/>
        <v>1.76182464011965</v>
      </c>
    </row>
    <row r="1098" spans="2:9">
      <c r="C1098" s="3">
        <v>2.3809999999999998</v>
      </c>
      <c r="D1098" s="21">
        <v>192</v>
      </c>
      <c r="E1098" s="3">
        <v>94.7</v>
      </c>
      <c r="F1098" s="3">
        <v>53.97</v>
      </c>
      <c r="G1098" s="3">
        <v>727.1</v>
      </c>
      <c r="H1098" s="3">
        <v>5.056</v>
      </c>
      <c r="I1098" s="13">
        <f t="shared" si="18"/>
        <v>1.75467852510654</v>
      </c>
    </row>
    <row r="1099" spans="2:9">
      <c r="C1099" s="3">
        <v>2.4009999999999998</v>
      </c>
      <c r="D1099" s="21">
        <v>193.56</v>
      </c>
      <c r="E1099" s="3">
        <v>94.09</v>
      </c>
      <c r="F1099" s="3">
        <v>53.38</v>
      </c>
      <c r="G1099" s="3">
        <v>725.4</v>
      </c>
      <c r="H1099" s="3">
        <v>5.1509999999999998</v>
      </c>
      <c r="I1099" s="13">
        <f t="shared" si="18"/>
        <v>1.7626451854627201</v>
      </c>
    </row>
    <row r="1100" spans="2:9">
      <c r="C1100" s="3">
        <v>2.3780000000000001</v>
      </c>
      <c r="D1100" s="21">
        <v>178.47</v>
      </c>
      <c r="E1100" s="3">
        <v>93.39</v>
      </c>
      <c r="F1100" s="3">
        <v>53.64</v>
      </c>
      <c r="G1100" s="3">
        <v>721.8</v>
      </c>
      <c r="H1100" s="3">
        <v>5.9189999999999996</v>
      </c>
      <c r="I1100" s="13">
        <f t="shared" si="18"/>
        <v>1.7410514541387001</v>
      </c>
    </row>
    <row r="1101" spans="2:9">
      <c r="C1101" s="3">
        <v>2.34</v>
      </c>
      <c r="D1101" s="21">
        <v>205.85</v>
      </c>
      <c r="E1101" s="3">
        <v>93.54</v>
      </c>
      <c r="F1101" s="3">
        <v>54.22</v>
      </c>
      <c r="G1101" s="3">
        <v>721.1</v>
      </c>
      <c r="H1101" s="3">
        <v>6.39</v>
      </c>
      <c r="I1101" s="13">
        <f t="shared" si="18"/>
        <v>1.7251936554776801</v>
      </c>
    </row>
    <row r="1102" spans="2:9">
      <c r="B1102" s="16">
        <v>56</v>
      </c>
      <c r="C1102" s="16">
        <v>2.056</v>
      </c>
      <c r="D1102" s="29">
        <v>175.5</v>
      </c>
      <c r="E1102" s="16">
        <v>85.14</v>
      </c>
      <c r="F1102" s="16">
        <v>24.98</v>
      </c>
      <c r="G1102" s="16">
        <v>753.8</v>
      </c>
      <c r="H1102" s="16">
        <v>6.93</v>
      </c>
      <c r="I1102" s="13">
        <f t="shared" si="18"/>
        <v>3.4083266613290601</v>
      </c>
    </row>
    <row r="1103" spans="2:9">
      <c r="C1103" s="3">
        <v>2.0670000000000002</v>
      </c>
      <c r="D1103" s="21">
        <v>175.9</v>
      </c>
      <c r="E1103" s="3">
        <v>85.88</v>
      </c>
      <c r="F1103" s="3">
        <v>24.59</v>
      </c>
      <c r="G1103" s="3">
        <v>750.3</v>
      </c>
      <c r="H1103" s="3">
        <v>6.7549999999999999</v>
      </c>
      <c r="I1103" s="13">
        <f t="shared" si="18"/>
        <v>3.4924766165107801</v>
      </c>
    </row>
    <row r="1104" spans="2:9">
      <c r="C1104" s="3">
        <v>2.0550000000000002</v>
      </c>
      <c r="D1104" s="21">
        <v>176.9</v>
      </c>
      <c r="E1104" s="3">
        <v>86.06</v>
      </c>
      <c r="F1104" s="3">
        <v>24.65</v>
      </c>
      <c r="G1104" s="3">
        <v>746</v>
      </c>
      <c r="H1104" s="3">
        <v>6.7619999999999996</v>
      </c>
      <c r="I1104" s="13">
        <f t="shared" si="18"/>
        <v>3.49127789046653</v>
      </c>
    </row>
    <row r="1105" spans="3:9">
      <c r="C1105" s="3">
        <v>1.9790000000000001</v>
      </c>
      <c r="D1105" s="21">
        <v>190.3</v>
      </c>
      <c r="E1105" s="3">
        <v>86.14</v>
      </c>
      <c r="F1105" s="3">
        <v>24.58</v>
      </c>
      <c r="G1105" s="3">
        <v>747</v>
      </c>
      <c r="H1105" s="3">
        <v>6.6289999999999996</v>
      </c>
      <c r="I1105" s="13">
        <f t="shared" si="18"/>
        <v>3.50447518307567</v>
      </c>
    </row>
    <row r="1106" spans="3:9">
      <c r="C1106" s="3">
        <v>2.016</v>
      </c>
      <c r="D1106" s="21">
        <v>174</v>
      </c>
      <c r="E1106" s="3">
        <v>85.87</v>
      </c>
      <c r="F1106" s="3">
        <v>24.78</v>
      </c>
      <c r="G1106" s="3">
        <v>748.6</v>
      </c>
      <c r="H1106" s="3">
        <v>6.7469999999999999</v>
      </c>
      <c r="I1106" s="13">
        <f t="shared" si="18"/>
        <v>3.4652945924132399</v>
      </c>
    </row>
    <row r="1107" spans="3:9">
      <c r="C1107" s="3">
        <v>2.028</v>
      </c>
      <c r="D1107" s="21">
        <v>169.7</v>
      </c>
      <c r="E1107" s="3">
        <v>85.69</v>
      </c>
      <c r="F1107" s="3">
        <v>24.76</v>
      </c>
      <c r="G1107" s="3">
        <v>751.1</v>
      </c>
      <c r="H1107" s="3">
        <v>6.66</v>
      </c>
      <c r="I1107" s="13">
        <f t="shared" si="18"/>
        <v>3.4608239095314999</v>
      </c>
    </row>
    <row r="1108" spans="3:9">
      <c r="C1108" s="3">
        <v>2.0409999999999999</v>
      </c>
      <c r="D1108" s="21">
        <v>172.5</v>
      </c>
      <c r="E1108" s="3">
        <v>86.3</v>
      </c>
      <c r="F1108" s="3">
        <v>24.96</v>
      </c>
      <c r="G1108" s="3">
        <v>753.7</v>
      </c>
      <c r="H1108" s="3">
        <v>6.6239999999999997</v>
      </c>
      <c r="I1108" s="13">
        <f t="shared" si="18"/>
        <v>3.4575320512820502</v>
      </c>
    </row>
    <row r="1109" spans="3:9">
      <c r="C1109" s="3">
        <v>2.0510000000000002</v>
      </c>
      <c r="D1109" s="21">
        <v>172.6</v>
      </c>
      <c r="E1109" s="3">
        <v>86.85</v>
      </c>
      <c r="F1109" s="3">
        <v>25.16</v>
      </c>
      <c r="G1109" s="3">
        <v>755.6</v>
      </c>
      <c r="H1109" s="3">
        <v>6.7469999999999999</v>
      </c>
      <c r="I1109" s="13">
        <f t="shared" si="18"/>
        <v>3.4519077901430801</v>
      </c>
    </row>
    <row r="1110" spans="3:9">
      <c r="C1110" s="3">
        <v>2.028</v>
      </c>
      <c r="D1110" s="21">
        <v>176.8</v>
      </c>
      <c r="E1110" s="3">
        <v>86.13</v>
      </c>
      <c r="F1110" s="3">
        <v>24.97</v>
      </c>
      <c r="G1110" s="3">
        <v>752.4</v>
      </c>
      <c r="H1110" s="3">
        <v>6.8</v>
      </c>
      <c r="I1110" s="13">
        <f t="shared" si="18"/>
        <v>3.4493392070484599</v>
      </c>
    </row>
    <row r="1111" spans="3:9">
      <c r="C1111" s="3">
        <v>2.008</v>
      </c>
      <c r="D1111" s="21">
        <v>171.2</v>
      </c>
      <c r="E1111" s="3">
        <v>86.49</v>
      </c>
      <c r="F1111" s="3">
        <v>24.75</v>
      </c>
      <c r="G1111" s="3">
        <v>749.7</v>
      </c>
      <c r="H1111" s="3">
        <v>6.8410000000000002</v>
      </c>
      <c r="I1111" s="13">
        <f t="shared" si="18"/>
        <v>3.4945454545454502</v>
      </c>
    </row>
    <row r="1112" spans="3:9">
      <c r="C1112" s="3">
        <v>1.948</v>
      </c>
      <c r="D1112" s="21">
        <v>178.6</v>
      </c>
      <c r="E1112" s="3">
        <v>86.32</v>
      </c>
      <c r="F1112" s="3">
        <v>25.56</v>
      </c>
      <c r="G1112" s="3">
        <v>749.4</v>
      </c>
      <c r="H1112" s="3">
        <v>6.7240000000000002</v>
      </c>
      <c r="I1112" s="13">
        <f t="shared" si="18"/>
        <v>3.37715179968701</v>
      </c>
    </row>
    <row r="1113" spans="3:9">
      <c r="C1113" s="3">
        <v>2.02</v>
      </c>
      <c r="D1113" s="21">
        <v>172.6</v>
      </c>
      <c r="E1113" s="3">
        <v>85.52</v>
      </c>
      <c r="F1113" s="3">
        <v>25.4</v>
      </c>
      <c r="G1113" s="3">
        <v>748.7</v>
      </c>
      <c r="H1113" s="3">
        <v>6.4880000000000004</v>
      </c>
      <c r="I1113" s="13">
        <f t="shared" si="18"/>
        <v>3.3669291338582701</v>
      </c>
    </row>
    <row r="1114" spans="3:9">
      <c r="C1114" s="3">
        <v>1.9830000000000001</v>
      </c>
      <c r="D1114" s="21">
        <v>169.7</v>
      </c>
      <c r="E1114" s="3">
        <v>85.96</v>
      </c>
      <c r="F1114" s="3">
        <v>25.2</v>
      </c>
      <c r="G1114" s="3">
        <v>747</v>
      </c>
      <c r="H1114" s="3">
        <v>6.3070000000000004</v>
      </c>
      <c r="I1114" s="13">
        <f t="shared" si="18"/>
        <v>3.4111111111111101</v>
      </c>
    </row>
    <row r="1115" spans="3:9">
      <c r="C1115" s="3">
        <v>1.978</v>
      </c>
      <c r="D1115" s="21">
        <v>185.8</v>
      </c>
      <c r="E1115" s="3">
        <v>86.23</v>
      </c>
      <c r="F1115" s="3">
        <v>25.01</v>
      </c>
      <c r="G1115" s="3">
        <v>746</v>
      </c>
      <c r="H1115" s="3">
        <v>6.298</v>
      </c>
      <c r="I1115" s="13">
        <f t="shared" si="18"/>
        <v>3.4478208716513401</v>
      </c>
    </row>
    <row r="1116" spans="3:9">
      <c r="C1116" s="3">
        <v>2.032</v>
      </c>
      <c r="D1116" s="21">
        <v>184.9</v>
      </c>
      <c r="E1116" s="3">
        <v>86.59</v>
      </c>
      <c r="F1116" s="3">
        <v>24.78</v>
      </c>
      <c r="G1116" s="3">
        <v>748.4</v>
      </c>
      <c r="H1116" s="3">
        <v>6.5030000000000001</v>
      </c>
      <c r="I1116" s="13">
        <f t="shared" si="18"/>
        <v>3.4943502824858799</v>
      </c>
    </row>
    <row r="1117" spans="3:9">
      <c r="C1117" s="3">
        <v>2.0590000000000002</v>
      </c>
      <c r="D1117" s="21">
        <v>170.1</v>
      </c>
      <c r="E1117" s="3">
        <v>85.81</v>
      </c>
      <c r="F1117" s="3">
        <v>24.82</v>
      </c>
      <c r="G1117" s="3">
        <v>750.5</v>
      </c>
      <c r="H1117" s="3">
        <v>6.7439999999999998</v>
      </c>
      <c r="I1117" s="13">
        <f t="shared" si="18"/>
        <v>3.45729250604351</v>
      </c>
    </row>
    <row r="1118" spans="3:9">
      <c r="C1118" s="3">
        <v>2.02</v>
      </c>
      <c r="D1118" s="21">
        <v>175.9</v>
      </c>
      <c r="E1118" s="3">
        <v>85.72</v>
      </c>
      <c r="F1118" s="3">
        <v>25.01</v>
      </c>
      <c r="G1118" s="3">
        <v>753.1</v>
      </c>
      <c r="H1118" s="3">
        <v>6.89</v>
      </c>
      <c r="I1118" s="13">
        <f t="shared" si="18"/>
        <v>3.4274290283886399</v>
      </c>
    </row>
    <row r="1119" spans="3:9">
      <c r="C1119" s="3">
        <v>2.024</v>
      </c>
      <c r="D1119" s="21">
        <v>175.5</v>
      </c>
      <c r="E1119" s="3">
        <v>86.55</v>
      </c>
      <c r="F1119" s="3">
        <v>25.16</v>
      </c>
      <c r="G1119" s="3">
        <v>754.4</v>
      </c>
      <c r="H1119" s="3">
        <v>6.9859999999999998</v>
      </c>
      <c r="I1119" s="13">
        <f t="shared" si="18"/>
        <v>3.4399841017488102</v>
      </c>
    </row>
    <row r="1120" spans="3:9">
      <c r="C1120" s="3">
        <v>2.0539999999999998</v>
      </c>
      <c r="D1120" s="21">
        <v>176.9</v>
      </c>
      <c r="E1120" s="3">
        <v>86.88</v>
      </c>
      <c r="F1120" s="3">
        <v>24.82</v>
      </c>
      <c r="G1120" s="3">
        <v>753.8</v>
      </c>
      <c r="H1120" s="3">
        <v>6.9219999999999997</v>
      </c>
      <c r="I1120" s="13">
        <f t="shared" si="18"/>
        <v>3.50040290088638</v>
      </c>
    </row>
    <row r="1121" spans="2:9">
      <c r="C1121" s="3">
        <v>2.0619999999999998</v>
      </c>
      <c r="D1121" s="21">
        <v>170.1</v>
      </c>
      <c r="E1121" s="3">
        <v>86.16</v>
      </c>
      <c r="F1121" s="3">
        <v>24.98</v>
      </c>
      <c r="G1121" s="3">
        <v>748.4</v>
      </c>
      <c r="H1121" s="3">
        <v>6.8780000000000001</v>
      </c>
      <c r="I1121" s="13">
        <f t="shared" si="18"/>
        <v>3.4491593274619698</v>
      </c>
    </row>
    <row r="1122" spans="2:9">
      <c r="B1122" s="16">
        <v>57</v>
      </c>
      <c r="C1122" s="16">
        <v>3.7959999999999998</v>
      </c>
      <c r="D1122" s="29">
        <v>168.2</v>
      </c>
      <c r="E1122" s="16">
        <v>84.89</v>
      </c>
      <c r="F1122" s="16">
        <v>37.299999999999997</v>
      </c>
      <c r="G1122" s="16">
        <v>713.2</v>
      </c>
      <c r="H1122" s="16">
        <v>4.5030000000000001</v>
      </c>
      <c r="I1122" s="13">
        <f t="shared" si="18"/>
        <v>2.2758713136729201</v>
      </c>
    </row>
    <row r="1123" spans="2:9">
      <c r="C1123" s="3">
        <v>3.867</v>
      </c>
      <c r="D1123" s="21">
        <v>179.7</v>
      </c>
      <c r="E1123" s="3">
        <v>84.64</v>
      </c>
      <c r="F1123" s="3">
        <v>37.42</v>
      </c>
      <c r="G1123" s="3">
        <v>713.1</v>
      </c>
      <c r="H1123" s="3">
        <v>4.4820000000000002</v>
      </c>
      <c r="I1123" s="13">
        <f t="shared" si="18"/>
        <v>2.2618920363442001</v>
      </c>
    </row>
    <row r="1124" spans="2:9">
      <c r="C1124" s="3">
        <v>3.72</v>
      </c>
      <c r="D1124" s="21">
        <v>172.5</v>
      </c>
      <c r="E1124" s="3">
        <v>85.04</v>
      </c>
      <c r="F1124" s="3">
        <v>37.380000000000003</v>
      </c>
      <c r="G1124" s="3">
        <v>708.3</v>
      </c>
      <c r="H1124" s="3">
        <v>5.0179999999999998</v>
      </c>
      <c r="I1124" s="13">
        <f t="shared" si="18"/>
        <v>2.27501337613697</v>
      </c>
    </row>
    <row r="1125" spans="2:9">
      <c r="C1125" s="3">
        <v>3.589</v>
      </c>
      <c r="D1125" s="21">
        <v>182.9</v>
      </c>
      <c r="E1125" s="3">
        <v>85.33</v>
      </c>
      <c r="F1125" s="3">
        <v>36.97</v>
      </c>
      <c r="G1125" s="3">
        <v>713.1</v>
      </c>
      <c r="H1125" s="3">
        <v>5.0910000000000002</v>
      </c>
      <c r="I1125" s="13">
        <f t="shared" si="18"/>
        <v>2.3080876386259099</v>
      </c>
    </row>
    <row r="1126" spans="2:9">
      <c r="C1126" s="3">
        <v>3.7930000000000001</v>
      </c>
      <c r="D1126" s="21">
        <v>175.4</v>
      </c>
      <c r="E1126" s="3">
        <v>85.09</v>
      </c>
      <c r="F1126" s="3">
        <v>37.119999999999997</v>
      </c>
      <c r="G1126" s="3">
        <v>712.1</v>
      </c>
      <c r="H1126" s="3">
        <v>5.2569999999999997</v>
      </c>
      <c r="I1126" s="13">
        <f t="shared" si="18"/>
        <v>2.2922952586206899</v>
      </c>
    </row>
    <row r="1127" spans="2:9">
      <c r="C1127" s="3">
        <v>3.867</v>
      </c>
      <c r="D1127" s="21">
        <v>184.7</v>
      </c>
      <c r="E1127" s="3">
        <v>85.21</v>
      </c>
      <c r="F1127" s="3">
        <v>37.4</v>
      </c>
      <c r="G1127" s="3">
        <v>718.7</v>
      </c>
      <c r="H1127" s="3">
        <v>5.2990000000000004</v>
      </c>
      <c r="I1127" s="13">
        <f t="shared" si="18"/>
        <v>2.2783422459892999</v>
      </c>
    </row>
    <row r="1128" spans="2:9">
      <c r="C1128" s="3">
        <v>3.7890000000000001</v>
      </c>
      <c r="D1128" s="21">
        <v>193</v>
      </c>
      <c r="E1128" s="3">
        <v>85.12</v>
      </c>
      <c r="F1128" s="3">
        <v>37.19</v>
      </c>
      <c r="G1128" s="3">
        <v>712.1</v>
      </c>
      <c r="H1128" s="3">
        <v>5.1950000000000003</v>
      </c>
      <c r="I1128" s="13">
        <f t="shared" si="18"/>
        <v>2.2887873084162398</v>
      </c>
    </row>
    <row r="1129" spans="2:9">
      <c r="C1129" s="3">
        <v>3.7959999999999998</v>
      </c>
      <c r="D1129" s="21">
        <v>203.2</v>
      </c>
      <c r="E1129" s="3">
        <v>85.53</v>
      </c>
      <c r="F1129" s="3">
        <v>36.74</v>
      </c>
      <c r="G1129" s="3">
        <v>713.1</v>
      </c>
      <c r="H1129" s="3">
        <v>5.3639999999999999</v>
      </c>
      <c r="I1129" s="13">
        <f t="shared" si="18"/>
        <v>2.3279804028307001</v>
      </c>
    </row>
    <row r="1130" spans="2:9">
      <c r="C1130" s="3">
        <v>3.8119999999999998</v>
      </c>
      <c r="D1130" s="21">
        <v>185.2</v>
      </c>
      <c r="E1130" s="3">
        <v>85.66</v>
      </c>
      <c r="F1130" s="3">
        <v>37.19</v>
      </c>
      <c r="G1130" s="3">
        <v>714.6</v>
      </c>
      <c r="H1130" s="3">
        <v>5.3179999999999996</v>
      </c>
      <c r="I1130" s="13">
        <f t="shared" si="18"/>
        <v>2.3033073406829798</v>
      </c>
    </row>
    <row r="1131" spans="2:9">
      <c r="C1131" s="3">
        <v>3.85</v>
      </c>
      <c r="D1131" s="21">
        <v>193</v>
      </c>
      <c r="E1131" s="3">
        <v>85.23</v>
      </c>
      <c r="F1131" s="3">
        <v>37.08</v>
      </c>
      <c r="G1131" s="3">
        <v>716.9</v>
      </c>
      <c r="H1131" s="3">
        <v>5.3310000000000004</v>
      </c>
      <c r="I1131" s="13">
        <f t="shared" si="18"/>
        <v>2.2985436893203901</v>
      </c>
    </row>
    <row r="1132" spans="2:9">
      <c r="C1132" s="3">
        <v>3.867</v>
      </c>
      <c r="D1132" s="21">
        <v>179.7</v>
      </c>
      <c r="E1132" s="3">
        <v>85.76</v>
      </c>
      <c r="F1132" s="3">
        <v>37.31</v>
      </c>
      <c r="G1132" s="3">
        <v>714.8</v>
      </c>
      <c r="H1132" s="3">
        <v>5.3890000000000002</v>
      </c>
      <c r="I1132" s="13">
        <f t="shared" si="18"/>
        <v>2.2985794693111798</v>
      </c>
    </row>
    <row r="1133" spans="2:9">
      <c r="C1133" s="3">
        <v>3.7930000000000001</v>
      </c>
      <c r="D1133" s="21">
        <v>184.4</v>
      </c>
      <c r="E1133" s="3">
        <v>85.4</v>
      </c>
      <c r="F1133" s="3">
        <v>36.86</v>
      </c>
      <c r="G1133" s="3">
        <v>713.1</v>
      </c>
      <c r="H1133" s="3">
        <v>5.6120000000000001</v>
      </c>
      <c r="I1133" s="13">
        <f t="shared" si="18"/>
        <v>2.3168746608789998</v>
      </c>
    </row>
    <row r="1134" spans="2:9">
      <c r="C1134" s="3">
        <v>3.6989999999999998</v>
      </c>
      <c r="D1134" s="21">
        <v>172.5</v>
      </c>
      <c r="E1134" s="3">
        <v>85.23</v>
      </c>
      <c r="F1134" s="3">
        <v>37.04</v>
      </c>
      <c r="G1134" s="3">
        <v>713.8</v>
      </c>
      <c r="H1134" s="3">
        <v>5.6879999999999997</v>
      </c>
      <c r="I1134" s="13">
        <f t="shared" si="18"/>
        <v>2.30102591792657</v>
      </c>
    </row>
    <row r="1135" spans="2:9">
      <c r="C1135" s="3">
        <v>3.589</v>
      </c>
      <c r="D1135" s="21">
        <v>205.5</v>
      </c>
      <c r="E1135" s="3">
        <v>85.47</v>
      </c>
      <c r="F1135" s="3">
        <v>37.340000000000003</v>
      </c>
      <c r="G1135" s="3">
        <v>713.1</v>
      </c>
      <c r="H1135" s="3">
        <v>5.8609999999999998</v>
      </c>
      <c r="I1135" s="13">
        <f t="shared" si="18"/>
        <v>2.2889662560257098</v>
      </c>
    </row>
    <row r="1136" spans="2:9">
      <c r="C1136" s="3">
        <v>3.5</v>
      </c>
      <c r="D1136" s="21">
        <v>211.8</v>
      </c>
      <c r="E1136" s="3">
        <v>85.04</v>
      </c>
      <c r="F1136" s="3">
        <v>37.01</v>
      </c>
      <c r="G1136" s="3">
        <v>710.6</v>
      </c>
      <c r="H1136" s="3">
        <v>5.569</v>
      </c>
      <c r="I1136" s="13">
        <f t="shared" si="18"/>
        <v>2.2977573628749002</v>
      </c>
    </row>
    <row r="1137" spans="2:9">
      <c r="C1137" s="3">
        <v>3.4830000000000001</v>
      </c>
      <c r="D1137" s="21">
        <v>178.6</v>
      </c>
      <c r="E1137" s="3">
        <v>85.27</v>
      </c>
      <c r="F1137" s="3">
        <v>37.1</v>
      </c>
      <c r="G1137" s="3">
        <v>717.8</v>
      </c>
      <c r="H1137" s="3">
        <v>5.7889999999999997</v>
      </c>
      <c r="I1137" s="13">
        <f t="shared" si="18"/>
        <v>2.2983827493261502</v>
      </c>
    </row>
    <row r="1138" spans="2:9">
      <c r="C1138" s="3">
        <v>3.3809999999999998</v>
      </c>
      <c r="D1138" s="21">
        <v>169</v>
      </c>
      <c r="E1138" s="3">
        <v>85.41</v>
      </c>
      <c r="F1138" s="3">
        <v>37.270000000000003</v>
      </c>
      <c r="G1138" s="3">
        <v>718.7</v>
      </c>
      <c r="H1138" s="3">
        <v>5.4320000000000004</v>
      </c>
      <c r="I1138" s="13">
        <f t="shared" si="18"/>
        <v>2.29165548698685</v>
      </c>
    </row>
    <row r="1139" spans="2:9">
      <c r="C1139" s="3">
        <v>3.24</v>
      </c>
      <c r="D1139" s="21">
        <v>197.1</v>
      </c>
      <c r="E1139" s="3">
        <v>85.47</v>
      </c>
      <c r="F1139" s="3">
        <v>37.17</v>
      </c>
      <c r="G1139" s="3">
        <v>712.1</v>
      </c>
      <c r="H1139" s="3">
        <v>5.5490000000000004</v>
      </c>
      <c r="I1139" s="13">
        <f t="shared" si="18"/>
        <v>2.29943502824859</v>
      </c>
    </row>
    <row r="1140" spans="2:9">
      <c r="C1140" s="3">
        <v>3.33</v>
      </c>
      <c r="D1140" s="21">
        <v>185.2</v>
      </c>
      <c r="E1140" s="3">
        <v>85.13</v>
      </c>
      <c r="F1140" s="3">
        <v>37.01</v>
      </c>
      <c r="G1140" s="3">
        <v>713.1</v>
      </c>
      <c r="H1140" s="3">
        <v>5.3310000000000004</v>
      </c>
      <c r="I1140" s="13">
        <f t="shared" si="18"/>
        <v>2.30018913807079</v>
      </c>
    </row>
    <row r="1141" spans="2:9">
      <c r="C1141" s="3">
        <v>3.4830000000000001</v>
      </c>
      <c r="D1141" s="21">
        <v>172</v>
      </c>
      <c r="E1141" s="3">
        <v>85.09</v>
      </c>
      <c r="F1141" s="3">
        <v>37.119999999999997</v>
      </c>
      <c r="G1141" s="3">
        <v>709.9</v>
      </c>
      <c r="H1141" s="3">
        <v>5.0910000000000002</v>
      </c>
      <c r="I1141" s="13">
        <f t="shared" si="18"/>
        <v>2.2922952586206899</v>
      </c>
    </row>
    <row r="1142" spans="2:9">
      <c r="B1142" s="16">
        <v>58</v>
      </c>
      <c r="C1142" s="16">
        <v>2.5129999999999999</v>
      </c>
      <c r="D1142" s="29">
        <v>225.7</v>
      </c>
      <c r="E1142" s="16">
        <v>103.5</v>
      </c>
      <c r="F1142" s="16">
        <v>25.53</v>
      </c>
      <c r="G1142" s="16">
        <v>630.79999999999995</v>
      </c>
      <c r="H1142" s="16">
        <v>5.07</v>
      </c>
      <c r="I1142" s="13">
        <f t="shared" si="18"/>
        <v>4.0540540540540499</v>
      </c>
    </row>
    <row r="1143" spans="2:9">
      <c r="C1143" s="3">
        <v>2.4689999999999999</v>
      </c>
      <c r="D1143" s="21">
        <v>195.9</v>
      </c>
      <c r="E1143" s="3">
        <v>103.8</v>
      </c>
      <c r="F1143" s="3">
        <v>24.93</v>
      </c>
      <c r="G1143" s="3">
        <v>631.5</v>
      </c>
      <c r="H1143" s="3">
        <v>5.3579999999999997</v>
      </c>
      <c r="I1143" s="13">
        <f t="shared" si="18"/>
        <v>4.1636582430806302</v>
      </c>
    </row>
    <row r="1144" spans="2:9">
      <c r="C1144" s="3">
        <v>2.5350000000000001</v>
      </c>
      <c r="D1144" s="21">
        <v>216.9</v>
      </c>
      <c r="E1144" s="3">
        <v>103.4</v>
      </c>
      <c r="F1144" s="3">
        <v>25.11</v>
      </c>
      <c r="G1144" s="3">
        <v>630</v>
      </c>
      <c r="H1144" s="3">
        <v>5.3659999999999997</v>
      </c>
      <c r="I1144" s="13">
        <f t="shared" si="18"/>
        <v>4.1178813221824004</v>
      </c>
    </row>
    <row r="1145" spans="2:9">
      <c r="C1145" s="3">
        <v>2.58</v>
      </c>
      <c r="D1145" s="21">
        <v>189</v>
      </c>
      <c r="E1145" s="3">
        <v>103.2</v>
      </c>
      <c r="F1145" s="3">
        <v>25.36</v>
      </c>
      <c r="G1145" s="3">
        <v>629.70000000000005</v>
      </c>
      <c r="H1145" s="3">
        <v>5.07</v>
      </c>
      <c r="I1145" s="13">
        <f t="shared" si="18"/>
        <v>4.0694006309148296</v>
      </c>
    </row>
    <row r="1146" spans="2:9">
      <c r="C1146" s="3">
        <v>2.585</v>
      </c>
      <c r="D1146" s="21">
        <v>173.9</v>
      </c>
      <c r="E1146" s="3">
        <v>103.8</v>
      </c>
      <c r="F1146" s="3">
        <v>26.21</v>
      </c>
      <c r="G1146" s="3">
        <v>631.20000000000005</v>
      </c>
      <c r="H1146" s="3">
        <v>6.0030000000000001</v>
      </c>
      <c r="I1146" s="13">
        <f t="shared" si="18"/>
        <v>3.9603204883632199</v>
      </c>
    </row>
    <row r="1147" spans="2:9">
      <c r="C1147" s="3">
        <v>2.5760000000000001</v>
      </c>
      <c r="D1147" s="21">
        <v>169.7</v>
      </c>
      <c r="E1147" s="3">
        <v>103.7</v>
      </c>
      <c r="F1147" s="3">
        <v>24.93</v>
      </c>
      <c r="G1147" s="3">
        <v>632.5</v>
      </c>
      <c r="H1147" s="3">
        <v>6.3970000000000002</v>
      </c>
      <c r="I1147" s="13">
        <f t="shared" si="18"/>
        <v>4.1596470116325701</v>
      </c>
    </row>
    <row r="1148" spans="2:9">
      <c r="C1148" s="3">
        <v>2.4780000000000002</v>
      </c>
      <c r="D1148" s="21">
        <v>187.6</v>
      </c>
      <c r="E1148" s="3">
        <v>103.2</v>
      </c>
      <c r="F1148" s="3">
        <v>24.89</v>
      </c>
      <c r="G1148" s="3">
        <v>634.1</v>
      </c>
      <c r="H1148" s="3">
        <v>6.3460000000000001</v>
      </c>
      <c r="I1148" s="13">
        <f t="shared" si="18"/>
        <v>4.1462434712735998</v>
      </c>
    </row>
    <row r="1149" spans="2:9">
      <c r="C1149" s="3">
        <v>2.5049999999999999</v>
      </c>
      <c r="D1149" s="21">
        <v>184.6</v>
      </c>
      <c r="E1149" s="3">
        <v>103.8</v>
      </c>
      <c r="F1149" s="3">
        <v>25.76</v>
      </c>
      <c r="G1149" s="3">
        <v>635.79999999999995</v>
      </c>
      <c r="H1149" s="3">
        <v>6.1260000000000003</v>
      </c>
      <c r="I1149" s="13">
        <f t="shared" si="18"/>
        <v>4.0295031055900603</v>
      </c>
    </row>
    <row r="1150" spans="2:9">
      <c r="C1150" s="3">
        <v>2.5110000000000001</v>
      </c>
      <c r="D1150" s="21">
        <v>170.3</v>
      </c>
      <c r="E1150" s="3">
        <v>102.9</v>
      </c>
      <c r="F1150" s="3">
        <v>25.53</v>
      </c>
      <c r="G1150" s="3">
        <v>636.1</v>
      </c>
      <c r="H1150" s="3">
        <v>6.0030000000000001</v>
      </c>
      <c r="I1150" s="13">
        <f t="shared" si="18"/>
        <v>4.0305522914218601</v>
      </c>
    </row>
    <row r="1151" spans="2:9">
      <c r="C1151" s="3">
        <v>2.4940000000000002</v>
      </c>
      <c r="D1151" s="21">
        <v>187.6</v>
      </c>
      <c r="E1151" s="3">
        <v>103.6</v>
      </c>
      <c r="F1151" s="3">
        <v>25.18</v>
      </c>
      <c r="G1151" s="3">
        <v>635.1</v>
      </c>
      <c r="H1151" s="3">
        <v>5.8890000000000002</v>
      </c>
      <c r="I1151" s="13">
        <f t="shared" si="18"/>
        <v>4.1143764892772001</v>
      </c>
    </row>
    <row r="1152" spans="2:9">
      <c r="C1152" s="3">
        <v>2.5150000000000001</v>
      </c>
      <c r="D1152" s="21">
        <v>185.6</v>
      </c>
      <c r="E1152" s="3">
        <v>103.1</v>
      </c>
      <c r="F1152" s="3">
        <v>24.93</v>
      </c>
      <c r="G1152" s="3">
        <v>630.79999999999995</v>
      </c>
      <c r="H1152" s="3">
        <v>5.843</v>
      </c>
      <c r="I1152" s="13">
        <f t="shared" si="18"/>
        <v>4.1355796229442401</v>
      </c>
    </row>
    <row r="1153" spans="2:9">
      <c r="C1153" s="3">
        <v>2.5019999999999998</v>
      </c>
      <c r="D1153" s="21">
        <v>178.4</v>
      </c>
      <c r="E1153" s="3">
        <v>103.4</v>
      </c>
      <c r="F1153" s="3">
        <v>25.03</v>
      </c>
      <c r="G1153" s="3">
        <v>632.9</v>
      </c>
      <c r="H1153" s="3">
        <v>6.1379999999999999</v>
      </c>
      <c r="I1153" s="13">
        <f t="shared" si="18"/>
        <v>4.1310427487015602</v>
      </c>
    </row>
    <row r="1154" spans="2:9">
      <c r="C1154" s="3">
        <v>2.5350000000000001</v>
      </c>
      <c r="D1154" s="21">
        <v>180.4</v>
      </c>
      <c r="E1154" s="3">
        <v>103.5</v>
      </c>
      <c r="F1154" s="3">
        <v>25.56</v>
      </c>
      <c r="G1154" s="3">
        <v>632.79999999999995</v>
      </c>
      <c r="H1154" s="3">
        <v>5.843</v>
      </c>
      <c r="I1154" s="13">
        <f t="shared" si="18"/>
        <v>4.0492957746478897</v>
      </c>
    </row>
    <row r="1155" spans="2:9">
      <c r="C1155" s="3">
        <v>2.577</v>
      </c>
      <c r="D1155" s="21">
        <v>196.3</v>
      </c>
      <c r="E1155" s="3">
        <v>103.6</v>
      </c>
      <c r="F1155" s="3">
        <v>25.49</v>
      </c>
      <c r="G1155" s="3">
        <v>632.29999999999995</v>
      </c>
      <c r="H1155" s="3">
        <v>6.6680000000000001</v>
      </c>
      <c r="I1155" s="13">
        <f t="shared" ref="I1155:I1218" si="19">E1155/F1155</f>
        <v>4.0643389564535104</v>
      </c>
    </row>
    <row r="1156" spans="2:9">
      <c r="C1156" s="3">
        <v>2.536</v>
      </c>
      <c r="D1156" s="21">
        <v>195.7</v>
      </c>
      <c r="E1156" s="3">
        <v>103.7</v>
      </c>
      <c r="F1156" s="3">
        <v>25.56</v>
      </c>
      <c r="G1156" s="3">
        <v>632</v>
      </c>
      <c r="H1156" s="3">
        <v>6.282</v>
      </c>
      <c r="I1156" s="13">
        <f t="shared" si="19"/>
        <v>4.05712050078247</v>
      </c>
    </row>
    <row r="1157" spans="2:9">
      <c r="C1157" s="3">
        <v>2.5880000000000001</v>
      </c>
      <c r="D1157" s="21">
        <v>223.1</v>
      </c>
      <c r="E1157" s="3">
        <v>103.7</v>
      </c>
      <c r="F1157" s="3">
        <v>25.36</v>
      </c>
      <c r="G1157" s="3">
        <v>632.1</v>
      </c>
      <c r="H1157" s="3">
        <v>5.8490000000000002</v>
      </c>
      <c r="I1157" s="13">
        <f t="shared" si="19"/>
        <v>4.0891167192428997</v>
      </c>
    </row>
    <row r="1158" spans="2:9">
      <c r="C1158" s="3">
        <v>2.5499999999999998</v>
      </c>
      <c r="D1158" s="21">
        <v>196.3</v>
      </c>
      <c r="E1158" s="3">
        <v>103.5</v>
      </c>
      <c r="F1158" s="3">
        <v>25.61</v>
      </c>
      <c r="G1158" s="3">
        <v>632.29999999999995</v>
      </c>
      <c r="H1158" s="3">
        <v>5.71</v>
      </c>
      <c r="I1158" s="13">
        <f t="shared" si="19"/>
        <v>4.0413900819992197</v>
      </c>
    </row>
    <row r="1159" spans="2:9">
      <c r="C1159" s="3">
        <v>2.5830000000000002</v>
      </c>
      <c r="D1159" s="21">
        <v>189</v>
      </c>
      <c r="E1159" s="3">
        <v>103.6</v>
      </c>
      <c r="F1159" s="3">
        <v>25.01</v>
      </c>
      <c r="G1159" s="3">
        <v>631.70000000000005</v>
      </c>
      <c r="H1159" s="3">
        <v>5.9459999999999997</v>
      </c>
      <c r="I1159" s="13">
        <f t="shared" si="19"/>
        <v>4.1423430627748896</v>
      </c>
    </row>
    <row r="1160" spans="2:9">
      <c r="C1160" s="3">
        <v>2.585</v>
      </c>
      <c r="D1160" s="21">
        <v>221.6</v>
      </c>
      <c r="E1160" s="3">
        <v>103.4</v>
      </c>
      <c r="F1160" s="3">
        <v>24.83</v>
      </c>
      <c r="G1160" s="3">
        <v>634.9</v>
      </c>
      <c r="H1160" s="3">
        <v>6.1260000000000003</v>
      </c>
      <c r="I1160" s="13">
        <f t="shared" si="19"/>
        <v>4.1643173580346398</v>
      </c>
    </row>
    <row r="1161" spans="2:9">
      <c r="C1161" s="3">
        <v>2.58</v>
      </c>
      <c r="D1161" s="21">
        <v>187.6</v>
      </c>
      <c r="E1161" s="3">
        <v>103.4</v>
      </c>
      <c r="F1161" s="3">
        <v>25.18</v>
      </c>
      <c r="G1161" s="3">
        <v>630.9</v>
      </c>
      <c r="H1161" s="3">
        <v>6.2919999999999998</v>
      </c>
      <c r="I1161" s="13">
        <f t="shared" si="19"/>
        <v>4.1064336775218404</v>
      </c>
    </row>
    <row r="1162" spans="2:9">
      <c r="B1162" s="16">
        <v>59</v>
      </c>
      <c r="C1162" s="16">
        <v>2.629</v>
      </c>
      <c r="D1162" s="29">
        <v>186.2</v>
      </c>
      <c r="E1162" s="16">
        <v>84.22</v>
      </c>
      <c r="F1162" s="16">
        <v>36.1</v>
      </c>
      <c r="G1162" s="16">
        <v>656.9</v>
      </c>
      <c r="H1162" s="16">
        <v>6.4550000000000001</v>
      </c>
      <c r="I1162" s="13">
        <f t="shared" si="19"/>
        <v>2.3329639889196701</v>
      </c>
    </row>
    <row r="1163" spans="2:9">
      <c r="C1163" s="3">
        <v>2.653</v>
      </c>
      <c r="D1163" s="21">
        <v>185.1</v>
      </c>
      <c r="E1163" s="3">
        <v>84.18</v>
      </c>
      <c r="F1163" s="3">
        <v>35.799999999999997</v>
      </c>
      <c r="G1163" s="3">
        <v>657.6</v>
      </c>
      <c r="H1163" s="3">
        <v>6.1749999999999998</v>
      </c>
      <c r="I1163" s="13">
        <f t="shared" si="19"/>
        <v>2.3513966480446902</v>
      </c>
    </row>
    <row r="1164" spans="2:9">
      <c r="C1164" s="3">
        <v>2.718</v>
      </c>
      <c r="D1164" s="21">
        <v>187</v>
      </c>
      <c r="E1164" s="3">
        <v>83.76</v>
      </c>
      <c r="F1164" s="3">
        <v>35.94</v>
      </c>
      <c r="G1164" s="3">
        <v>657.9</v>
      </c>
      <c r="H1164" s="3">
        <v>7.1340000000000003</v>
      </c>
      <c r="I1164" s="13">
        <f t="shared" si="19"/>
        <v>2.3305509181969999</v>
      </c>
    </row>
    <row r="1165" spans="2:9">
      <c r="C1165" s="3">
        <v>2.7149999999999999</v>
      </c>
      <c r="D1165" s="21">
        <v>190.4</v>
      </c>
      <c r="E1165" s="3">
        <v>84</v>
      </c>
      <c r="F1165" s="3">
        <v>35.880000000000003</v>
      </c>
      <c r="G1165" s="3">
        <v>658.9</v>
      </c>
      <c r="H1165" s="3">
        <v>6.34</v>
      </c>
      <c r="I1165" s="13">
        <f t="shared" si="19"/>
        <v>2.3411371237458201</v>
      </c>
    </row>
    <row r="1166" spans="2:9">
      <c r="C1166" s="3">
        <v>2.698</v>
      </c>
      <c r="D1166" s="21">
        <v>196.5</v>
      </c>
      <c r="E1166" s="3">
        <v>84.33</v>
      </c>
      <c r="F1166" s="3">
        <v>36.130000000000003</v>
      </c>
      <c r="G1166" s="3">
        <v>658.4</v>
      </c>
      <c r="H1166" s="3">
        <v>6.327</v>
      </c>
      <c r="I1166" s="13">
        <f t="shared" si="19"/>
        <v>2.3340714088015502</v>
      </c>
    </row>
    <row r="1167" spans="2:9">
      <c r="C1167" s="3">
        <v>2.6619999999999999</v>
      </c>
      <c r="D1167" s="21">
        <v>201.1</v>
      </c>
      <c r="E1167" s="3">
        <v>84.36</v>
      </c>
      <c r="F1167" s="3">
        <v>35.33</v>
      </c>
      <c r="G1167" s="3">
        <v>657.2</v>
      </c>
      <c r="H1167" s="3">
        <v>6.6239999999999997</v>
      </c>
      <c r="I1167" s="13">
        <f t="shared" si="19"/>
        <v>2.3877724313614501</v>
      </c>
    </row>
    <row r="1168" spans="2:9">
      <c r="C1168" s="3">
        <v>2.5920000000000001</v>
      </c>
      <c r="D1168" s="21">
        <v>204.1</v>
      </c>
      <c r="E1168" s="3">
        <v>84.37</v>
      </c>
      <c r="F1168" s="3">
        <v>36.04</v>
      </c>
      <c r="G1168" s="3">
        <v>656.9</v>
      </c>
      <c r="H1168" s="3">
        <v>6.73</v>
      </c>
      <c r="I1168" s="13">
        <f t="shared" si="19"/>
        <v>2.3410099889012201</v>
      </c>
    </row>
    <row r="1169" spans="2:9">
      <c r="C1169" s="3">
        <v>2.6619999999999999</v>
      </c>
      <c r="D1169" s="21">
        <v>208.7</v>
      </c>
      <c r="E1169" s="3">
        <v>84.87</v>
      </c>
      <c r="F1169" s="3">
        <v>36.28</v>
      </c>
      <c r="G1169" s="3">
        <v>657</v>
      </c>
      <c r="H1169" s="3">
        <v>6.7279999999999998</v>
      </c>
      <c r="I1169" s="13">
        <f t="shared" si="19"/>
        <v>2.3393054024255799</v>
      </c>
    </row>
    <row r="1170" spans="2:9">
      <c r="C1170" s="3">
        <v>2.605</v>
      </c>
      <c r="D1170" s="21">
        <v>221.6</v>
      </c>
      <c r="E1170" s="3">
        <v>84.53</v>
      </c>
      <c r="F1170" s="3">
        <v>36.69</v>
      </c>
      <c r="G1170" s="3">
        <v>659.1</v>
      </c>
      <c r="H1170" s="3">
        <v>6.75</v>
      </c>
      <c r="I1170" s="13">
        <f t="shared" si="19"/>
        <v>2.3038975197601501</v>
      </c>
    </row>
    <row r="1171" spans="2:9">
      <c r="C1171" s="3">
        <v>2.5489999999999999</v>
      </c>
      <c r="D1171" s="21">
        <v>204.1</v>
      </c>
      <c r="E1171" s="3">
        <v>84.27</v>
      </c>
      <c r="F1171" s="3">
        <v>36.28</v>
      </c>
      <c r="G1171" s="3">
        <v>660.4</v>
      </c>
      <c r="H1171" s="3">
        <v>6.8090000000000002</v>
      </c>
      <c r="I1171" s="13">
        <f t="shared" si="19"/>
        <v>2.3227673649393599</v>
      </c>
    </row>
    <row r="1172" spans="2:9">
      <c r="C1172" s="3">
        <v>2.508</v>
      </c>
      <c r="D1172" s="21">
        <v>200.4</v>
      </c>
      <c r="E1172" s="3">
        <v>83.85</v>
      </c>
      <c r="F1172" s="3">
        <v>35.979999999999997</v>
      </c>
      <c r="G1172" s="3">
        <v>658.4</v>
      </c>
      <c r="H1172" s="3">
        <v>6.72</v>
      </c>
      <c r="I1172" s="13">
        <f t="shared" si="19"/>
        <v>2.3304613674263499</v>
      </c>
    </row>
    <row r="1173" spans="2:9">
      <c r="C1173" s="3">
        <v>2.5739999999999998</v>
      </c>
      <c r="D1173" s="21">
        <v>198.4</v>
      </c>
      <c r="E1173" s="3">
        <v>84.43</v>
      </c>
      <c r="F1173" s="3">
        <v>36.18</v>
      </c>
      <c r="G1173" s="3">
        <v>657.6</v>
      </c>
      <c r="H1173" s="3">
        <v>6.69</v>
      </c>
      <c r="I1173" s="13">
        <f t="shared" si="19"/>
        <v>2.3336097291321201</v>
      </c>
    </row>
    <row r="1174" spans="2:9">
      <c r="C1174" s="3">
        <v>2.5259999999999998</v>
      </c>
      <c r="D1174" s="21">
        <v>195.5</v>
      </c>
      <c r="E1174" s="3">
        <v>84.29</v>
      </c>
      <c r="F1174" s="3">
        <v>36.229999999999997</v>
      </c>
      <c r="G1174" s="3">
        <v>657</v>
      </c>
      <c r="H1174" s="3">
        <v>6.9409999999999998</v>
      </c>
      <c r="I1174" s="13">
        <f t="shared" si="19"/>
        <v>2.3265249792989202</v>
      </c>
    </row>
    <row r="1175" spans="2:9">
      <c r="C1175" s="3">
        <v>2.5049999999999999</v>
      </c>
      <c r="D1175" s="21">
        <v>194.2</v>
      </c>
      <c r="E1175" s="3">
        <v>84.32</v>
      </c>
      <c r="F1175" s="3">
        <v>35.979999999999997</v>
      </c>
      <c r="G1175" s="3">
        <v>657.5</v>
      </c>
      <c r="H1175" s="3">
        <v>6.6</v>
      </c>
      <c r="I1175" s="13">
        <f t="shared" si="19"/>
        <v>2.3435241801000601</v>
      </c>
    </row>
    <row r="1176" spans="2:9">
      <c r="C1176" s="3">
        <v>2.5299999999999998</v>
      </c>
      <c r="D1176" s="21">
        <v>187</v>
      </c>
      <c r="E1176" s="3">
        <v>84.19</v>
      </c>
      <c r="F1176" s="3">
        <v>36.200000000000003</v>
      </c>
      <c r="G1176" s="3">
        <v>658</v>
      </c>
      <c r="H1176" s="3">
        <v>6.7030000000000003</v>
      </c>
      <c r="I1176" s="13">
        <f t="shared" si="19"/>
        <v>2.3256906077348098</v>
      </c>
    </row>
    <row r="1177" spans="2:9">
      <c r="C1177" s="3">
        <v>2.5649999999999999</v>
      </c>
      <c r="D1177" s="21">
        <v>192.5</v>
      </c>
      <c r="E1177" s="3">
        <v>83.98</v>
      </c>
      <c r="F1177" s="3">
        <v>36.14</v>
      </c>
      <c r="G1177" s="3">
        <v>656.7</v>
      </c>
      <c r="H1177" s="3">
        <v>6.6040000000000001</v>
      </c>
      <c r="I1177" s="13">
        <f t="shared" si="19"/>
        <v>2.3237410071942399</v>
      </c>
    </row>
    <row r="1178" spans="2:9">
      <c r="C1178" s="3">
        <v>2.633</v>
      </c>
      <c r="D1178" s="21">
        <v>188.7</v>
      </c>
      <c r="E1178" s="3">
        <v>84.63</v>
      </c>
      <c r="F1178" s="3">
        <v>36.090000000000003</v>
      </c>
      <c r="G1178" s="3">
        <v>656.5</v>
      </c>
      <c r="H1178" s="3">
        <v>6.7510000000000003</v>
      </c>
      <c r="I1178" s="13">
        <f t="shared" si="19"/>
        <v>2.3449709060681601</v>
      </c>
    </row>
    <row r="1179" spans="2:9">
      <c r="C1179" s="3">
        <v>2.7149999999999999</v>
      </c>
      <c r="D1179" s="21">
        <v>206.1</v>
      </c>
      <c r="E1179" s="3">
        <v>84.15</v>
      </c>
      <c r="F1179" s="3">
        <v>35.72</v>
      </c>
      <c r="G1179" s="3">
        <v>655.9</v>
      </c>
      <c r="H1179" s="3">
        <v>6.5759999999999996</v>
      </c>
      <c r="I1179" s="13">
        <f t="shared" si="19"/>
        <v>2.35582306830907</v>
      </c>
    </row>
    <row r="1180" spans="2:9">
      <c r="C1180" s="3">
        <v>2.6339999999999999</v>
      </c>
      <c r="D1180" s="21">
        <v>220.7</v>
      </c>
      <c r="E1180" s="3">
        <v>84.77</v>
      </c>
      <c r="F1180" s="3">
        <v>36.06</v>
      </c>
      <c r="G1180" s="3">
        <v>657.2</v>
      </c>
      <c r="H1180" s="3">
        <v>6.5439999999999996</v>
      </c>
      <c r="I1180" s="13">
        <f t="shared" si="19"/>
        <v>2.3508042151968902</v>
      </c>
    </row>
    <row r="1181" spans="2:9">
      <c r="C1181" s="3">
        <v>2.698</v>
      </c>
      <c r="D1181" s="21">
        <v>185.2</v>
      </c>
      <c r="E1181" s="3">
        <v>83.98</v>
      </c>
      <c r="F1181" s="3">
        <v>36.04</v>
      </c>
      <c r="G1181" s="3">
        <v>658.4</v>
      </c>
      <c r="H1181" s="3">
        <v>6.7359999999999998</v>
      </c>
      <c r="I1181" s="13">
        <f t="shared" si="19"/>
        <v>2.3301886792452802</v>
      </c>
    </row>
    <row r="1182" spans="2:9">
      <c r="B1182" s="16">
        <v>60</v>
      </c>
      <c r="C1182" s="16">
        <v>2.8319999999999999</v>
      </c>
      <c r="D1182" s="29">
        <v>148.9</v>
      </c>
      <c r="E1182" s="16">
        <v>112.1</v>
      </c>
      <c r="F1182" s="16">
        <v>46.53</v>
      </c>
      <c r="G1182" s="16">
        <v>620.4</v>
      </c>
      <c r="H1182" s="16">
        <v>15</v>
      </c>
      <c r="I1182" s="13">
        <f t="shared" si="19"/>
        <v>2.4091983666451702</v>
      </c>
    </row>
    <row r="1183" spans="2:9">
      <c r="C1183" s="3">
        <v>2.8180000000000001</v>
      </c>
      <c r="D1183" s="21">
        <v>132.6</v>
      </c>
      <c r="E1183" s="3">
        <v>114.2</v>
      </c>
      <c r="F1183" s="3">
        <v>46.21</v>
      </c>
      <c r="G1183" s="3">
        <v>621.5</v>
      </c>
      <c r="H1183" s="3">
        <v>13.68</v>
      </c>
      <c r="I1183" s="13">
        <f t="shared" si="19"/>
        <v>2.4713265526942201</v>
      </c>
    </row>
    <row r="1184" spans="2:9">
      <c r="C1184" s="3">
        <v>2.8079999999999998</v>
      </c>
      <c r="D1184" s="21">
        <v>130.6</v>
      </c>
      <c r="E1184" s="3">
        <v>114.4</v>
      </c>
      <c r="F1184" s="3">
        <v>46.34</v>
      </c>
      <c r="G1184" s="3">
        <v>621.1</v>
      </c>
      <c r="H1184" s="3">
        <v>14.76</v>
      </c>
      <c r="I1184" s="13">
        <f t="shared" si="19"/>
        <v>2.4687095381959399</v>
      </c>
    </row>
    <row r="1185" spans="3:9">
      <c r="C1185" s="3">
        <v>2.8109999999999999</v>
      </c>
      <c r="D1185" s="21">
        <v>131.69999999999999</v>
      </c>
      <c r="E1185" s="3">
        <v>114.3</v>
      </c>
      <c r="F1185" s="3">
        <v>46.14</v>
      </c>
      <c r="G1185" s="3">
        <v>624.29999999999995</v>
      </c>
      <c r="H1185" s="3">
        <v>15.82</v>
      </c>
      <c r="I1185" s="13">
        <f t="shared" si="19"/>
        <v>2.4772431729518898</v>
      </c>
    </row>
    <row r="1186" spans="3:9">
      <c r="C1186" s="3">
        <v>2.81</v>
      </c>
      <c r="D1186" s="21">
        <v>142.5</v>
      </c>
      <c r="E1186" s="3">
        <v>114.2</v>
      </c>
      <c r="F1186" s="3">
        <v>45.99</v>
      </c>
      <c r="G1186" s="3">
        <v>623.6</v>
      </c>
      <c r="H1186" s="3">
        <v>13.96</v>
      </c>
      <c r="I1186" s="13">
        <f t="shared" si="19"/>
        <v>2.48314851054577</v>
      </c>
    </row>
    <row r="1187" spans="3:9">
      <c r="C1187" s="3">
        <v>2.8319999999999999</v>
      </c>
      <c r="D1187" s="21">
        <v>130.19999999999999</v>
      </c>
      <c r="E1187" s="3">
        <v>113.9</v>
      </c>
      <c r="F1187" s="3">
        <v>46.12</v>
      </c>
      <c r="G1187" s="3">
        <v>623.70000000000005</v>
      </c>
      <c r="H1187" s="3">
        <v>13.5</v>
      </c>
      <c r="I1187" s="13">
        <f t="shared" si="19"/>
        <v>2.4696444058976601</v>
      </c>
    </row>
    <row r="1188" spans="3:9">
      <c r="C1188" s="3">
        <v>2.8340000000000001</v>
      </c>
      <c r="D1188" s="21">
        <v>160.19999999999999</v>
      </c>
      <c r="E1188" s="3">
        <v>113.8</v>
      </c>
      <c r="F1188" s="3">
        <v>45.76</v>
      </c>
      <c r="G1188" s="3">
        <v>622.20000000000005</v>
      </c>
      <c r="H1188" s="3">
        <v>13.68</v>
      </c>
      <c r="I1188" s="13">
        <f t="shared" si="19"/>
        <v>2.4868881118881099</v>
      </c>
    </row>
    <row r="1189" spans="3:9">
      <c r="C1189" s="3">
        <v>2.8319999999999999</v>
      </c>
      <c r="D1189" s="21">
        <v>155</v>
      </c>
      <c r="E1189" s="3">
        <v>114.1</v>
      </c>
      <c r="F1189" s="3">
        <v>45.92</v>
      </c>
      <c r="G1189" s="3">
        <v>622</v>
      </c>
      <c r="H1189" s="3">
        <v>14.84</v>
      </c>
      <c r="I1189" s="13">
        <f t="shared" si="19"/>
        <v>2.4847560975609801</v>
      </c>
    </row>
    <row r="1190" spans="3:9">
      <c r="C1190" s="3">
        <v>2.8479999999999999</v>
      </c>
      <c r="D1190" s="21">
        <v>131.69999999999999</v>
      </c>
      <c r="E1190" s="3">
        <v>114.4</v>
      </c>
      <c r="F1190" s="3">
        <v>46.3</v>
      </c>
      <c r="G1190" s="3">
        <v>621.79999999999995</v>
      </c>
      <c r="H1190" s="3">
        <v>15.85</v>
      </c>
      <c r="I1190" s="13">
        <f t="shared" si="19"/>
        <v>2.4708423326133899</v>
      </c>
    </row>
    <row r="1191" spans="3:9">
      <c r="C1191" s="3">
        <v>2.835</v>
      </c>
      <c r="D1191" s="21">
        <v>142.5</v>
      </c>
      <c r="E1191" s="3">
        <v>114.5</v>
      </c>
      <c r="F1191" s="3">
        <v>45.96</v>
      </c>
      <c r="G1191" s="3">
        <v>624.6</v>
      </c>
      <c r="H1191" s="3">
        <v>16.170000000000002</v>
      </c>
      <c r="I1191" s="13">
        <f t="shared" si="19"/>
        <v>2.4912967798085299</v>
      </c>
    </row>
    <row r="1192" spans="3:9">
      <c r="C1192" s="3">
        <v>2.802</v>
      </c>
      <c r="D1192" s="21">
        <v>153.19999999999999</v>
      </c>
      <c r="E1192" s="3">
        <v>114.1</v>
      </c>
      <c r="F1192" s="3">
        <v>46.07</v>
      </c>
      <c r="G1192" s="3">
        <v>623.70000000000005</v>
      </c>
      <c r="H1192" s="3">
        <v>18.36</v>
      </c>
      <c r="I1192" s="13">
        <f t="shared" si="19"/>
        <v>2.47666594313002</v>
      </c>
    </row>
    <row r="1193" spans="3:9">
      <c r="C1193" s="3">
        <v>2.798</v>
      </c>
      <c r="D1193" s="21">
        <v>150.1</v>
      </c>
      <c r="E1193" s="3">
        <v>113.7</v>
      </c>
      <c r="F1193" s="3">
        <v>46</v>
      </c>
      <c r="G1193" s="3">
        <v>623.6</v>
      </c>
      <c r="H1193" s="3">
        <v>15.51</v>
      </c>
      <c r="I1193" s="13">
        <f t="shared" si="19"/>
        <v>2.4717391304347802</v>
      </c>
    </row>
    <row r="1194" spans="3:9">
      <c r="C1194" s="3">
        <v>2.8029999999999999</v>
      </c>
      <c r="D1194" s="21">
        <v>132.19999999999999</v>
      </c>
      <c r="E1194" s="3">
        <v>113.6</v>
      </c>
      <c r="F1194" s="3">
        <v>46.33</v>
      </c>
      <c r="G1194" s="3">
        <v>625.79999999999995</v>
      </c>
      <c r="H1194" s="3">
        <v>15.09</v>
      </c>
      <c r="I1194" s="13">
        <f t="shared" si="19"/>
        <v>2.4519749622275002</v>
      </c>
    </row>
    <row r="1195" spans="3:9">
      <c r="C1195" s="3">
        <v>2.839</v>
      </c>
      <c r="D1195" s="21">
        <v>135.69999999999999</v>
      </c>
      <c r="E1195" s="3">
        <v>114.1</v>
      </c>
      <c r="F1195" s="3">
        <v>46.18</v>
      </c>
      <c r="G1195" s="3">
        <v>624.5</v>
      </c>
      <c r="H1195" s="3">
        <v>14.77</v>
      </c>
      <c r="I1195" s="13">
        <f t="shared" si="19"/>
        <v>2.4707665656128199</v>
      </c>
    </row>
    <row r="1196" spans="3:9">
      <c r="C1196" s="3">
        <v>2.8490000000000002</v>
      </c>
      <c r="D1196" s="21">
        <v>148.30000000000001</v>
      </c>
      <c r="E1196" s="3">
        <v>113.6</v>
      </c>
      <c r="F1196" s="3">
        <v>46.26</v>
      </c>
      <c r="G1196" s="3">
        <v>623.29999999999995</v>
      </c>
      <c r="H1196" s="3">
        <v>14.71</v>
      </c>
      <c r="I1196" s="13">
        <f t="shared" si="19"/>
        <v>2.4556852572416799</v>
      </c>
    </row>
    <row r="1197" spans="3:9">
      <c r="C1197" s="3">
        <v>2.8180000000000001</v>
      </c>
      <c r="D1197" s="21">
        <v>167.2</v>
      </c>
      <c r="E1197" s="3">
        <v>114</v>
      </c>
      <c r="F1197" s="3">
        <v>46.16</v>
      </c>
      <c r="G1197" s="3">
        <v>621.6</v>
      </c>
      <c r="H1197" s="3">
        <v>15.9</v>
      </c>
      <c r="I1197" s="13">
        <f t="shared" si="19"/>
        <v>2.4696707105719198</v>
      </c>
    </row>
    <row r="1198" spans="3:9">
      <c r="C1198" s="3">
        <v>2.8220000000000001</v>
      </c>
      <c r="D1198" s="21">
        <v>130.5</v>
      </c>
      <c r="E1198" s="3">
        <v>113.8</v>
      </c>
      <c r="F1198" s="3">
        <v>46.07</v>
      </c>
      <c r="G1198" s="3">
        <v>620.1</v>
      </c>
      <c r="H1198" s="3">
        <v>15.48</v>
      </c>
      <c r="I1198" s="13">
        <f t="shared" si="19"/>
        <v>2.4701541133058398</v>
      </c>
    </row>
    <row r="1199" spans="3:9">
      <c r="C1199" s="3">
        <v>2.8330000000000002</v>
      </c>
      <c r="D1199" s="21">
        <v>130.19999999999999</v>
      </c>
      <c r="E1199" s="3">
        <v>114.7</v>
      </c>
      <c r="F1199" s="3">
        <v>46.22</v>
      </c>
      <c r="G1199" s="3">
        <v>621.6</v>
      </c>
      <c r="H1199" s="3">
        <v>17.12</v>
      </c>
      <c r="I1199" s="13">
        <f t="shared" si="19"/>
        <v>2.4816096927736901</v>
      </c>
    </row>
    <row r="1200" spans="3:9">
      <c r="C1200" s="3">
        <v>2.84</v>
      </c>
      <c r="D1200" s="21">
        <v>148.9</v>
      </c>
      <c r="E1200" s="3">
        <v>114.6</v>
      </c>
      <c r="F1200" s="3">
        <v>46.3</v>
      </c>
      <c r="G1200" s="3">
        <v>624.29999999999995</v>
      </c>
      <c r="H1200" s="3">
        <v>16.37</v>
      </c>
      <c r="I1200" s="13">
        <f t="shared" si="19"/>
        <v>2.47516198704104</v>
      </c>
    </row>
    <row r="1201" spans="2:9">
      <c r="C1201" s="3">
        <v>2.819</v>
      </c>
      <c r="D1201" s="21">
        <v>135.69999999999999</v>
      </c>
      <c r="E1201" s="3">
        <v>114.2</v>
      </c>
      <c r="F1201" s="3">
        <v>45.88</v>
      </c>
      <c r="G1201" s="3">
        <v>622.20000000000005</v>
      </c>
      <c r="H1201" s="3">
        <v>15.65</v>
      </c>
      <c r="I1201" s="13">
        <f t="shared" si="19"/>
        <v>2.48910200523104</v>
      </c>
    </row>
    <row r="1202" spans="2:9">
      <c r="B1202" s="16">
        <v>61</v>
      </c>
      <c r="C1202" s="16">
        <v>3.355</v>
      </c>
      <c r="D1202" s="29">
        <v>181.55</v>
      </c>
      <c r="E1202" s="16">
        <v>79.36</v>
      </c>
      <c r="F1202" s="16">
        <v>36.54</v>
      </c>
      <c r="G1202" s="16">
        <v>687</v>
      </c>
      <c r="H1202" s="16">
        <v>4.9029999999999996</v>
      </c>
      <c r="I1202" s="13">
        <f t="shared" si="19"/>
        <v>2.1718664477285201</v>
      </c>
    </row>
    <row r="1203" spans="2:9">
      <c r="C1203" s="3">
        <v>3.3540000000000001</v>
      </c>
      <c r="D1203" s="21">
        <v>181.31</v>
      </c>
      <c r="E1203" s="3">
        <v>80.239999999999995</v>
      </c>
      <c r="F1203" s="3">
        <v>36.659999999999997</v>
      </c>
      <c r="G1203" s="3">
        <v>697.3</v>
      </c>
      <c r="H1203" s="3">
        <v>5.1139999999999999</v>
      </c>
      <c r="I1203" s="13">
        <f t="shared" si="19"/>
        <v>2.1887615930169102</v>
      </c>
    </row>
    <row r="1204" spans="2:9">
      <c r="C1204" s="3">
        <v>3.35</v>
      </c>
      <c r="D1204" s="21">
        <v>187.06</v>
      </c>
      <c r="E1204" s="3">
        <v>79.89</v>
      </c>
      <c r="F1204" s="3">
        <v>35.409999999999997</v>
      </c>
      <c r="G1204" s="3">
        <v>689</v>
      </c>
      <c r="H1204" s="3">
        <v>5.9050000000000002</v>
      </c>
      <c r="I1204" s="13">
        <f t="shared" si="19"/>
        <v>2.2561423326743899</v>
      </c>
    </row>
    <row r="1205" spans="2:9">
      <c r="C1205" s="3">
        <v>3.3410000000000002</v>
      </c>
      <c r="D1205" s="21">
        <v>189.84</v>
      </c>
      <c r="E1205" s="3">
        <v>79.84</v>
      </c>
      <c r="F1205" s="3">
        <v>35.86</v>
      </c>
      <c r="G1205" s="3">
        <v>688.9</v>
      </c>
      <c r="H1205" s="3">
        <v>5.1420000000000003</v>
      </c>
      <c r="I1205" s="13">
        <f t="shared" si="19"/>
        <v>2.22643614054657</v>
      </c>
    </row>
    <row r="1206" spans="2:9">
      <c r="C1206" s="3">
        <v>3.3359999999999999</v>
      </c>
      <c r="D1206" s="21">
        <v>186.6</v>
      </c>
      <c r="E1206" s="3">
        <v>78.599999999999994</v>
      </c>
      <c r="F1206" s="3">
        <v>35.76</v>
      </c>
      <c r="G1206" s="3">
        <v>691.3</v>
      </c>
      <c r="H1206" s="3">
        <v>4.8609999999999998</v>
      </c>
      <c r="I1206" s="13">
        <f t="shared" si="19"/>
        <v>2.1979865771812102</v>
      </c>
    </row>
    <row r="1207" spans="2:9">
      <c r="C1207" s="3">
        <v>3.28</v>
      </c>
      <c r="D1207" s="21">
        <v>205.9</v>
      </c>
      <c r="E1207" s="3">
        <v>79.56</v>
      </c>
      <c r="F1207" s="3">
        <v>35.21</v>
      </c>
      <c r="G1207" s="3">
        <v>695.4</v>
      </c>
      <c r="H1207" s="3">
        <v>4.7300000000000004</v>
      </c>
      <c r="I1207" s="13">
        <f t="shared" si="19"/>
        <v>2.2595853450724199</v>
      </c>
    </row>
    <row r="1208" spans="2:9">
      <c r="C1208" s="3">
        <v>3.3359999999999999</v>
      </c>
      <c r="D1208" s="21">
        <v>202.38</v>
      </c>
      <c r="E1208" s="3">
        <v>79.680000000000007</v>
      </c>
      <c r="F1208" s="3">
        <v>35.25</v>
      </c>
      <c r="G1208" s="3">
        <v>697.6</v>
      </c>
      <c r="H1208" s="3">
        <v>4.9029999999999996</v>
      </c>
      <c r="I1208" s="13">
        <f t="shared" si="19"/>
        <v>2.26042553191489</v>
      </c>
    </row>
    <row r="1209" spans="2:9">
      <c r="C1209" s="3">
        <v>3.3780000000000001</v>
      </c>
      <c r="D1209" s="21">
        <v>199.07</v>
      </c>
      <c r="E1209" s="3">
        <v>80</v>
      </c>
      <c r="F1209" s="3">
        <v>35.46</v>
      </c>
      <c r="G1209" s="3">
        <v>677.7</v>
      </c>
      <c r="H1209" s="3">
        <v>5.1130000000000004</v>
      </c>
      <c r="I1209" s="13">
        <f t="shared" si="19"/>
        <v>2.2560631697687499</v>
      </c>
    </row>
    <row r="1210" spans="2:9">
      <c r="C1210" s="3">
        <v>3.3940000000000001</v>
      </c>
      <c r="D1210" s="21">
        <v>207.06</v>
      </c>
      <c r="E1210" s="3">
        <v>80.05</v>
      </c>
      <c r="F1210" s="3">
        <v>35.44</v>
      </c>
      <c r="G1210" s="3">
        <v>697.4</v>
      </c>
      <c r="H1210" s="3">
        <v>5.9770000000000003</v>
      </c>
      <c r="I1210" s="13">
        <f t="shared" si="19"/>
        <v>2.2587471783295698</v>
      </c>
    </row>
    <row r="1211" spans="2:9">
      <c r="C1211" s="3">
        <v>3.3929999999999998</v>
      </c>
      <c r="D1211" s="21">
        <v>202.23</v>
      </c>
      <c r="E1211" s="3">
        <v>79.930000000000007</v>
      </c>
      <c r="F1211" s="3">
        <v>35.159999999999997</v>
      </c>
      <c r="G1211" s="3">
        <v>696.6</v>
      </c>
      <c r="H1211" s="3">
        <v>6.5659999999999998</v>
      </c>
      <c r="I1211" s="13">
        <f t="shared" si="19"/>
        <v>2.2733219567690601</v>
      </c>
    </row>
    <row r="1212" spans="2:9">
      <c r="C1212" s="3">
        <v>3.3450000000000002</v>
      </c>
      <c r="D1212" s="21">
        <v>191.69</v>
      </c>
      <c r="E1212" s="3">
        <v>79.81</v>
      </c>
      <c r="F1212" s="3">
        <v>34.630000000000003</v>
      </c>
      <c r="G1212" s="3">
        <v>702.6</v>
      </c>
      <c r="H1212" s="3">
        <v>6.3959999999999999</v>
      </c>
      <c r="I1212" s="13">
        <f t="shared" si="19"/>
        <v>2.3046491481374498</v>
      </c>
    </row>
    <row r="1213" spans="2:9">
      <c r="C1213" s="3">
        <v>3.3959999999999999</v>
      </c>
      <c r="D1213" s="21">
        <v>187.03</v>
      </c>
      <c r="E1213" s="3">
        <v>79.88</v>
      </c>
      <c r="F1213" s="3">
        <v>35.46</v>
      </c>
      <c r="G1213" s="3">
        <v>691.8</v>
      </c>
      <c r="H1213" s="3">
        <v>4.7</v>
      </c>
      <c r="I1213" s="13">
        <f t="shared" si="19"/>
        <v>2.2526790750140999</v>
      </c>
    </row>
    <row r="1214" spans="2:9">
      <c r="C1214" s="3">
        <v>3.38</v>
      </c>
      <c r="D1214" s="21">
        <v>181.55</v>
      </c>
      <c r="E1214" s="3">
        <v>79.77</v>
      </c>
      <c r="F1214" s="3">
        <v>34.89</v>
      </c>
      <c r="G1214" s="3">
        <v>679</v>
      </c>
      <c r="H1214" s="3">
        <v>4.8339999999999996</v>
      </c>
      <c r="I1214" s="13">
        <f t="shared" si="19"/>
        <v>2.2863284608770398</v>
      </c>
    </row>
    <row r="1215" spans="2:9">
      <c r="C1215" s="3">
        <v>3.3559999999999999</v>
      </c>
      <c r="D1215" s="21">
        <v>188.51</v>
      </c>
      <c r="E1215" s="3">
        <v>80.09</v>
      </c>
      <c r="F1215" s="3">
        <v>35.15</v>
      </c>
      <c r="G1215" s="3">
        <v>679.2</v>
      </c>
      <c r="H1215" s="3">
        <v>4.6040000000000001</v>
      </c>
      <c r="I1215" s="13">
        <f t="shared" si="19"/>
        <v>2.2785206258890498</v>
      </c>
    </row>
    <row r="1216" spans="2:9">
      <c r="C1216" s="3">
        <v>3.38</v>
      </c>
      <c r="D1216" s="21">
        <v>202.38</v>
      </c>
      <c r="E1216" s="3">
        <v>80.08</v>
      </c>
      <c r="F1216" s="3">
        <v>35.36</v>
      </c>
      <c r="G1216" s="3">
        <v>680.7</v>
      </c>
      <c r="H1216" s="3">
        <v>5.3490000000000002</v>
      </c>
      <c r="I1216" s="13">
        <f t="shared" si="19"/>
        <v>2.2647058823529398</v>
      </c>
    </row>
    <row r="1217" spans="2:9">
      <c r="C1217" s="3">
        <v>3.28</v>
      </c>
      <c r="D1217" s="21">
        <v>205.9</v>
      </c>
      <c r="E1217" s="3">
        <v>79.599999999999994</v>
      </c>
      <c r="F1217" s="3">
        <v>35.340000000000003</v>
      </c>
      <c r="G1217" s="3">
        <v>682.8</v>
      </c>
      <c r="H1217" s="3">
        <v>5.4119999999999999</v>
      </c>
      <c r="I1217" s="13">
        <f t="shared" si="19"/>
        <v>2.2524052065647999</v>
      </c>
    </row>
    <row r="1218" spans="2:9">
      <c r="C1218" s="3">
        <v>3.3359999999999999</v>
      </c>
      <c r="D1218" s="21">
        <v>189.84</v>
      </c>
      <c r="E1218" s="3">
        <v>79.77</v>
      </c>
      <c r="F1218" s="3">
        <v>35.36</v>
      </c>
      <c r="G1218" s="3">
        <v>691.3</v>
      </c>
      <c r="H1218" s="3">
        <v>5.4269999999999996</v>
      </c>
      <c r="I1218" s="13">
        <f t="shared" si="19"/>
        <v>2.25593891402715</v>
      </c>
    </row>
    <row r="1219" spans="2:9">
      <c r="C1219" s="3">
        <v>3.3410000000000002</v>
      </c>
      <c r="D1219" s="21">
        <v>207.06</v>
      </c>
      <c r="E1219" s="3">
        <v>80.2</v>
      </c>
      <c r="F1219" s="3">
        <v>35.01</v>
      </c>
      <c r="G1219" s="3">
        <v>699.8</v>
      </c>
      <c r="H1219" s="3">
        <v>6</v>
      </c>
      <c r="I1219" s="13">
        <f t="shared" ref="I1219:I1282" si="20">E1219/F1219</f>
        <v>2.2907740645529802</v>
      </c>
    </row>
    <row r="1220" spans="2:9">
      <c r="C1220" s="3">
        <v>3.3759999999999999</v>
      </c>
      <c r="D1220" s="21">
        <v>191.69</v>
      </c>
      <c r="E1220" s="3">
        <v>80.14</v>
      </c>
      <c r="F1220" s="3">
        <v>35.28</v>
      </c>
      <c r="G1220" s="3">
        <v>697.3</v>
      </c>
      <c r="H1220" s="3">
        <v>6.6840000000000002</v>
      </c>
      <c r="I1220" s="13">
        <f t="shared" si="20"/>
        <v>2.27154195011338</v>
      </c>
    </row>
    <row r="1221" spans="2:9">
      <c r="C1221" s="3">
        <v>3.399</v>
      </c>
      <c r="D1221" s="21">
        <v>205.9</v>
      </c>
      <c r="E1221" s="3">
        <v>79.69</v>
      </c>
      <c r="F1221" s="3">
        <v>35.130000000000003</v>
      </c>
      <c r="G1221" s="3">
        <v>691.8</v>
      </c>
      <c r="H1221" s="3">
        <v>5.4390000000000001</v>
      </c>
      <c r="I1221" s="13">
        <f t="shared" si="20"/>
        <v>2.2684315399943098</v>
      </c>
    </row>
    <row r="1222" spans="2:9">
      <c r="B1222" s="16">
        <v>62</v>
      </c>
      <c r="C1222" s="16">
        <v>1.4339999999999999</v>
      </c>
      <c r="D1222" s="29">
        <v>177.33</v>
      </c>
      <c r="E1222" s="16">
        <v>95.68</v>
      </c>
      <c r="F1222" s="16">
        <v>38.270000000000003</v>
      </c>
      <c r="G1222" s="16">
        <v>581.4</v>
      </c>
      <c r="H1222" s="16">
        <v>7.6660000000000004</v>
      </c>
      <c r="I1222" s="13">
        <f t="shared" si="20"/>
        <v>2.5001306506401901</v>
      </c>
    </row>
    <row r="1223" spans="2:9">
      <c r="C1223" s="3">
        <v>1.4410000000000001</v>
      </c>
      <c r="D1223" s="21">
        <v>179.03</v>
      </c>
      <c r="E1223" s="3">
        <v>95.9</v>
      </c>
      <c r="F1223" s="3">
        <v>38.07</v>
      </c>
      <c r="G1223" s="3">
        <v>580.6</v>
      </c>
      <c r="H1223" s="3">
        <v>7.5750000000000002</v>
      </c>
      <c r="I1223" s="13">
        <f t="shared" si="20"/>
        <v>2.5190438665616002</v>
      </c>
    </row>
    <row r="1224" spans="2:9">
      <c r="C1224" s="3">
        <v>1.3919999999999999</v>
      </c>
      <c r="D1224" s="21">
        <v>182.59</v>
      </c>
      <c r="E1224" s="3">
        <v>96.52</v>
      </c>
      <c r="F1224" s="3">
        <v>37.68</v>
      </c>
      <c r="G1224" s="3">
        <v>583.5</v>
      </c>
      <c r="H1224" s="3">
        <v>7.9</v>
      </c>
      <c r="I1224" s="13">
        <f t="shared" si="20"/>
        <v>2.5615711252653899</v>
      </c>
    </row>
    <row r="1225" spans="2:9">
      <c r="C1225" s="3">
        <v>1.2709999999999999</v>
      </c>
      <c r="D1225" s="21">
        <v>185.28</v>
      </c>
      <c r="E1225" s="3">
        <v>95.89</v>
      </c>
      <c r="F1225" s="3">
        <v>37.659999999999997</v>
      </c>
      <c r="G1225" s="3">
        <v>582.29999999999995</v>
      </c>
      <c r="H1225" s="3">
        <v>7.8780000000000001</v>
      </c>
      <c r="I1225" s="13">
        <f t="shared" si="20"/>
        <v>2.5462028677642099</v>
      </c>
    </row>
    <row r="1226" spans="2:9">
      <c r="C1226" s="3">
        <v>1.4039999999999999</v>
      </c>
      <c r="D1226" s="21">
        <v>190.29</v>
      </c>
      <c r="E1226" s="3">
        <v>96.09</v>
      </c>
      <c r="F1226" s="3">
        <v>37.869999999999997</v>
      </c>
      <c r="G1226" s="3">
        <v>584.6</v>
      </c>
      <c r="H1226" s="3">
        <v>7.3769999999999998</v>
      </c>
      <c r="I1226" s="13">
        <f t="shared" si="20"/>
        <v>2.5373646686031202</v>
      </c>
    </row>
    <row r="1227" spans="2:9">
      <c r="C1227" s="3">
        <v>1.198</v>
      </c>
      <c r="D1227" s="21">
        <v>186.96</v>
      </c>
      <c r="E1227" s="3">
        <v>96.5</v>
      </c>
      <c r="F1227" s="3">
        <v>37.89</v>
      </c>
      <c r="G1227" s="3">
        <v>584.4</v>
      </c>
      <c r="H1227" s="3">
        <v>8.1180000000000003</v>
      </c>
      <c r="I1227" s="13">
        <f t="shared" si="20"/>
        <v>2.5468461335444701</v>
      </c>
    </row>
    <row r="1228" spans="2:9">
      <c r="C1228" s="3">
        <v>1.575</v>
      </c>
      <c r="D1228" s="21">
        <v>179.77</v>
      </c>
      <c r="E1228" s="3">
        <v>96.31</v>
      </c>
      <c r="F1228" s="3">
        <v>37.869999999999997</v>
      </c>
      <c r="G1228" s="3">
        <v>584.5</v>
      </c>
      <c r="H1228" s="3">
        <v>8.702</v>
      </c>
      <c r="I1228" s="13">
        <f t="shared" si="20"/>
        <v>2.5431740163718</v>
      </c>
    </row>
    <row r="1229" spans="2:9">
      <c r="C1229" s="3">
        <v>1.5389999999999999</v>
      </c>
      <c r="D1229" s="21">
        <v>179.49</v>
      </c>
      <c r="E1229" s="3">
        <v>96.52</v>
      </c>
      <c r="F1229" s="3">
        <v>38.28</v>
      </c>
      <c r="G1229" s="3">
        <v>586.4</v>
      </c>
      <c r="H1229" s="3">
        <v>9.0440000000000005</v>
      </c>
      <c r="I1229" s="13">
        <f t="shared" si="20"/>
        <v>2.521421107628</v>
      </c>
    </row>
    <row r="1230" spans="2:9">
      <c r="C1230" s="3">
        <v>1.577</v>
      </c>
      <c r="D1230" s="21">
        <v>185.21</v>
      </c>
      <c r="E1230" s="3">
        <v>95.7</v>
      </c>
      <c r="F1230" s="3">
        <v>38.08</v>
      </c>
      <c r="G1230" s="3">
        <v>589.9</v>
      </c>
      <c r="H1230" s="3">
        <v>9.0359999999999996</v>
      </c>
      <c r="I1230" s="13">
        <f t="shared" si="20"/>
        <v>2.5131302521008401</v>
      </c>
    </row>
    <row r="1231" spans="2:9">
      <c r="C1231" s="3">
        <v>1.5649999999999999</v>
      </c>
      <c r="D1231" s="21">
        <v>182.97</v>
      </c>
      <c r="E1231" s="3">
        <v>96.13</v>
      </c>
      <c r="F1231" s="3">
        <v>38.090000000000003</v>
      </c>
      <c r="G1231" s="3">
        <v>589.4</v>
      </c>
      <c r="H1231" s="3">
        <v>9.0640000000000001</v>
      </c>
      <c r="I1231" s="13">
        <f t="shared" si="20"/>
        <v>2.52375951693358</v>
      </c>
    </row>
    <row r="1232" spans="2:9">
      <c r="C1232" s="3">
        <v>1.5489999999999999</v>
      </c>
      <c r="D1232" s="21">
        <v>189.07</v>
      </c>
      <c r="E1232" s="3">
        <v>95.93</v>
      </c>
      <c r="F1232" s="3">
        <v>38.5</v>
      </c>
      <c r="G1232" s="3">
        <v>584.70000000000005</v>
      </c>
      <c r="H1232" s="3">
        <v>8.5399999999999991</v>
      </c>
      <c r="I1232" s="13">
        <f t="shared" si="20"/>
        <v>2.4916883116883102</v>
      </c>
    </row>
    <row r="1233" spans="2:9">
      <c r="C1233" s="3">
        <v>1.3959999999999999</v>
      </c>
      <c r="D1233" s="21">
        <v>209.99</v>
      </c>
      <c r="E1233" s="3">
        <v>95.73</v>
      </c>
      <c r="F1233" s="3">
        <v>38.28</v>
      </c>
      <c r="G1233" s="3">
        <v>582.79999999999995</v>
      </c>
      <c r="H1233" s="3">
        <v>9.5530000000000008</v>
      </c>
      <c r="I1233" s="13">
        <f t="shared" si="20"/>
        <v>2.5007836990595602</v>
      </c>
    </row>
    <row r="1234" spans="2:9">
      <c r="C1234" s="3">
        <v>1.36</v>
      </c>
      <c r="D1234" s="21">
        <v>189.07</v>
      </c>
      <c r="E1234" s="3">
        <v>95.94</v>
      </c>
      <c r="F1234" s="3">
        <v>38.07</v>
      </c>
      <c r="G1234" s="3">
        <v>580.29999999999995</v>
      </c>
      <c r="H1234" s="3">
        <v>9.2119999999999997</v>
      </c>
      <c r="I1234" s="13">
        <f t="shared" si="20"/>
        <v>2.52009456264775</v>
      </c>
    </row>
    <row r="1235" spans="2:9">
      <c r="C1235" s="3">
        <v>1.446</v>
      </c>
      <c r="D1235" s="21">
        <v>185.21</v>
      </c>
      <c r="E1235" s="3">
        <v>96.57</v>
      </c>
      <c r="F1235" s="3">
        <v>38.090000000000003</v>
      </c>
      <c r="G1235" s="3">
        <v>579.6</v>
      </c>
      <c r="H1235" s="3">
        <v>8.8450000000000006</v>
      </c>
      <c r="I1235" s="13">
        <f t="shared" si="20"/>
        <v>2.5353111052769801</v>
      </c>
    </row>
    <row r="1236" spans="2:9">
      <c r="C1236" s="3">
        <v>1.5129999999999999</v>
      </c>
      <c r="D1236" s="21">
        <v>179.55</v>
      </c>
      <c r="E1236" s="3">
        <v>96.56</v>
      </c>
      <c r="F1236" s="3">
        <v>37.93</v>
      </c>
      <c r="G1236" s="3">
        <v>580.6</v>
      </c>
      <c r="H1236" s="3">
        <v>7.5709999999999997</v>
      </c>
      <c r="I1236" s="13">
        <f t="shared" si="20"/>
        <v>2.5457421566042702</v>
      </c>
    </row>
    <row r="1237" spans="2:9">
      <c r="C1237" s="3">
        <v>1.734</v>
      </c>
      <c r="D1237" s="21">
        <v>186.82</v>
      </c>
      <c r="E1237" s="3">
        <v>95.92</v>
      </c>
      <c r="F1237" s="3">
        <v>38.53</v>
      </c>
      <c r="G1237" s="3">
        <v>582.29999999999995</v>
      </c>
      <c r="H1237" s="3">
        <v>8.7789999999999999</v>
      </c>
      <c r="I1237" s="13">
        <f t="shared" si="20"/>
        <v>2.4894887100960301</v>
      </c>
    </row>
    <row r="1238" spans="2:9">
      <c r="C1238" s="3">
        <v>1.7150000000000001</v>
      </c>
      <c r="D1238" s="21">
        <v>206.92</v>
      </c>
      <c r="E1238" s="3">
        <v>96.59</v>
      </c>
      <c r="F1238" s="3">
        <v>38.31</v>
      </c>
      <c r="G1238" s="3">
        <v>585.20000000000005</v>
      </c>
      <c r="H1238" s="3">
        <v>9.5679999999999996</v>
      </c>
      <c r="I1238" s="13">
        <f t="shared" si="20"/>
        <v>2.5212738188462498</v>
      </c>
    </row>
    <row r="1239" spans="2:9">
      <c r="C1239" s="3">
        <v>1.694</v>
      </c>
      <c r="D1239" s="21">
        <v>191.3</v>
      </c>
      <c r="E1239" s="3">
        <v>95.95</v>
      </c>
      <c r="F1239" s="3">
        <v>38.1</v>
      </c>
      <c r="G1239" s="3">
        <v>587.4</v>
      </c>
      <c r="H1239" s="3">
        <v>7.431</v>
      </c>
      <c r="I1239" s="13">
        <f t="shared" si="20"/>
        <v>2.5183727034120702</v>
      </c>
    </row>
    <row r="1240" spans="2:9">
      <c r="C1240" s="3">
        <v>1.6240000000000001</v>
      </c>
      <c r="D1240" s="21">
        <v>179.53</v>
      </c>
      <c r="E1240" s="3">
        <v>95.93</v>
      </c>
      <c r="F1240" s="3">
        <v>37.9</v>
      </c>
      <c r="G1240" s="3">
        <v>586.9</v>
      </c>
      <c r="H1240" s="3">
        <v>7.4649999999999999</v>
      </c>
      <c r="I1240" s="13">
        <f t="shared" si="20"/>
        <v>2.5311345646437999</v>
      </c>
    </row>
    <row r="1241" spans="2:9">
      <c r="C1241" s="3">
        <v>1.4279999999999999</v>
      </c>
      <c r="D1241" s="21">
        <v>179.77</v>
      </c>
      <c r="E1241" s="3">
        <v>96.54</v>
      </c>
      <c r="F1241" s="3">
        <v>37.75</v>
      </c>
      <c r="G1241" s="3">
        <v>584.5</v>
      </c>
      <c r="H1241" s="3">
        <v>7.5510000000000002</v>
      </c>
      <c r="I1241" s="13">
        <f t="shared" si="20"/>
        <v>2.5573509933774798</v>
      </c>
    </row>
    <row r="1242" spans="2:9">
      <c r="B1242" s="16">
        <v>63</v>
      </c>
      <c r="C1242" s="16">
        <v>2.0830000000000002</v>
      </c>
      <c r="D1242" s="29">
        <v>151.4</v>
      </c>
      <c r="E1242" s="16">
        <v>110</v>
      </c>
      <c r="F1242" s="16">
        <v>26.04</v>
      </c>
      <c r="G1242" s="16">
        <v>646.20000000000005</v>
      </c>
      <c r="H1242" s="16">
        <v>7.2729999999999997</v>
      </c>
      <c r="I1242" s="13">
        <f t="shared" si="20"/>
        <v>4.22427035330261</v>
      </c>
    </row>
    <row r="1243" spans="2:9">
      <c r="C1243" s="3">
        <v>2.085</v>
      </c>
      <c r="D1243" s="21">
        <v>116.3</v>
      </c>
      <c r="E1243" s="3">
        <v>108.7</v>
      </c>
      <c r="F1243" s="3">
        <v>25.63</v>
      </c>
      <c r="G1243" s="3">
        <v>642.4</v>
      </c>
      <c r="H1243" s="3">
        <v>7.1349999999999998</v>
      </c>
      <c r="I1243" s="13">
        <f t="shared" si="20"/>
        <v>4.24112368318377</v>
      </c>
    </row>
    <row r="1244" spans="2:9">
      <c r="C1244" s="3">
        <v>2.0670000000000002</v>
      </c>
      <c r="D1244" s="21">
        <v>119.7</v>
      </c>
      <c r="E1244" s="3">
        <v>109</v>
      </c>
      <c r="F1244" s="3">
        <v>26.08</v>
      </c>
      <c r="G1244" s="3">
        <v>642.70000000000005</v>
      </c>
      <c r="H1244" s="3">
        <v>7.4729999999999999</v>
      </c>
      <c r="I1244" s="13">
        <f t="shared" si="20"/>
        <v>4.1794478527607399</v>
      </c>
    </row>
    <row r="1245" spans="2:9">
      <c r="C1245" s="3">
        <v>2.0430000000000001</v>
      </c>
      <c r="D1245" s="21">
        <v>120.3</v>
      </c>
      <c r="E1245" s="3">
        <v>109.4</v>
      </c>
      <c r="F1245" s="3">
        <v>26.24</v>
      </c>
      <c r="G1245" s="3">
        <v>643.5</v>
      </c>
      <c r="H1245" s="3">
        <v>8.0809999999999995</v>
      </c>
      <c r="I1245" s="13">
        <f t="shared" si="20"/>
        <v>4.1692073170731696</v>
      </c>
    </row>
    <row r="1246" spans="2:9">
      <c r="C1246" s="3">
        <v>2.0539999999999998</v>
      </c>
      <c r="D1246" s="21">
        <v>122.8</v>
      </c>
      <c r="E1246" s="3">
        <v>109.5</v>
      </c>
      <c r="F1246" s="3">
        <v>26.7</v>
      </c>
      <c r="G1246" s="3">
        <v>652.20000000000005</v>
      </c>
      <c r="H1246" s="3">
        <v>7.8609999999999998</v>
      </c>
      <c r="I1246" s="13">
        <f t="shared" si="20"/>
        <v>4.1011235955056202</v>
      </c>
    </row>
    <row r="1247" spans="2:9">
      <c r="C1247" s="3">
        <v>2.0659999999999998</v>
      </c>
      <c r="D1247" s="21">
        <v>121.7</v>
      </c>
      <c r="E1247" s="3">
        <v>109.8</v>
      </c>
      <c r="F1247" s="3">
        <v>26.84</v>
      </c>
      <c r="G1247" s="3">
        <v>650.29999999999995</v>
      </c>
      <c r="H1247" s="3">
        <v>8.3719999999999999</v>
      </c>
      <c r="I1247" s="13">
        <f t="shared" si="20"/>
        <v>4.0909090909090899</v>
      </c>
    </row>
    <row r="1248" spans="2:9">
      <c r="C1248" s="3">
        <v>2.0419999999999998</v>
      </c>
      <c r="D1248" s="21">
        <v>118.1</v>
      </c>
      <c r="E1248" s="3">
        <v>109.6</v>
      </c>
      <c r="F1248" s="3">
        <v>26.54</v>
      </c>
      <c r="G1248" s="3">
        <v>642.4</v>
      </c>
      <c r="H1248" s="3">
        <v>7.85</v>
      </c>
      <c r="I1248" s="13">
        <f t="shared" si="20"/>
        <v>4.1296156744536496</v>
      </c>
    </row>
    <row r="1249" spans="2:9">
      <c r="C1249" s="3">
        <v>2.0009999999999999</v>
      </c>
      <c r="D1249" s="21">
        <v>149.80000000000001</v>
      </c>
      <c r="E1249" s="3">
        <v>109.7</v>
      </c>
      <c r="F1249" s="3">
        <v>26.47</v>
      </c>
      <c r="G1249" s="3">
        <v>648.6</v>
      </c>
      <c r="H1249" s="3">
        <v>7.0970000000000004</v>
      </c>
      <c r="I1249" s="13">
        <f t="shared" si="20"/>
        <v>4.1443143180959598</v>
      </c>
    </row>
    <row r="1250" spans="2:9">
      <c r="C1250" s="3">
        <v>2.0270000000000001</v>
      </c>
      <c r="D1250" s="21">
        <v>119.7</v>
      </c>
      <c r="E1250" s="3">
        <v>109.5</v>
      </c>
      <c r="F1250" s="3">
        <v>26.54</v>
      </c>
      <c r="G1250" s="3">
        <v>654.70000000000005</v>
      </c>
      <c r="H1250" s="3">
        <v>6.9729999999999999</v>
      </c>
      <c r="I1250" s="13">
        <f t="shared" si="20"/>
        <v>4.1258477769404696</v>
      </c>
    </row>
    <row r="1251" spans="2:9">
      <c r="C1251" s="3">
        <v>2.0670000000000002</v>
      </c>
      <c r="D1251" s="21">
        <v>124.1</v>
      </c>
      <c r="E1251" s="3">
        <v>109.4</v>
      </c>
      <c r="F1251" s="3">
        <v>26.77</v>
      </c>
      <c r="G1251" s="3">
        <v>657.2</v>
      </c>
      <c r="H1251" s="3">
        <v>7.0049999999999999</v>
      </c>
      <c r="I1251" s="13">
        <f t="shared" si="20"/>
        <v>4.0866641763167699</v>
      </c>
    </row>
    <row r="1252" spans="2:9">
      <c r="C1252" s="3">
        <v>2.0750000000000002</v>
      </c>
      <c r="D1252" s="21">
        <v>129.9</v>
      </c>
      <c r="E1252" s="3">
        <v>109.5</v>
      </c>
      <c r="F1252" s="3">
        <v>27.01</v>
      </c>
      <c r="G1252" s="3">
        <v>657.4</v>
      </c>
      <c r="H1252" s="3">
        <v>7.157</v>
      </c>
      <c r="I1252" s="13">
        <f t="shared" si="20"/>
        <v>4.0540540540540499</v>
      </c>
    </row>
    <row r="1253" spans="2:9">
      <c r="C1253" s="3">
        <v>2.08</v>
      </c>
      <c r="D1253" s="21">
        <v>119.7</v>
      </c>
      <c r="E1253" s="3">
        <v>109.9</v>
      </c>
      <c r="F1253" s="3">
        <v>26.73</v>
      </c>
      <c r="G1253" s="3">
        <v>648.5</v>
      </c>
      <c r="H1253" s="3">
        <v>8.1210000000000004</v>
      </c>
      <c r="I1253" s="13">
        <f t="shared" si="20"/>
        <v>4.1114852225963299</v>
      </c>
    </row>
    <row r="1254" spans="2:9">
      <c r="C1254" s="3">
        <v>2.06</v>
      </c>
      <c r="D1254" s="21">
        <v>116.3</v>
      </c>
      <c r="E1254" s="3">
        <v>110</v>
      </c>
      <c r="F1254" s="3">
        <v>26.5</v>
      </c>
      <c r="G1254" s="3">
        <v>649.6</v>
      </c>
      <c r="H1254" s="3">
        <v>8.5709999999999997</v>
      </c>
      <c r="I1254" s="13">
        <f t="shared" si="20"/>
        <v>4.1509433962264204</v>
      </c>
    </row>
    <row r="1255" spans="2:9">
      <c r="C1255" s="3">
        <v>2.0739999999999998</v>
      </c>
      <c r="D1255" s="21">
        <v>118.1</v>
      </c>
      <c r="E1255" s="3">
        <v>109.8</v>
      </c>
      <c r="F1255" s="3">
        <v>26.58</v>
      </c>
      <c r="G1255" s="3">
        <v>642.4</v>
      </c>
      <c r="H1255" s="3">
        <v>7.492</v>
      </c>
      <c r="I1255" s="13">
        <f t="shared" si="20"/>
        <v>4.1309255079006801</v>
      </c>
    </row>
    <row r="1256" spans="2:9">
      <c r="C1256" s="3">
        <v>2.0760000000000001</v>
      </c>
      <c r="D1256" s="21">
        <v>126.9</v>
      </c>
      <c r="E1256" s="3">
        <v>110.4</v>
      </c>
      <c r="F1256" s="3">
        <v>26.66</v>
      </c>
      <c r="G1256" s="3">
        <v>650.29999999999995</v>
      </c>
      <c r="H1256" s="3">
        <v>7.1749999999999998</v>
      </c>
      <c r="I1256" s="13">
        <f t="shared" si="20"/>
        <v>4.1410352588146999</v>
      </c>
    </row>
    <row r="1257" spans="2:9">
      <c r="C1257" s="3">
        <v>2.0830000000000002</v>
      </c>
      <c r="D1257" s="21">
        <v>116.3</v>
      </c>
      <c r="E1257" s="3">
        <v>109.8</v>
      </c>
      <c r="F1257" s="3">
        <v>26.31</v>
      </c>
      <c r="G1257" s="3">
        <v>643.6</v>
      </c>
      <c r="H1257" s="3">
        <v>7.468</v>
      </c>
      <c r="I1257" s="13">
        <f t="shared" si="20"/>
        <v>4.1733181299886004</v>
      </c>
    </row>
    <row r="1258" spans="2:9">
      <c r="C1258" s="3">
        <v>2.085</v>
      </c>
      <c r="D1258" s="21">
        <v>127.5</v>
      </c>
      <c r="E1258" s="3">
        <v>109.6</v>
      </c>
      <c r="F1258" s="3">
        <v>26.14</v>
      </c>
      <c r="G1258" s="3">
        <v>642.4</v>
      </c>
      <c r="H1258" s="3">
        <v>7.0590000000000002</v>
      </c>
      <c r="I1258" s="13">
        <f t="shared" si="20"/>
        <v>4.1928079571537902</v>
      </c>
    </row>
    <row r="1259" spans="2:9">
      <c r="C1259" s="3">
        <v>2.0739999999999998</v>
      </c>
      <c r="D1259" s="21">
        <v>120.3</v>
      </c>
      <c r="E1259" s="3">
        <v>109.5</v>
      </c>
      <c r="F1259" s="3">
        <v>25.97</v>
      </c>
      <c r="G1259" s="3">
        <v>646.20000000000005</v>
      </c>
      <c r="H1259" s="3">
        <v>7.0970000000000004</v>
      </c>
      <c r="I1259" s="13">
        <f t="shared" si="20"/>
        <v>4.2164035425491004</v>
      </c>
    </row>
    <row r="1260" spans="2:9">
      <c r="C1260" s="3">
        <v>2.0430000000000001</v>
      </c>
      <c r="D1260" s="21">
        <v>153</v>
      </c>
      <c r="E1260" s="3">
        <v>109.9</v>
      </c>
      <c r="F1260" s="3">
        <v>26.07</v>
      </c>
      <c r="G1260" s="3">
        <v>642.4</v>
      </c>
      <c r="H1260" s="3">
        <v>7.3940000000000001</v>
      </c>
      <c r="I1260" s="13">
        <f t="shared" si="20"/>
        <v>4.2155734560797899</v>
      </c>
    </row>
    <row r="1261" spans="2:9">
      <c r="C1261" s="3">
        <v>2.0739999999999998</v>
      </c>
      <c r="D1261" s="21">
        <v>148.9</v>
      </c>
      <c r="E1261" s="3">
        <v>110</v>
      </c>
      <c r="F1261" s="3">
        <v>26.6</v>
      </c>
      <c r="G1261" s="3">
        <v>643.5</v>
      </c>
      <c r="H1261" s="3">
        <v>7.6379999999999999</v>
      </c>
      <c r="I1261" s="13">
        <f t="shared" si="20"/>
        <v>4.1353383458646604</v>
      </c>
    </row>
    <row r="1262" spans="2:9">
      <c r="B1262" s="16">
        <v>64</v>
      </c>
      <c r="C1262" s="16">
        <v>2.7280000000000002</v>
      </c>
      <c r="D1262" s="29">
        <v>148.30000000000001</v>
      </c>
      <c r="E1262" s="16">
        <v>86.46</v>
      </c>
      <c r="F1262" s="16">
        <v>28.99</v>
      </c>
      <c r="G1262" s="16">
        <v>824.2</v>
      </c>
      <c r="H1262" s="16">
        <v>5.7240000000000002</v>
      </c>
      <c r="I1262" s="13">
        <f t="shared" si="20"/>
        <v>2.9824077268023501</v>
      </c>
    </row>
    <row r="1263" spans="2:9">
      <c r="C1263" s="3">
        <v>2.7839999999999998</v>
      </c>
      <c r="D1263" s="21">
        <v>158.80000000000001</v>
      </c>
      <c r="E1263" s="3">
        <v>85.57</v>
      </c>
      <c r="F1263" s="3">
        <v>29.51</v>
      </c>
      <c r="G1263" s="3">
        <v>829.1</v>
      </c>
      <c r="H1263" s="3">
        <v>7.4640000000000004</v>
      </c>
      <c r="I1263" s="13">
        <f t="shared" si="20"/>
        <v>2.8996950186377499</v>
      </c>
    </row>
    <row r="1264" spans="2:9">
      <c r="C1264" s="3">
        <v>2.7829999999999999</v>
      </c>
      <c r="D1264" s="21">
        <v>149.19999999999999</v>
      </c>
      <c r="E1264" s="3">
        <v>84.65</v>
      </c>
      <c r="F1264" s="3">
        <v>29.45</v>
      </c>
      <c r="G1264" s="3">
        <v>827.4</v>
      </c>
      <c r="H1264" s="3">
        <v>7.8949999999999996</v>
      </c>
      <c r="I1264" s="13">
        <f t="shared" si="20"/>
        <v>2.8743633276740201</v>
      </c>
    </row>
    <row r="1265" spans="3:9">
      <c r="C1265" s="3">
        <v>2.7930000000000001</v>
      </c>
      <c r="D1265" s="21">
        <v>147.30000000000001</v>
      </c>
      <c r="E1265" s="3">
        <v>84.84</v>
      </c>
      <c r="F1265" s="3">
        <v>28.95</v>
      </c>
      <c r="G1265" s="3">
        <v>827.3</v>
      </c>
      <c r="H1265" s="3">
        <v>7.3070000000000004</v>
      </c>
      <c r="I1265" s="13">
        <f t="shared" si="20"/>
        <v>2.9305699481865299</v>
      </c>
    </row>
    <row r="1266" spans="3:9">
      <c r="C1266" s="3">
        <v>2.76</v>
      </c>
      <c r="D1266" s="21">
        <v>139.80000000000001</v>
      </c>
      <c r="E1266" s="3">
        <v>85.11</v>
      </c>
      <c r="F1266" s="3">
        <v>29.1</v>
      </c>
      <c r="G1266" s="3">
        <v>828.1</v>
      </c>
      <c r="H1266" s="3">
        <v>7.9640000000000004</v>
      </c>
      <c r="I1266" s="13">
        <f t="shared" si="20"/>
        <v>2.92474226804124</v>
      </c>
    </row>
    <row r="1267" spans="3:9">
      <c r="C1267" s="3">
        <v>2.6960000000000002</v>
      </c>
      <c r="D1267" s="21">
        <v>158.80000000000001</v>
      </c>
      <c r="E1267" s="3">
        <v>85.56</v>
      </c>
      <c r="F1267" s="3">
        <v>29.25</v>
      </c>
      <c r="G1267" s="3">
        <v>826.9</v>
      </c>
      <c r="H1267" s="3">
        <v>7.3449999999999998</v>
      </c>
      <c r="I1267" s="13">
        <f t="shared" si="20"/>
        <v>2.9251282051282002</v>
      </c>
    </row>
    <row r="1268" spans="3:9">
      <c r="C1268" s="3">
        <v>2.7610000000000001</v>
      </c>
      <c r="D1268" s="21">
        <v>173.3</v>
      </c>
      <c r="E1268" s="3">
        <v>85.38</v>
      </c>
      <c r="F1268" s="3">
        <v>29.44</v>
      </c>
      <c r="G1268" s="3">
        <v>828.1</v>
      </c>
      <c r="H1268" s="3">
        <v>7.9039999999999999</v>
      </c>
      <c r="I1268" s="13">
        <f t="shared" si="20"/>
        <v>2.90013586956522</v>
      </c>
    </row>
    <row r="1269" spans="3:9">
      <c r="C1269" s="3">
        <v>2.7749999999999999</v>
      </c>
      <c r="D1269" s="21">
        <v>167.1</v>
      </c>
      <c r="E1269" s="3">
        <v>85.02</v>
      </c>
      <c r="F1269" s="3">
        <v>29.47</v>
      </c>
      <c r="G1269" s="3">
        <v>823.6</v>
      </c>
      <c r="H1269" s="3">
        <v>5.5030000000000001</v>
      </c>
      <c r="I1269" s="13">
        <f t="shared" si="20"/>
        <v>2.8849677638276199</v>
      </c>
    </row>
    <row r="1270" spans="3:9">
      <c r="C1270" s="3">
        <v>2.758</v>
      </c>
      <c r="D1270" s="21">
        <v>169</v>
      </c>
      <c r="E1270" s="3">
        <v>85.47</v>
      </c>
      <c r="F1270" s="3">
        <v>29.54</v>
      </c>
      <c r="G1270" s="3">
        <v>823.1</v>
      </c>
      <c r="H1270" s="3">
        <v>6.077</v>
      </c>
      <c r="I1270" s="13">
        <f t="shared" si="20"/>
        <v>2.8933649289099499</v>
      </c>
    </row>
    <row r="1271" spans="3:9">
      <c r="C1271" s="3">
        <v>2.7160000000000002</v>
      </c>
      <c r="D1271" s="21">
        <v>149.19999999999999</v>
      </c>
      <c r="E1271" s="3">
        <v>84.93</v>
      </c>
      <c r="F1271" s="3">
        <v>29.64</v>
      </c>
      <c r="G1271" s="3">
        <v>823.6</v>
      </c>
      <c r="H1271" s="3">
        <v>7.7220000000000004</v>
      </c>
      <c r="I1271" s="13">
        <f t="shared" si="20"/>
        <v>2.8653846153846199</v>
      </c>
    </row>
    <row r="1272" spans="3:9">
      <c r="C1272" s="3">
        <v>2.64</v>
      </c>
      <c r="D1272" s="21">
        <v>158.80000000000001</v>
      </c>
      <c r="E1272" s="3">
        <v>85.2</v>
      </c>
      <c r="F1272" s="3">
        <v>29.29</v>
      </c>
      <c r="G1272" s="3">
        <v>827.8</v>
      </c>
      <c r="H1272" s="3">
        <v>7.11</v>
      </c>
      <c r="I1272" s="13">
        <f t="shared" si="20"/>
        <v>2.90884260839877</v>
      </c>
    </row>
    <row r="1273" spans="3:9">
      <c r="C1273" s="3">
        <v>2.6259999999999999</v>
      </c>
      <c r="D1273" s="21">
        <v>188.8</v>
      </c>
      <c r="E1273" s="3">
        <v>85.39</v>
      </c>
      <c r="F1273" s="3">
        <v>29.3</v>
      </c>
      <c r="G1273" s="3">
        <v>829.7</v>
      </c>
      <c r="H1273" s="3">
        <v>6.3140000000000001</v>
      </c>
      <c r="I1273" s="13">
        <f t="shared" si="20"/>
        <v>2.9143344709897598</v>
      </c>
    </row>
    <row r="1274" spans="3:9">
      <c r="C1274" s="3">
        <v>2.548</v>
      </c>
      <c r="D1274" s="21">
        <v>173.6</v>
      </c>
      <c r="E1274" s="3">
        <v>84.93</v>
      </c>
      <c r="F1274" s="3">
        <v>29.47</v>
      </c>
      <c r="G1274" s="3">
        <v>825.1</v>
      </c>
      <c r="H1274" s="3">
        <v>5.6020000000000003</v>
      </c>
      <c r="I1274" s="13">
        <f t="shared" si="20"/>
        <v>2.8819138106549</v>
      </c>
    </row>
    <row r="1275" spans="3:9">
      <c r="C1275" s="3">
        <v>2.427</v>
      </c>
      <c r="D1275" s="21">
        <v>148</v>
      </c>
      <c r="E1275" s="3">
        <v>85.11</v>
      </c>
      <c r="F1275" s="3">
        <v>29.46</v>
      </c>
      <c r="G1275" s="3">
        <v>824.2</v>
      </c>
      <c r="H1275" s="3">
        <v>6.0570000000000004</v>
      </c>
      <c r="I1275" s="13">
        <f t="shared" si="20"/>
        <v>2.8890020366598801</v>
      </c>
    </row>
    <row r="1276" spans="3:9">
      <c r="C1276" s="3">
        <v>2.399</v>
      </c>
      <c r="D1276" s="21">
        <v>149.19999999999999</v>
      </c>
      <c r="E1276" s="3">
        <v>85.2</v>
      </c>
      <c r="F1276" s="3">
        <v>29.09</v>
      </c>
      <c r="G1276" s="3">
        <v>823.8</v>
      </c>
      <c r="H1276" s="3">
        <v>6.8529999999999998</v>
      </c>
      <c r="I1276" s="13">
        <f t="shared" si="20"/>
        <v>2.9288415262976999</v>
      </c>
    </row>
    <row r="1277" spans="3:9">
      <c r="C1277" s="3">
        <v>2.2690000000000001</v>
      </c>
      <c r="D1277" s="21">
        <v>146.30000000000001</v>
      </c>
      <c r="E1277" s="3">
        <v>84.75</v>
      </c>
      <c r="F1277" s="3">
        <v>29.56</v>
      </c>
      <c r="G1277" s="3">
        <v>822.7</v>
      </c>
      <c r="H1277" s="3">
        <v>6.8929999999999998</v>
      </c>
      <c r="I1277" s="13">
        <f t="shared" si="20"/>
        <v>2.8670500676590001</v>
      </c>
    </row>
    <row r="1278" spans="3:9">
      <c r="C1278" s="3">
        <v>2.4249999999999998</v>
      </c>
      <c r="D1278" s="21">
        <v>176.5</v>
      </c>
      <c r="E1278" s="3">
        <v>85.3</v>
      </c>
      <c r="F1278" s="3">
        <v>29.47</v>
      </c>
      <c r="G1278" s="3">
        <v>823.6</v>
      </c>
      <c r="H1278" s="3">
        <v>7.9429999999999996</v>
      </c>
      <c r="I1278" s="13">
        <f t="shared" si="20"/>
        <v>2.89446895147608</v>
      </c>
    </row>
    <row r="1279" spans="3:9">
      <c r="C1279" s="3">
        <v>2.4319999999999999</v>
      </c>
      <c r="D1279" s="21">
        <v>161.69999999999999</v>
      </c>
      <c r="E1279" s="3">
        <v>85.57</v>
      </c>
      <c r="F1279" s="3">
        <v>29.2</v>
      </c>
      <c r="G1279" s="3">
        <v>823.8</v>
      </c>
      <c r="H1279" s="3">
        <v>6.7619999999999996</v>
      </c>
      <c r="I1279" s="13">
        <f t="shared" si="20"/>
        <v>2.9304794520547901</v>
      </c>
    </row>
    <row r="1280" spans="3:9">
      <c r="C1280" s="3">
        <v>2.4220000000000002</v>
      </c>
      <c r="D1280" s="21">
        <v>149.19999999999999</v>
      </c>
      <c r="E1280" s="3">
        <v>85.2</v>
      </c>
      <c r="F1280" s="3">
        <v>29.39</v>
      </c>
      <c r="G1280" s="3">
        <v>827.3</v>
      </c>
      <c r="H1280" s="3">
        <v>8.5530000000000008</v>
      </c>
      <c r="I1280" s="13">
        <f t="shared" si="20"/>
        <v>2.8989452194624001</v>
      </c>
    </row>
    <row r="1281" spans="2:9">
      <c r="C1281" s="3">
        <v>2.6419999999999999</v>
      </c>
      <c r="D1281" s="21">
        <v>139.6</v>
      </c>
      <c r="E1281" s="3">
        <v>85.38</v>
      </c>
      <c r="F1281" s="3">
        <v>29.33</v>
      </c>
      <c r="G1281" s="3">
        <v>826.5</v>
      </c>
      <c r="H1281" s="3">
        <v>7.8949999999999996</v>
      </c>
      <c r="I1281" s="13">
        <f t="shared" si="20"/>
        <v>2.9110126150698901</v>
      </c>
    </row>
    <row r="1282" spans="2:9">
      <c r="B1282" s="16">
        <v>65</v>
      </c>
      <c r="C1282" s="16">
        <v>2.0640000000000001</v>
      </c>
      <c r="D1282" s="29">
        <v>192.9</v>
      </c>
      <c r="E1282" s="16">
        <v>92.18</v>
      </c>
      <c r="F1282" s="16">
        <v>28.82</v>
      </c>
      <c r="G1282" s="16">
        <v>645.9</v>
      </c>
      <c r="H1282" s="16">
        <v>14.26</v>
      </c>
      <c r="I1282" s="13">
        <f t="shared" si="20"/>
        <v>3.19847328244275</v>
      </c>
    </row>
    <row r="1283" spans="2:9">
      <c r="C1283" s="3">
        <v>2</v>
      </c>
      <c r="D1283" s="21">
        <v>187.5</v>
      </c>
      <c r="E1283" s="3">
        <v>92.89</v>
      </c>
      <c r="F1283" s="3">
        <v>28.64</v>
      </c>
      <c r="G1283" s="3">
        <v>647.4</v>
      </c>
      <c r="H1283" s="3">
        <v>14.46</v>
      </c>
      <c r="I1283" s="13">
        <f t="shared" ref="I1283:I1346" si="21">E1283/F1283</f>
        <v>3.24336592178771</v>
      </c>
    </row>
    <row r="1284" spans="2:9">
      <c r="C1284" s="3">
        <v>1.962</v>
      </c>
      <c r="D1284" s="21">
        <v>194.8</v>
      </c>
      <c r="E1284" s="3">
        <v>92.92</v>
      </c>
      <c r="F1284" s="3">
        <v>28.27</v>
      </c>
      <c r="G1284" s="3">
        <v>645.5</v>
      </c>
      <c r="H1284" s="3">
        <v>14.5</v>
      </c>
      <c r="I1284" s="13">
        <f t="shared" si="21"/>
        <v>3.2868765475769401</v>
      </c>
    </row>
    <row r="1285" spans="2:9">
      <c r="C1285" s="3">
        <v>2.004</v>
      </c>
      <c r="D1285" s="21">
        <v>205.8</v>
      </c>
      <c r="E1285" s="3">
        <v>93.88</v>
      </c>
      <c r="F1285" s="3">
        <v>28.18</v>
      </c>
      <c r="G1285" s="3">
        <v>646.9</v>
      </c>
      <c r="H1285" s="3">
        <v>14.29</v>
      </c>
      <c r="I1285" s="13">
        <f t="shared" si="21"/>
        <v>3.33144073811214</v>
      </c>
    </row>
    <row r="1286" spans="2:9">
      <c r="C1286" s="3">
        <v>2.024</v>
      </c>
      <c r="D1286" s="21">
        <v>206.8</v>
      </c>
      <c r="E1286" s="3">
        <v>93.69</v>
      </c>
      <c r="F1286" s="3">
        <v>28.03</v>
      </c>
      <c r="G1286" s="3">
        <v>646.29999999999995</v>
      </c>
      <c r="H1286" s="3">
        <v>13.94</v>
      </c>
      <c r="I1286" s="13">
        <f t="shared" si="21"/>
        <v>3.34249018908312</v>
      </c>
    </row>
    <row r="1287" spans="2:9">
      <c r="C1287" s="3">
        <v>2.0310000000000001</v>
      </c>
      <c r="D1287" s="21">
        <v>238.7</v>
      </c>
      <c r="E1287" s="3">
        <v>93.35</v>
      </c>
      <c r="F1287" s="3">
        <v>28.13</v>
      </c>
      <c r="G1287" s="3">
        <v>652.79999999999995</v>
      </c>
      <c r="H1287" s="3">
        <v>13.28</v>
      </c>
      <c r="I1287" s="13">
        <f t="shared" si="21"/>
        <v>3.31852115179524</v>
      </c>
    </row>
    <row r="1288" spans="2:9">
      <c r="C1288" s="3">
        <v>2.0779999999999998</v>
      </c>
      <c r="D1288" s="21">
        <v>219</v>
      </c>
      <c r="E1288" s="3">
        <v>93.12</v>
      </c>
      <c r="F1288" s="3">
        <v>28.17</v>
      </c>
      <c r="G1288" s="3">
        <v>646.9</v>
      </c>
      <c r="H1288" s="3">
        <v>13.33</v>
      </c>
      <c r="I1288" s="13">
        <f t="shared" si="21"/>
        <v>3.30564430244941</v>
      </c>
    </row>
    <row r="1289" spans="2:9">
      <c r="C1289" s="3">
        <v>2.0960000000000001</v>
      </c>
      <c r="D1289" s="21">
        <v>184.4</v>
      </c>
      <c r="E1289" s="3">
        <v>93.25</v>
      </c>
      <c r="F1289" s="3">
        <v>28.27</v>
      </c>
      <c r="G1289" s="3">
        <v>648.1</v>
      </c>
      <c r="H1289" s="3">
        <v>13.6</v>
      </c>
      <c r="I1289" s="13">
        <f t="shared" si="21"/>
        <v>3.2985496993279102</v>
      </c>
    </row>
    <row r="1290" spans="2:9">
      <c r="C1290" s="3">
        <v>2.12</v>
      </c>
      <c r="D1290" s="21">
        <v>173.6</v>
      </c>
      <c r="E1290" s="3">
        <v>93.16</v>
      </c>
      <c r="F1290" s="3">
        <v>28.21</v>
      </c>
      <c r="G1290" s="3">
        <v>650.4</v>
      </c>
      <c r="H1290" s="3">
        <v>13.81</v>
      </c>
      <c r="I1290" s="13">
        <f t="shared" si="21"/>
        <v>3.30237504431053</v>
      </c>
    </row>
    <row r="1291" spans="2:9">
      <c r="C1291" s="3">
        <v>2.1190000000000002</v>
      </c>
      <c r="D1291" s="21">
        <v>167.3</v>
      </c>
      <c r="E1291" s="3">
        <v>93.43</v>
      </c>
      <c r="F1291" s="3">
        <v>28.43</v>
      </c>
      <c r="G1291" s="3">
        <v>648.9</v>
      </c>
      <c r="H1291" s="3">
        <v>14.22</v>
      </c>
      <c r="I1291" s="13">
        <f t="shared" si="21"/>
        <v>3.2863172704889201</v>
      </c>
    </row>
    <row r="1292" spans="2:9">
      <c r="C1292" s="3">
        <v>2.1349999999999998</v>
      </c>
      <c r="D1292" s="21">
        <v>176.4</v>
      </c>
      <c r="E1292" s="3">
        <v>93.35</v>
      </c>
      <c r="F1292" s="3">
        <v>28.26</v>
      </c>
      <c r="G1292" s="3">
        <v>651.29999999999995</v>
      </c>
      <c r="H1292" s="3">
        <v>14.01</v>
      </c>
      <c r="I1292" s="13">
        <f t="shared" si="21"/>
        <v>3.3032554847841502</v>
      </c>
    </row>
    <row r="1293" spans="2:9">
      <c r="C1293" s="3">
        <v>2.1110000000000002</v>
      </c>
      <c r="D1293" s="21">
        <v>183.4</v>
      </c>
      <c r="E1293" s="3">
        <v>93.45</v>
      </c>
      <c r="F1293" s="3">
        <v>28.78</v>
      </c>
      <c r="G1293" s="3">
        <v>654.29999999999995</v>
      </c>
      <c r="H1293" s="3">
        <v>14.08</v>
      </c>
      <c r="I1293" s="13">
        <f t="shared" si="21"/>
        <v>3.24704656011119</v>
      </c>
    </row>
    <row r="1294" spans="2:9">
      <c r="C1294" s="3">
        <v>2.0880000000000001</v>
      </c>
      <c r="D1294" s="21">
        <v>192.9</v>
      </c>
      <c r="E1294" s="3">
        <v>93.64</v>
      </c>
      <c r="F1294" s="3">
        <v>28.34</v>
      </c>
      <c r="G1294" s="3">
        <v>653.5</v>
      </c>
      <c r="H1294" s="3">
        <v>14.29</v>
      </c>
      <c r="I1294" s="13">
        <f t="shared" si="21"/>
        <v>3.30416372618207</v>
      </c>
    </row>
    <row r="1295" spans="2:9">
      <c r="C1295" s="3">
        <v>2.0590000000000002</v>
      </c>
      <c r="D1295" s="21">
        <v>194.8</v>
      </c>
      <c r="E1295" s="3">
        <v>93.73</v>
      </c>
      <c r="F1295" s="3">
        <v>28.2</v>
      </c>
      <c r="G1295" s="3">
        <v>650.1</v>
      </c>
      <c r="H1295" s="3">
        <v>14.31</v>
      </c>
      <c r="I1295" s="13">
        <f t="shared" si="21"/>
        <v>3.3237588652482302</v>
      </c>
    </row>
    <row r="1296" spans="2:9">
      <c r="C1296" s="3">
        <v>2.016</v>
      </c>
      <c r="D1296" s="21">
        <v>214.3</v>
      </c>
      <c r="E1296" s="3">
        <v>93.54</v>
      </c>
      <c r="F1296" s="3">
        <v>28.34</v>
      </c>
      <c r="G1296" s="3">
        <v>653.5</v>
      </c>
      <c r="H1296" s="3">
        <v>14.5</v>
      </c>
      <c r="I1296" s="13">
        <f t="shared" si="21"/>
        <v>3.30063514467184</v>
      </c>
    </row>
    <row r="1297" spans="2:9">
      <c r="C1297" s="3">
        <v>1.972</v>
      </c>
      <c r="D1297" s="21">
        <v>206.2</v>
      </c>
      <c r="E1297" s="3">
        <v>93.26</v>
      </c>
      <c r="F1297" s="3">
        <v>28.41</v>
      </c>
      <c r="G1297" s="3">
        <v>655.5</v>
      </c>
      <c r="H1297" s="3">
        <v>14.79</v>
      </c>
      <c r="I1297" s="13">
        <f t="shared" si="21"/>
        <v>3.2826469552974298</v>
      </c>
    </row>
    <row r="1298" spans="2:9">
      <c r="C1298" s="3">
        <v>1.9390000000000001</v>
      </c>
      <c r="D1298" s="21">
        <v>206.1</v>
      </c>
      <c r="E1298" s="3">
        <v>93.52</v>
      </c>
      <c r="F1298" s="3">
        <v>28.55</v>
      </c>
      <c r="G1298" s="3">
        <v>650.79999999999995</v>
      </c>
      <c r="H1298" s="3">
        <v>14.83</v>
      </c>
      <c r="I1298" s="13">
        <f t="shared" si="21"/>
        <v>3.2756567425569201</v>
      </c>
    </row>
    <row r="1299" spans="2:9">
      <c r="C1299" s="3">
        <v>1.9710000000000001</v>
      </c>
      <c r="D1299" s="21">
        <v>206.8</v>
      </c>
      <c r="E1299" s="3">
        <v>93.62</v>
      </c>
      <c r="F1299" s="3">
        <v>28.32</v>
      </c>
      <c r="G1299" s="3">
        <v>651.9</v>
      </c>
      <c r="H1299" s="3">
        <v>15.04</v>
      </c>
      <c r="I1299" s="13">
        <f t="shared" si="21"/>
        <v>3.3057909604519802</v>
      </c>
    </row>
    <row r="1300" spans="2:9">
      <c r="C1300" s="3">
        <v>2</v>
      </c>
      <c r="D1300" s="21">
        <v>184.4</v>
      </c>
      <c r="E1300" s="3">
        <v>93.37</v>
      </c>
      <c r="F1300" s="3">
        <v>28.49</v>
      </c>
      <c r="G1300" s="3">
        <v>648.1</v>
      </c>
      <c r="H1300" s="3">
        <v>14.31</v>
      </c>
      <c r="I1300" s="13">
        <f t="shared" si="21"/>
        <v>3.2772902772902799</v>
      </c>
    </row>
    <row r="1301" spans="2:9">
      <c r="C1301" s="3">
        <v>2.0270000000000001</v>
      </c>
      <c r="D1301" s="21">
        <v>200.8</v>
      </c>
      <c r="E1301" s="3">
        <v>94.07</v>
      </c>
      <c r="F1301" s="3">
        <v>28.16</v>
      </c>
      <c r="G1301" s="3">
        <v>646.6</v>
      </c>
      <c r="H1301" s="3">
        <v>14.15</v>
      </c>
      <c r="I1301" s="13">
        <f t="shared" si="21"/>
        <v>3.3405539772727302</v>
      </c>
    </row>
    <row r="1302" spans="2:9">
      <c r="B1302" s="16">
        <v>66</v>
      </c>
      <c r="C1302" s="16">
        <v>2.5830000000000002</v>
      </c>
      <c r="D1302" s="29">
        <v>223</v>
      </c>
      <c r="E1302" s="16">
        <v>91.99</v>
      </c>
      <c r="F1302" s="16">
        <v>40.82</v>
      </c>
      <c r="G1302" s="16">
        <v>709.7</v>
      </c>
      <c r="H1302" s="16">
        <v>7.02</v>
      </c>
      <c r="I1302" s="13">
        <f t="shared" si="21"/>
        <v>2.2535521803037701</v>
      </c>
    </row>
    <row r="1303" spans="2:9">
      <c r="C1303" s="3">
        <v>2.5920000000000001</v>
      </c>
      <c r="D1303" s="21">
        <v>196.4</v>
      </c>
      <c r="E1303" s="3">
        <v>91.8</v>
      </c>
      <c r="F1303" s="3">
        <v>40.630000000000003</v>
      </c>
      <c r="G1303" s="3">
        <v>708</v>
      </c>
      <c r="H1303" s="3">
        <v>7.6239999999999997</v>
      </c>
      <c r="I1303" s="13">
        <f t="shared" si="21"/>
        <v>2.2594142259414198</v>
      </c>
    </row>
    <row r="1304" spans="2:9">
      <c r="C1304" s="3">
        <v>2.552</v>
      </c>
      <c r="D1304" s="21">
        <v>221.5</v>
      </c>
      <c r="E1304" s="3">
        <v>92.19</v>
      </c>
      <c r="F1304" s="3">
        <v>40.44</v>
      </c>
      <c r="G1304" s="3">
        <v>709.2</v>
      </c>
      <c r="H1304" s="3">
        <v>7.8179999999999996</v>
      </c>
      <c r="I1304" s="13">
        <f t="shared" si="21"/>
        <v>2.2796735905044501</v>
      </c>
    </row>
    <row r="1305" spans="2:9">
      <c r="C1305" s="3">
        <v>2.5529999999999999</v>
      </c>
      <c r="D1305" s="21">
        <v>217.5</v>
      </c>
      <c r="E1305" s="3">
        <v>92.38</v>
      </c>
      <c r="F1305" s="3">
        <v>40.450000000000003</v>
      </c>
      <c r="G1305" s="3">
        <v>713.4</v>
      </c>
      <c r="H1305" s="3">
        <v>7.1970000000000001</v>
      </c>
      <c r="I1305" s="13">
        <f t="shared" si="21"/>
        <v>2.28380716934487</v>
      </c>
    </row>
    <row r="1306" spans="2:9">
      <c r="C1306" s="3">
        <v>2.5230000000000001</v>
      </c>
      <c r="D1306" s="21">
        <v>213.3</v>
      </c>
      <c r="E1306" s="3">
        <v>92.39</v>
      </c>
      <c r="F1306" s="3">
        <v>40.840000000000003</v>
      </c>
      <c r="G1306" s="3">
        <v>713.8</v>
      </c>
      <c r="H1306" s="3">
        <v>6.69</v>
      </c>
      <c r="I1306" s="13">
        <f t="shared" si="21"/>
        <v>2.26224289911851</v>
      </c>
    </row>
    <row r="1307" spans="2:9">
      <c r="C1307" s="3">
        <v>2.5169999999999999</v>
      </c>
      <c r="D1307" s="21">
        <v>210.5</v>
      </c>
      <c r="E1307" s="3">
        <v>92.78</v>
      </c>
      <c r="F1307" s="3">
        <v>40.450000000000003</v>
      </c>
      <c r="G1307" s="3">
        <v>708</v>
      </c>
      <c r="H1307" s="3">
        <v>6.8949999999999996</v>
      </c>
      <c r="I1307" s="13">
        <f t="shared" si="21"/>
        <v>2.2936959208899901</v>
      </c>
    </row>
    <row r="1308" spans="2:9">
      <c r="C1308" s="3">
        <v>2.4580000000000002</v>
      </c>
      <c r="D1308" s="21">
        <v>192.5</v>
      </c>
      <c r="E1308" s="3">
        <v>92.39</v>
      </c>
      <c r="F1308" s="3">
        <v>40.25</v>
      </c>
      <c r="G1308" s="3">
        <v>707.4</v>
      </c>
      <c r="H1308" s="3">
        <v>6.9539999999999997</v>
      </c>
      <c r="I1308" s="13">
        <f t="shared" si="21"/>
        <v>2.29540372670807</v>
      </c>
    </row>
    <row r="1309" spans="2:9">
      <c r="C1309" s="3">
        <v>2.492</v>
      </c>
      <c r="D1309" s="21">
        <v>254.9</v>
      </c>
      <c r="E1309" s="3">
        <v>92</v>
      </c>
      <c r="F1309" s="3">
        <v>40.840000000000003</v>
      </c>
      <c r="G1309" s="3">
        <v>708.9</v>
      </c>
      <c r="H1309" s="3">
        <v>7.2519999999999998</v>
      </c>
      <c r="I1309" s="13">
        <f t="shared" si="21"/>
        <v>2.2526934378060699</v>
      </c>
    </row>
    <row r="1310" spans="2:9">
      <c r="C1310" s="3">
        <v>2.5179999999999998</v>
      </c>
      <c r="D1310" s="21">
        <v>180.1</v>
      </c>
      <c r="E1310" s="3">
        <v>92.01</v>
      </c>
      <c r="F1310" s="3">
        <v>40.83</v>
      </c>
      <c r="G1310" s="3">
        <v>714.2</v>
      </c>
      <c r="H1310" s="3">
        <v>7.431</v>
      </c>
      <c r="I1310" s="13">
        <f t="shared" si="21"/>
        <v>2.2534900808229201</v>
      </c>
    </row>
    <row r="1311" spans="2:9">
      <c r="C1311" s="3">
        <v>2.5830000000000002</v>
      </c>
      <c r="D1311" s="21">
        <v>185</v>
      </c>
      <c r="E1311" s="3">
        <v>91.8</v>
      </c>
      <c r="F1311" s="3">
        <v>40.630000000000003</v>
      </c>
      <c r="G1311" s="3">
        <v>719.1</v>
      </c>
      <c r="H1311" s="3">
        <v>7.7279999999999998</v>
      </c>
      <c r="I1311" s="13">
        <f t="shared" si="21"/>
        <v>2.2594142259414198</v>
      </c>
    </row>
    <row r="1312" spans="2:9">
      <c r="C1312" s="3">
        <v>2.6070000000000002</v>
      </c>
      <c r="D1312" s="21">
        <v>196.4</v>
      </c>
      <c r="E1312" s="3">
        <v>92.18</v>
      </c>
      <c r="F1312" s="3">
        <v>41.01</v>
      </c>
      <c r="G1312" s="3">
        <v>714.2</v>
      </c>
      <c r="H1312" s="3">
        <v>7.25</v>
      </c>
      <c r="I1312" s="13">
        <f t="shared" si="21"/>
        <v>2.2477444525725399</v>
      </c>
    </row>
    <row r="1313" spans="2:9">
      <c r="C1313" s="3">
        <v>2.62</v>
      </c>
      <c r="D1313" s="21">
        <v>210.9</v>
      </c>
      <c r="E1313" s="3">
        <v>92.38</v>
      </c>
      <c r="F1313" s="3">
        <v>41.24</v>
      </c>
      <c r="G1313" s="3">
        <v>709.6</v>
      </c>
      <c r="H1313" s="3">
        <v>7.2450000000000001</v>
      </c>
      <c r="I1313" s="13">
        <f t="shared" si="21"/>
        <v>2.24005819592628</v>
      </c>
    </row>
    <row r="1314" spans="2:9">
      <c r="C1314" s="3">
        <v>2.6339999999999999</v>
      </c>
      <c r="D1314" s="21">
        <v>201.5</v>
      </c>
      <c r="E1314" s="3">
        <v>92.4</v>
      </c>
      <c r="F1314" s="3">
        <v>41.02</v>
      </c>
      <c r="G1314" s="3">
        <v>708.9</v>
      </c>
      <c r="H1314" s="3">
        <v>7.157</v>
      </c>
      <c r="I1314" s="13">
        <f t="shared" si="21"/>
        <v>2.2525597269624602</v>
      </c>
    </row>
    <row r="1315" spans="2:9">
      <c r="C1315" s="3">
        <v>2.63</v>
      </c>
      <c r="D1315" s="21">
        <v>226.2</v>
      </c>
      <c r="E1315" s="3">
        <v>92.21</v>
      </c>
      <c r="F1315" s="3">
        <v>41.23</v>
      </c>
      <c r="G1315" s="3">
        <v>707.4</v>
      </c>
      <c r="H1315" s="3">
        <v>7.2779999999999996</v>
      </c>
      <c r="I1315" s="13">
        <f t="shared" si="21"/>
        <v>2.2364782925054598</v>
      </c>
    </row>
    <row r="1316" spans="2:9">
      <c r="C1316" s="3">
        <v>2.605</v>
      </c>
      <c r="D1316" s="21">
        <v>226.1</v>
      </c>
      <c r="E1316" s="3">
        <v>92.19</v>
      </c>
      <c r="F1316" s="3">
        <v>40.840000000000003</v>
      </c>
      <c r="G1316" s="3">
        <v>706</v>
      </c>
      <c r="H1316" s="3">
        <v>7.1539999999999999</v>
      </c>
      <c r="I1316" s="13">
        <f t="shared" si="21"/>
        <v>2.2573457394711101</v>
      </c>
    </row>
    <row r="1317" spans="2:9">
      <c r="C1317" s="3">
        <v>2.5870000000000002</v>
      </c>
      <c r="D1317" s="21">
        <v>237.3</v>
      </c>
      <c r="E1317" s="3">
        <v>91.41</v>
      </c>
      <c r="F1317" s="3">
        <v>40.26</v>
      </c>
      <c r="G1317" s="3">
        <v>708</v>
      </c>
      <c r="H1317" s="3">
        <v>7.1970000000000001</v>
      </c>
      <c r="I1317" s="13">
        <f t="shared" si="21"/>
        <v>2.27049180327869</v>
      </c>
    </row>
    <row r="1318" spans="2:9">
      <c r="C1318" s="3">
        <v>2.5830000000000002</v>
      </c>
      <c r="D1318" s="21">
        <v>221.5</v>
      </c>
      <c r="E1318" s="3">
        <v>91.81</v>
      </c>
      <c r="F1318" s="3">
        <v>40.659999999999997</v>
      </c>
      <c r="G1318" s="3">
        <v>709.2</v>
      </c>
      <c r="H1318" s="3">
        <v>7.6189999999999998</v>
      </c>
      <c r="I1318" s="13">
        <f t="shared" si="21"/>
        <v>2.2579931136251798</v>
      </c>
    </row>
    <row r="1319" spans="2:9">
      <c r="C1319" s="3">
        <v>2.4910000000000001</v>
      </c>
      <c r="D1319" s="21">
        <v>213.3</v>
      </c>
      <c r="E1319" s="3">
        <v>91.8</v>
      </c>
      <c r="F1319" s="3">
        <v>40.85</v>
      </c>
      <c r="G1319" s="3">
        <v>710</v>
      </c>
      <c r="H1319" s="3">
        <v>7.351</v>
      </c>
      <c r="I1319" s="13">
        <f t="shared" si="21"/>
        <v>2.24724602203182</v>
      </c>
    </row>
    <row r="1320" spans="2:9">
      <c r="C1320" s="3">
        <v>2.5640000000000001</v>
      </c>
      <c r="D1320" s="21">
        <v>192.5</v>
      </c>
      <c r="E1320" s="3">
        <v>92.58</v>
      </c>
      <c r="F1320" s="3">
        <v>41.05</v>
      </c>
      <c r="G1320" s="3">
        <v>708.8</v>
      </c>
      <c r="H1320" s="3">
        <v>7.0519999999999996</v>
      </c>
      <c r="I1320" s="13">
        <f t="shared" si="21"/>
        <v>2.2552984165651599</v>
      </c>
    </row>
    <row r="1321" spans="2:9">
      <c r="C1321" s="3">
        <v>2.5760000000000001</v>
      </c>
      <c r="D1321" s="21">
        <v>213</v>
      </c>
      <c r="E1321" s="3">
        <v>92.38</v>
      </c>
      <c r="F1321" s="3">
        <v>40.450000000000003</v>
      </c>
      <c r="G1321" s="3">
        <v>708</v>
      </c>
      <c r="H1321" s="3">
        <v>7.431</v>
      </c>
      <c r="I1321" s="13">
        <f t="shared" si="21"/>
        <v>2.28380716934487</v>
      </c>
    </row>
    <row r="1322" spans="2:9">
      <c r="B1322" s="16">
        <v>67</v>
      </c>
      <c r="C1322" s="16">
        <v>2.0209999999999999</v>
      </c>
      <c r="D1322" s="29">
        <v>170.5</v>
      </c>
      <c r="E1322" s="16">
        <v>124</v>
      </c>
      <c r="F1322" s="16">
        <v>45.03</v>
      </c>
      <c r="G1322" s="16">
        <v>653.1</v>
      </c>
      <c r="H1322" s="16">
        <v>14.9</v>
      </c>
      <c r="I1322" s="13">
        <f t="shared" si="21"/>
        <v>2.7537197423939599</v>
      </c>
    </row>
    <row r="1323" spans="2:9">
      <c r="C1323" s="3">
        <v>2.0350000000000001</v>
      </c>
      <c r="D1323" s="21">
        <v>162.5</v>
      </c>
      <c r="E1323" s="3">
        <v>124.6</v>
      </c>
      <c r="F1323" s="3">
        <v>45.88</v>
      </c>
      <c r="G1323" s="3">
        <v>655.9</v>
      </c>
      <c r="H1323" s="3">
        <v>15.72</v>
      </c>
      <c r="I1323" s="13">
        <f t="shared" si="21"/>
        <v>2.7157802964254598</v>
      </c>
    </row>
    <row r="1324" spans="2:9">
      <c r="C1324" s="3">
        <v>2.0299999999999998</v>
      </c>
      <c r="D1324" s="21">
        <v>171.9</v>
      </c>
      <c r="E1324" s="3">
        <v>124.4</v>
      </c>
      <c r="F1324" s="3">
        <v>45.76</v>
      </c>
      <c r="G1324" s="3">
        <v>642.5</v>
      </c>
      <c r="H1324" s="3">
        <v>15.65</v>
      </c>
      <c r="I1324" s="13">
        <f t="shared" si="21"/>
        <v>2.7185314685314701</v>
      </c>
    </row>
    <row r="1325" spans="2:9">
      <c r="C1325" s="3">
        <v>2.0230000000000001</v>
      </c>
      <c r="D1325" s="21">
        <v>184.7</v>
      </c>
      <c r="E1325" s="3">
        <v>123.9</v>
      </c>
      <c r="F1325" s="3">
        <v>45.52</v>
      </c>
      <c r="G1325" s="3">
        <v>645.29999999999995</v>
      </c>
      <c r="H1325" s="3">
        <v>15.19</v>
      </c>
      <c r="I1325" s="13">
        <f t="shared" si="21"/>
        <v>2.7218804920913899</v>
      </c>
    </row>
    <row r="1326" spans="2:9">
      <c r="C1326" s="3">
        <v>2.0329999999999999</v>
      </c>
      <c r="D1326" s="21">
        <v>191</v>
      </c>
      <c r="E1326" s="3">
        <v>123.8</v>
      </c>
      <c r="F1326" s="3">
        <v>45.44</v>
      </c>
      <c r="G1326" s="3">
        <v>640.4</v>
      </c>
      <c r="H1326" s="3">
        <v>14.31</v>
      </c>
      <c r="I1326" s="13">
        <f t="shared" si="21"/>
        <v>2.7244718309859199</v>
      </c>
    </row>
    <row r="1327" spans="2:9">
      <c r="C1327" s="3">
        <v>2.016</v>
      </c>
      <c r="D1327" s="21">
        <v>174.5</v>
      </c>
      <c r="E1327" s="3">
        <v>124</v>
      </c>
      <c r="F1327" s="3">
        <v>45.41</v>
      </c>
      <c r="G1327" s="3">
        <v>641.6</v>
      </c>
      <c r="H1327" s="3">
        <v>14.59</v>
      </c>
      <c r="I1327" s="13">
        <f t="shared" si="21"/>
        <v>2.7306760625412898</v>
      </c>
    </row>
    <row r="1328" spans="2:9">
      <c r="C1328" s="3">
        <v>2.0179999999999998</v>
      </c>
      <c r="D1328" s="21">
        <v>180</v>
      </c>
      <c r="E1328" s="3">
        <v>124.5</v>
      </c>
      <c r="F1328" s="3">
        <v>45.28</v>
      </c>
      <c r="G1328" s="3">
        <v>654.9</v>
      </c>
      <c r="H1328" s="3">
        <v>15.26</v>
      </c>
      <c r="I1328" s="13">
        <f t="shared" si="21"/>
        <v>2.7495583038869298</v>
      </c>
    </row>
    <row r="1329" spans="2:9">
      <c r="C1329" s="3">
        <v>1.996</v>
      </c>
      <c r="D1329" s="21">
        <v>204.6</v>
      </c>
      <c r="E1329" s="3">
        <v>124.2</v>
      </c>
      <c r="F1329" s="3">
        <v>45.41</v>
      </c>
      <c r="G1329" s="3">
        <v>661.5</v>
      </c>
      <c r="H1329" s="3">
        <v>14.9</v>
      </c>
      <c r="I1329" s="13">
        <f t="shared" si="21"/>
        <v>2.7350803787712001</v>
      </c>
    </row>
    <row r="1330" spans="2:9">
      <c r="C1330" s="3">
        <v>1.9610000000000001</v>
      </c>
      <c r="D1330" s="21">
        <v>218.3</v>
      </c>
      <c r="E1330" s="3">
        <v>124</v>
      </c>
      <c r="F1330" s="3">
        <v>45.1</v>
      </c>
      <c r="G1330" s="3">
        <v>661.4</v>
      </c>
      <c r="H1330" s="3">
        <v>14.83</v>
      </c>
      <c r="I1330" s="13">
        <f t="shared" si="21"/>
        <v>2.7494456762749402</v>
      </c>
    </row>
    <row r="1331" spans="2:9">
      <c r="C1331" s="3">
        <v>2.0179999999999998</v>
      </c>
      <c r="D1331" s="21">
        <v>214.2</v>
      </c>
      <c r="E1331" s="3">
        <v>124.3</v>
      </c>
      <c r="F1331" s="3">
        <v>45.18</v>
      </c>
      <c r="G1331" s="3">
        <v>653.1</v>
      </c>
      <c r="H1331" s="3">
        <v>14.31</v>
      </c>
      <c r="I1331" s="13">
        <f t="shared" si="21"/>
        <v>2.75121735281098</v>
      </c>
    </row>
    <row r="1332" spans="2:9">
      <c r="C1332" s="3">
        <v>2.0259999999999998</v>
      </c>
      <c r="D1332" s="21">
        <v>188.8</v>
      </c>
      <c r="E1332" s="3">
        <v>124.6</v>
      </c>
      <c r="F1332" s="3">
        <v>45.05</v>
      </c>
      <c r="G1332" s="3">
        <v>651.29999999999995</v>
      </c>
      <c r="H1332" s="3">
        <v>15.19</v>
      </c>
      <c r="I1332" s="13">
        <f t="shared" si="21"/>
        <v>2.7658157602663702</v>
      </c>
    </row>
    <row r="1333" spans="2:9">
      <c r="C1333" s="3">
        <v>2.016</v>
      </c>
      <c r="D1333" s="21">
        <v>172.4</v>
      </c>
      <c r="E1333" s="3">
        <v>123.9</v>
      </c>
      <c r="F1333" s="3">
        <v>44.61</v>
      </c>
      <c r="G1333" s="3">
        <v>652.1</v>
      </c>
      <c r="H1333" s="3">
        <v>17.059999999999999</v>
      </c>
      <c r="I1333" s="13">
        <f t="shared" si="21"/>
        <v>2.7774041694687299</v>
      </c>
    </row>
    <row r="1334" spans="2:9">
      <c r="C1334" s="3">
        <v>1.996</v>
      </c>
      <c r="D1334" s="21">
        <v>176.4</v>
      </c>
      <c r="E1334" s="3">
        <v>124.1</v>
      </c>
      <c r="F1334" s="3">
        <v>44.81</v>
      </c>
      <c r="G1334" s="3">
        <v>644.29999999999995</v>
      </c>
      <c r="H1334" s="3">
        <v>14.9</v>
      </c>
      <c r="I1334" s="13">
        <f t="shared" si="21"/>
        <v>2.7694711002008501</v>
      </c>
    </row>
    <row r="1335" spans="2:9">
      <c r="C1335" s="3">
        <v>1.992</v>
      </c>
      <c r="D1335" s="21">
        <v>172.5</v>
      </c>
      <c r="E1335" s="3">
        <v>123.8</v>
      </c>
      <c r="F1335" s="3">
        <v>45.09</v>
      </c>
      <c r="G1335" s="3">
        <v>640.29999999999995</v>
      </c>
      <c r="H1335" s="3">
        <v>16.27</v>
      </c>
      <c r="I1335" s="13">
        <f t="shared" si="21"/>
        <v>2.7456198713683699</v>
      </c>
    </row>
    <row r="1336" spans="2:9">
      <c r="C1336" s="3">
        <v>2.016</v>
      </c>
      <c r="D1336" s="21">
        <v>215.9</v>
      </c>
      <c r="E1336" s="3">
        <v>123.5</v>
      </c>
      <c r="F1336" s="3">
        <v>45.34</v>
      </c>
      <c r="G1336" s="3">
        <v>650</v>
      </c>
      <c r="H1336" s="3">
        <v>15.72</v>
      </c>
      <c r="I1336" s="13">
        <f t="shared" si="21"/>
        <v>2.72386413762682</v>
      </c>
    </row>
    <row r="1337" spans="2:9">
      <c r="C1337" s="3">
        <v>2.024</v>
      </c>
      <c r="D1337" s="21">
        <v>171.9</v>
      </c>
      <c r="E1337" s="3">
        <v>123.9</v>
      </c>
      <c r="F1337" s="3">
        <v>45.12</v>
      </c>
      <c r="G1337" s="3">
        <v>645.29999999999995</v>
      </c>
      <c r="H1337" s="3">
        <v>14.59</v>
      </c>
      <c r="I1337" s="13">
        <f t="shared" si="21"/>
        <v>2.7460106382978702</v>
      </c>
    </row>
    <row r="1338" spans="2:9">
      <c r="C1338" s="3">
        <v>2.0289999999999999</v>
      </c>
      <c r="D1338" s="21">
        <v>164.3</v>
      </c>
      <c r="E1338" s="3">
        <v>123.8</v>
      </c>
      <c r="F1338" s="3">
        <v>45.34</v>
      </c>
      <c r="G1338" s="3">
        <v>654.6</v>
      </c>
      <c r="H1338" s="3">
        <v>14.31</v>
      </c>
      <c r="I1338" s="13">
        <f t="shared" si="21"/>
        <v>2.7304808116453501</v>
      </c>
    </row>
    <row r="1339" spans="2:9">
      <c r="C1339" s="3">
        <v>2.0329999999999999</v>
      </c>
      <c r="D1339" s="21">
        <v>187.4</v>
      </c>
      <c r="E1339" s="3">
        <v>123.5</v>
      </c>
      <c r="F1339" s="3">
        <v>45.56</v>
      </c>
      <c r="G1339" s="3">
        <v>661.5</v>
      </c>
      <c r="H1339" s="3">
        <v>14.83</v>
      </c>
      <c r="I1339" s="13">
        <f t="shared" si="21"/>
        <v>2.7107111501316901</v>
      </c>
    </row>
    <row r="1340" spans="2:9">
      <c r="C1340" s="3">
        <v>2.028</v>
      </c>
      <c r="D1340" s="21">
        <v>163.30000000000001</v>
      </c>
      <c r="E1340" s="3">
        <v>124.3</v>
      </c>
      <c r="F1340" s="3">
        <v>45.43</v>
      </c>
      <c r="G1340" s="3">
        <v>655.9</v>
      </c>
      <c r="H1340" s="3">
        <v>15.54</v>
      </c>
      <c r="I1340" s="13">
        <f t="shared" si="21"/>
        <v>2.7360774818401898</v>
      </c>
    </row>
    <row r="1341" spans="2:9">
      <c r="C1341" s="3">
        <v>2.0150000000000001</v>
      </c>
      <c r="D1341" s="21">
        <v>177</v>
      </c>
      <c r="E1341" s="3">
        <v>124.5</v>
      </c>
      <c r="F1341" s="3">
        <v>43.81</v>
      </c>
      <c r="G1341" s="3">
        <v>651.29999999999995</v>
      </c>
      <c r="H1341" s="3">
        <v>14.9</v>
      </c>
      <c r="I1341" s="13">
        <f t="shared" si="21"/>
        <v>2.84181693677243</v>
      </c>
    </row>
    <row r="1342" spans="2:9">
      <c r="B1342" s="16">
        <v>68</v>
      </c>
      <c r="C1342" s="16">
        <v>2.7410000000000001</v>
      </c>
      <c r="D1342" s="29">
        <v>191.6</v>
      </c>
      <c r="E1342" s="16">
        <v>106.8</v>
      </c>
      <c r="F1342" s="16">
        <v>44.67</v>
      </c>
      <c r="G1342" s="16">
        <v>637.5</v>
      </c>
      <c r="H1342" s="16">
        <v>17.309999999999999</v>
      </c>
      <c r="I1342" s="13">
        <f t="shared" si="21"/>
        <v>2.3908663532572199</v>
      </c>
    </row>
    <row r="1343" spans="2:9">
      <c r="C1343" s="3">
        <v>2.774</v>
      </c>
      <c r="D1343" s="21">
        <v>178.1</v>
      </c>
      <c r="E1343" s="3">
        <v>106.3</v>
      </c>
      <c r="F1343" s="3">
        <v>44.65</v>
      </c>
      <c r="G1343" s="3">
        <v>635.1</v>
      </c>
      <c r="H1343" s="3">
        <v>16.75</v>
      </c>
      <c r="I1343" s="13">
        <f t="shared" si="21"/>
        <v>2.3807390817469201</v>
      </c>
    </row>
    <row r="1344" spans="2:9">
      <c r="C1344" s="3">
        <v>2.7770000000000001</v>
      </c>
      <c r="D1344" s="21">
        <v>171.9</v>
      </c>
      <c r="E1344" s="3">
        <v>106.4</v>
      </c>
      <c r="F1344" s="3">
        <v>44.12</v>
      </c>
      <c r="G1344" s="3">
        <v>630.4</v>
      </c>
      <c r="H1344" s="3">
        <v>16.97</v>
      </c>
      <c r="I1344" s="13">
        <f t="shared" si="21"/>
        <v>2.4116047144152302</v>
      </c>
    </row>
    <row r="1345" spans="3:9">
      <c r="C1345" s="3">
        <v>2.8029999999999999</v>
      </c>
      <c r="D1345" s="21">
        <v>191</v>
      </c>
      <c r="E1345" s="3">
        <v>106.5</v>
      </c>
      <c r="F1345" s="3">
        <v>44.7</v>
      </c>
      <c r="G1345" s="3">
        <v>628.9</v>
      </c>
      <c r="H1345" s="3">
        <v>17.2</v>
      </c>
      <c r="I1345" s="13">
        <f t="shared" si="21"/>
        <v>2.3825503355704698</v>
      </c>
    </row>
    <row r="1346" spans="3:9">
      <c r="C1346" s="3">
        <v>2.819</v>
      </c>
      <c r="D1346" s="21">
        <v>178.2</v>
      </c>
      <c r="E1346" s="3">
        <v>106.6</v>
      </c>
      <c r="F1346" s="3">
        <v>44.52</v>
      </c>
      <c r="G1346" s="3">
        <v>630.4</v>
      </c>
      <c r="H1346" s="3">
        <v>19.12</v>
      </c>
      <c r="I1346" s="13">
        <f t="shared" si="21"/>
        <v>2.3944294699011701</v>
      </c>
    </row>
    <row r="1347" spans="3:9">
      <c r="C1347" s="3">
        <v>2.8170000000000002</v>
      </c>
      <c r="D1347" s="21">
        <v>178.5</v>
      </c>
      <c r="E1347" s="3">
        <v>106.4</v>
      </c>
      <c r="F1347" s="3">
        <v>44.4</v>
      </c>
      <c r="G1347" s="3">
        <v>630</v>
      </c>
      <c r="H1347" s="3">
        <v>18.690000000000001</v>
      </c>
      <c r="I1347" s="13">
        <f t="shared" ref="I1347:I1410" si="22">E1347/F1347</f>
        <v>2.3963963963963999</v>
      </c>
    </row>
    <row r="1348" spans="3:9">
      <c r="C1348" s="3">
        <v>2.8210000000000002</v>
      </c>
      <c r="D1348" s="21">
        <v>191.7</v>
      </c>
      <c r="E1348" s="3">
        <v>106.6</v>
      </c>
      <c r="F1348" s="3">
        <v>44.84</v>
      </c>
      <c r="G1348" s="3">
        <v>633.70000000000005</v>
      </c>
      <c r="H1348" s="3">
        <v>18.78</v>
      </c>
      <c r="I1348" s="13">
        <f t="shared" si="22"/>
        <v>2.37734165923283</v>
      </c>
    </row>
    <row r="1349" spans="3:9">
      <c r="C1349" s="3">
        <v>2.8079999999999998</v>
      </c>
      <c r="D1349" s="21">
        <v>175.1</v>
      </c>
      <c r="E1349" s="3">
        <v>106.4</v>
      </c>
      <c r="F1349" s="3">
        <v>44.56</v>
      </c>
      <c r="G1349" s="3">
        <v>635.4</v>
      </c>
      <c r="H1349" s="3">
        <v>17.850000000000001</v>
      </c>
      <c r="I1349" s="13">
        <f t="shared" si="22"/>
        <v>2.3877917414721699</v>
      </c>
    </row>
    <row r="1350" spans="3:9">
      <c r="C1350" s="3">
        <v>2.819</v>
      </c>
      <c r="D1350" s="21">
        <v>202.9</v>
      </c>
      <c r="E1350" s="3">
        <v>106.7</v>
      </c>
      <c r="F1350" s="3">
        <v>44.4</v>
      </c>
      <c r="G1350" s="3">
        <v>639.29999999999995</v>
      </c>
      <c r="H1350" s="3">
        <v>17.61</v>
      </c>
      <c r="I1350" s="13">
        <f t="shared" si="22"/>
        <v>2.4031531531531498</v>
      </c>
    </row>
    <row r="1351" spans="3:9">
      <c r="C1351" s="3">
        <v>2.8</v>
      </c>
      <c r="D1351" s="21">
        <v>200.8</v>
      </c>
      <c r="E1351" s="3">
        <v>106.8</v>
      </c>
      <c r="F1351" s="3">
        <v>44.7</v>
      </c>
      <c r="G1351" s="3">
        <v>639</v>
      </c>
      <c r="H1351" s="3">
        <v>17.09</v>
      </c>
      <c r="I1351" s="13">
        <f t="shared" si="22"/>
        <v>2.3892617449664399</v>
      </c>
    </row>
    <row r="1352" spans="3:9">
      <c r="C1352" s="3">
        <v>2.7829999999999999</v>
      </c>
      <c r="D1352" s="21">
        <v>196.7</v>
      </c>
      <c r="E1352" s="3">
        <v>106.5</v>
      </c>
      <c r="F1352" s="3">
        <v>44.84</v>
      </c>
      <c r="G1352" s="3">
        <v>637.29999999999995</v>
      </c>
      <c r="H1352" s="3">
        <v>17.170000000000002</v>
      </c>
      <c r="I1352" s="13">
        <f t="shared" si="22"/>
        <v>2.37511150758252</v>
      </c>
    </row>
    <row r="1353" spans="3:9">
      <c r="C1353" s="3">
        <v>2.742</v>
      </c>
      <c r="D1353" s="21">
        <v>211.6</v>
      </c>
      <c r="E1353" s="3">
        <v>107</v>
      </c>
      <c r="F1353" s="3">
        <v>44.83</v>
      </c>
      <c r="G1353" s="3">
        <v>630</v>
      </c>
      <c r="H1353" s="3">
        <v>17.899999999999999</v>
      </c>
      <c r="I1353" s="13">
        <f t="shared" si="22"/>
        <v>2.3867945572161502</v>
      </c>
    </row>
    <row r="1354" spans="3:9">
      <c r="C1354" s="3">
        <v>2.7040000000000002</v>
      </c>
      <c r="D1354" s="21">
        <v>198.2</v>
      </c>
      <c r="E1354" s="3">
        <v>106.7</v>
      </c>
      <c r="F1354" s="3">
        <v>44.68</v>
      </c>
      <c r="G1354" s="3">
        <v>631.79999999999995</v>
      </c>
      <c r="H1354" s="3">
        <v>17.510000000000002</v>
      </c>
      <c r="I1354" s="13">
        <f t="shared" si="22"/>
        <v>2.3880931065353601</v>
      </c>
    </row>
    <row r="1355" spans="3:9">
      <c r="C1355" s="3">
        <v>2.7069999999999999</v>
      </c>
      <c r="D1355" s="21">
        <v>191.3</v>
      </c>
      <c r="E1355" s="3">
        <v>106.3</v>
      </c>
      <c r="F1355" s="3">
        <v>44.82</v>
      </c>
      <c r="G1355" s="3">
        <v>625.5</v>
      </c>
      <c r="H1355" s="3">
        <v>17.71</v>
      </c>
      <c r="I1355" s="13">
        <f t="shared" si="22"/>
        <v>2.3717090584560498</v>
      </c>
    </row>
    <row r="1356" spans="3:9">
      <c r="C1356" s="3">
        <v>2.7679999999999998</v>
      </c>
      <c r="D1356" s="21">
        <v>171.9</v>
      </c>
      <c r="E1356" s="3">
        <v>106.4</v>
      </c>
      <c r="F1356" s="3">
        <v>44.54</v>
      </c>
      <c r="G1356" s="3">
        <v>622.6</v>
      </c>
      <c r="H1356" s="3">
        <v>17.66</v>
      </c>
      <c r="I1356" s="13">
        <f t="shared" si="22"/>
        <v>2.38886394252357</v>
      </c>
    </row>
    <row r="1357" spans="3:9">
      <c r="C1357" s="3">
        <v>2.8</v>
      </c>
      <c r="D1357" s="21">
        <v>171.3</v>
      </c>
      <c r="E1357" s="3">
        <v>106.7</v>
      </c>
      <c r="F1357" s="3">
        <v>44.25</v>
      </c>
      <c r="G1357" s="3">
        <v>618.79999999999995</v>
      </c>
      <c r="H1357" s="3">
        <v>18.649999999999999</v>
      </c>
      <c r="I1357" s="13">
        <f t="shared" si="22"/>
        <v>2.4112994350282499</v>
      </c>
    </row>
    <row r="1358" spans="3:9">
      <c r="C1358" s="3">
        <v>2.8039999999999998</v>
      </c>
      <c r="D1358" s="21">
        <v>185.9</v>
      </c>
      <c r="E1358" s="3">
        <v>106.6</v>
      </c>
      <c r="F1358" s="3">
        <v>44.11</v>
      </c>
      <c r="G1358" s="3">
        <v>625.5</v>
      </c>
      <c r="H1358" s="3">
        <v>17.989999999999998</v>
      </c>
      <c r="I1358" s="13">
        <f t="shared" si="22"/>
        <v>2.4166855588302001</v>
      </c>
    </row>
    <row r="1359" spans="3:9">
      <c r="C1359" s="3">
        <v>2.82</v>
      </c>
      <c r="D1359" s="21">
        <v>202.3</v>
      </c>
      <c r="E1359" s="3">
        <v>106.9</v>
      </c>
      <c r="F1359" s="3">
        <v>44.38</v>
      </c>
      <c r="G1359" s="3">
        <v>629.6</v>
      </c>
      <c r="H1359" s="3">
        <v>17.61</v>
      </c>
      <c r="I1359" s="13">
        <f t="shared" si="22"/>
        <v>2.4087426768814799</v>
      </c>
    </row>
    <row r="1360" spans="3:9">
      <c r="C1360" s="3">
        <v>2.819</v>
      </c>
      <c r="D1360" s="21">
        <v>222</v>
      </c>
      <c r="E1360" s="3">
        <v>106.2</v>
      </c>
      <c r="F1360" s="3">
        <v>44.52</v>
      </c>
      <c r="G1360" s="3">
        <v>631.70000000000005</v>
      </c>
      <c r="H1360" s="3">
        <v>18</v>
      </c>
      <c r="I1360" s="13">
        <f t="shared" si="22"/>
        <v>2.3854447439353099</v>
      </c>
    </row>
    <row r="1361" spans="2:9">
      <c r="C1361" s="3">
        <v>2.7959999999999998</v>
      </c>
      <c r="D1361" s="21">
        <v>199.7</v>
      </c>
      <c r="E1361" s="3">
        <v>106.6</v>
      </c>
      <c r="F1361" s="3">
        <v>44.81</v>
      </c>
      <c r="G1361" s="3">
        <v>633.70000000000005</v>
      </c>
      <c r="H1361" s="3">
        <v>17.43</v>
      </c>
      <c r="I1361" s="13">
        <f t="shared" si="22"/>
        <v>2.3789332738228102</v>
      </c>
    </row>
    <row r="1362" spans="2:9">
      <c r="B1362" s="16">
        <v>69</v>
      </c>
      <c r="C1362" s="16">
        <v>1.7989999999999999</v>
      </c>
      <c r="D1362" s="29">
        <v>161.1</v>
      </c>
      <c r="E1362" s="16">
        <v>82.86</v>
      </c>
      <c r="F1362" s="16">
        <v>33.119999999999997</v>
      </c>
      <c r="G1362" s="16">
        <v>681.9</v>
      </c>
      <c r="H1362" s="16">
        <v>16.04</v>
      </c>
      <c r="I1362" s="13">
        <f t="shared" si="22"/>
        <v>2.5018115942028998</v>
      </c>
    </row>
    <row r="1363" spans="2:9">
      <c r="C1363" s="3">
        <v>1.857</v>
      </c>
      <c r="D1363" s="21">
        <v>165.4</v>
      </c>
      <c r="E1363" s="3">
        <v>82.99</v>
      </c>
      <c r="F1363" s="3">
        <v>33.06</v>
      </c>
      <c r="G1363" s="3">
        <v>683.4</v>
      </c>
      <c r="H1363" s="3">
        <v>17.54</v>
      </c>
      <c r="I1363" s="13">
        <f t="shared" si="22"/>
        <v>2.51028433151845</v>
      </c>
    </row>
    <row r="1364" spans="2:9">
      <c r="C1364" s="3">
        <v>1.788</v>
      </c>
      <c r="D1364" s="21">
        <v>174.7</v>
      </c>
      <c r="E1364" s="3">
        <v>82.58</v>
      </c>
      <c r="F1364" s="3">
        <v>33.19</v>
      </c>
      <c r="G1364" s="3">
        <v>689.5</v>
      </c>
      <c r="H1364" s="3">
        <v>17.7</v>
      </c>
      <c r="I1364" s="13">
        <f t="shared" si="22"/>
        <v>2.48809882494727</v>
      </c>
    </row>
    <row r="1365" spans="2:9">
      <c r="C1365" s="3">
        <v>1.746</v>
      </c>
      <c r="D1365" s="21">
        <v>160.80000000000001</v>
      </c>
      <c r="E1365" s="3">
        <v>82.38</v>
      </c>
      <c r="F1365" s="3">
        <v>33.15</v>
      </c>
      <c r="G1365" s="3">
        <v>689.4</v>
      </c>
      <c r="H1365" s="3">
        <v>17.27</v>
      </c>
      <c r="I1365" s="13">
        <f t="shared" si="22"/>
        <v>2.4850678733031701</v>
      </c>
    </row>
    <row r="1366" spans="2:9">
      <c r="C1366" s="3">
        <v>1.8460000000000001</v>
      </c>
      <c r="D1366" s="21">
        <v>186.6</v>
      </c>
      <c r="E1366" s="3">
        <v>82.74</v>
      </c>
      <c r="F1366" s="3">
        <v>33.119999999999997</v>
      </c>
      <c r="G1366" s="3">
        <v>688.8</v>
      </c>
      <c r="H1366" s="3">
        <v>16.37</v>
      </c>
      <c r="I1366" s="13">
        <f t="shared" si="22"/>
        <v>2.4981884057971002</v>
      </c>
    </row>
    <row r="1367" spans="2:9">
      <c r="C1367" s="3">
        <v>1.831</v>
      </c>
      <c r="D1367" s="21">
        <v>182.8</v>
      </c>
      <c r="E1367" s="3">
        <v>82.7</v>
      </c>
      <c r="F1367" s="3">
        <v>33.26</v>
      </c>
      <c r="G1367" s="3">
        <v>685.8</v>
      </c>
      <c r="H1367" s="3">
        <v>16.41</v>
      </c>
      <c r="I1367" s="13">
        <f t="shared" si="22"/>
        <v>2.4864702345159402</v>
      </c>
    </row>
    <row r="1368" spans="2:9">
      <c r="C1368" s="3">
        <v>1.798</v>
      </c>
      <c r="D1368" s="21">
        <v>180.6</v>
      </c>
      <c r="E1368" s="3">
        <v>82.76</v>
      </c>
      <c r="F1368" s="3">
        <v>33.200000000000003</v>
      </c>
      <c r="G1368" s="3">
        <v>689.3</v>
      </c>
      <c r="H1368" s="3">
        <v>17.2</v>
      </c>
      <c r="I1368" s="13">
        <f t="shared" si="22"/>
        <v>2.4927710843373498</v>
      </c>
    </row>
    <row r="1369" spans="2:9">
      <c r="C1369" s="3">
        <v>1.772</v>
      </c>
      <c r="D1369" s="21">
        <v>161.1</v>
      </c>
      <c r="E1369" s="3">
        <v>82.28</v>
      </c>
      <c r="F1369" s="3">
        <v>33.31</v>
      </c>
      <c r="G1369" s="3">
        <v>687.7</v>
      </c>
      <c r="H1369" s="3">
        <v>17</v>
      </c>
      <c r="I1369" s="13">
        <f t="shared" si="22"/>
        <v>2.4701290903632498</v>
      </c>
    </row>
    <row r="1370" spans="2:9">
      <c r="C1370" s="3">
        <v>1.7989999999999999</v>
      </c>
      <c r="D1370" s="21">
        <v>167.7</v>
      </c>
      <c r="E1370" s="3">
        <v>82.84</v>
      </c>
      <c r="F1370" s="3">
        <v>33.090000000000003</v>
      </c>
      <c r="G1370" s="3">
        <v>687.5</v>
      </c>
      <c r="H1370" s="3">
        <v>17.05</v>
      </c>
      <c r="I1370" s="13">
        <f t="shared" si="22"/>
        <v>2.5034753702024801</v>
      </c>
    </row>
    <row r="1371" spans="2:9">
      <c r="C1371" s="3">
        <v>1.8320000000000001</v>
      </c>
      <c r="D1371" s="21">
        <v>186.6</v>
      </c>
      <c r="E1371" s="3">
        <v>82.02</v>
      </c>
      <c r="F1371" s="3">
        <v>33.42</v>
      </c>
      <c r="G1371" s="3">
        <v>686.9</v>
      </c>
      <c r="H1371" s="3">
        <v>17.16</v>
      </c>
      <c r="I1371" s="13">
        <f t="shared" si="22"/>
        <v>2.4542190305206502</v>
      </c>
    </row>
    <row r="1372" spans="2:9">
      <c r="C1372" s="3">
        <v>1.875</v>
      </c>
      <c r="D1372" s="21">
        <v>182.8</v>
      </c>
      <c r="E1372" s="3">
        <v>82.4</v>
      </c>
      <c r="F1372" s="3">
        <v>33.31</v>
      </c>
      <c r="G1372" s="3">
        <v>687.2</v>
      </c>
      <c r="H1372" s="3">
        <v>17.07</v>
      </c>
      <c r="I1372" s="13">
        <f t="shared" si="22"/>
        <v>2.47373161212849</v>
      </c>
    </row>
    <row r="1373" spans="2:9">
      <c r="C1373" s="3">
        <v>1.859</v>
      </c>
      <c r="D1373" s="21">
        <v>224.5</v>
      </c>
      <c r="E1373" s="3">
        <v>82.34</v>
      </c>
      <c r="F1373" s="3">
        <v>33.200000000000003</v>
      </c>
      <c r="G1373" s="3">
        <v>686</v>
      </c>
      <c r="H1373" s="3">
        <v>17.02</v>
      </c>
      <c r="I1373" s="13">
        <f t="shared" si="22"/>
        <v>2.4801204819277101</v>
      </c>
    </row>
    <row r="1374" spans="2:9">
      <c r="C1374" s="3">
        <v>1.865</v>
      </c>
      <c r="D1374" s="21">
        <v>197.7</v>
      </c>
      <c r="E1374" s="3">
        <v>82.48</v>
      </c>
      <c r="F1374" s="3">
        <v>33.31</v>
      </c>
      <c r="G1374" s="3">
        <v>685.9</v>
      </c>
      <c r="H1374" s="3">
        <v>17.05</v>
      </c>
      <c r="I1374" s="13">
        <f t="shared" si="22"/>
        <v>2.4761332933053102</v>
      </c>
    </row>
    <row r="1375" spans="2:9">
      <c r="C1375" s="3">
        <v>1.8240000000000001</v>
      </c>
      <c r="D1375" s="21">
        <v>198</v>
      </c>
      <c r="E1375" s="3">
        <v>82.86</v>
      </c>
      <c r="F1375" s="3">
        <v>33.14</v>
      </c>
      <c r="G1375" s="3">
        <v>684.1</v>
      </c>
      <c r="H1375" s="3">
        <v>17.350000000000001</v>
      </c>
      <c r="I1375" s="13">
        <f t="shared" si="22"/>
        <v>2.5003017501508702</v>
      </c>
    </row>
    <row r="1376" spans="2:9">
      <c r="C1376" s="3">
        <v>1.833</v>
      </c>
      <c r="D1376" s="21">
        <v>182.7</v>
      </c>
      <c r="E1376" s="3">
        <v>82.67</v>
      </c>
      <c r="F1376" s="3">
        <v>33.119999999999997</v>
      </c>
      <c r="G1376" s="3">
        <v>684.4</v>
      </c>
      <c r="H1376" s="3">
        <v>17.84</v>
      </c>
      <c r="I1376" s="13">
        <f t="shared" si="22"/>
        <v>2.49607487922705</v>
      </c>
    </row>
    <row r="1377" spans="2:9">
      <c r="C1377" s="3">
        <v>1.84</v>
      </c>
      <c r="D1377" s="21">
        <v>212.3</v>
      </c>
      <c r="E1377" s="3">
        <v>82.36</v>
      </c>
      <c r="F1377" s="3">
        <v>33.04</v>
      </c>
      <c r="G1377" s="3">
        <v>688.2</v>
      </c>
      <c r="H1377" s="3">
        <v>18.21</v>
      </c>
      <c r="I1377" s="13">
        <f t="shared" si="22"/>
        <v>2.4927360774818399</v>
      </c>
    </row>
    <row r="1378" spans="2:9">
      <c r="C1378" s="3">
        <v>1.8140000000000001</v>
      </c>
      <c r="D1378" s="21">
        <v>211.3</v>
      </c>
      <c r="E1378" s="3">
        <v>82.34</v>
      </c>
      <c r="F1378" s="3">
        <v>33.61</v>
      </c>
      <c r="G1378" s="3">
        <v>689.3</v>
      </c>
      <c r="H1378" s="3">
        <v>17.8</v>
      </c>
      <c r="I1378" s="13">
        <f t="shared" si="22"/>
        <v>2.44986611127641</v>
      </c>
    </row>
    <row r="1379" spans="2:9">
      <c r="C1379" s="3">
        <v>1.8740000000000001</v>
      </c>
      <c r="D1379" s="21">
        <v>182.7</v>
      </c>
      <c r="E1379" s="3">
        <v>82.3</v>
      </c>
      <c r="F1379" s="3">
        <v>33.49</v>
      </c>
      <c r="G1379" s="3">
        <v>687.2</v>
      </c>
      <c r="H1379" s="3">
        <v>17.579999999999998</v>
      </c>
      <c r="I1379" s="13">
        <f t="shared" si="22"/>
        <v>2.4574499850701699</v>
      </c>
    </row>
    <row r="1380" spans="2:9">
      <c r="C1380" s="3">
        <v>1.857</v>
      </c>
      <c r="D1380" s="21">
        <v>161.1</v>
      </c>
      <c r="E1380" s="3">
        <v>82.85</v>
      </c>
      <c r="F1380" s="3">
        <v>33.299999999999997</v>
      </c>
      <c r="G1380" s="3">
        <v>685.4</v>
      </c>
      <c r="H1380" s="3">
        <v>17.55</v>
      </c>
      <c r="I1380" s="13">
        <f t="shared" si="22"/>
        <v>2.48798798798799</v>
      </c>
    </row>
    <row r="1381" spans="2:9">
      <c r="C1381" s="3">
        <v>1.83</v>
      </c>
      <c r="D1381" s="21">
        <v>167</v>
      </c>
      <c r="E1381" s="3">
        <v>82.66</v>
      </c>
      <c r="F1381" s="3">
        <v>33.15</v>
      </c>
      <c r="G1381" s="3">
        <v>682.9</v>
      </c>
      <c r="H1381" s="3">
        <v>17.27</v>
      </c>
      <c r="I1381" s="13">
        <f t="shared" si="22"/>
        <v>2.49351432880845</v>
      </c>
    </row>
    <row r="1382" spans="2:9">
      <c r="B1382" s="16">
        <v>70</v>
      </c>
      <c r="C1382" s="16">
        <v>2.6389999999999998</v>
      </c>
      <c r="D1382" s="29">
        <v>146.01</v>
      </c>
      <c r="E1382" s="16">
        <v>86.67</v>
      </c>
      <c r="F1382" s="16">
        <v>32.619999999999997</v>
      </c>
      <c r="G1382" s="16">
        <v>726.4</v>
      </c>
      <c r="H1382" s="16">
        <v>9.6199999999999992</v>
      </c>
      <c r="I1382" s="13">
        <f t="shared" si="22"/>
        <v>2.65695892090742</v>
      </c>
    </row>
    <row r="1383" spans="2:9">
      <c r="C1383" s="3">
        <v>2.7080000000000002</v>
      </c>
      <c r="D1383" s="21">
        <v>146.43</v>
      </c>
      <c r="E1383" s="3">
        <v>86.57</v>
      </c>
      <c r="F1383" s="3">
        <v>32.22</v>
      </c>
      <c r="G1383" s="3">
        <v>726.5</v>
      </c>
      <c r="H1383" s="3">
        <v>10.68</v>
      </c>
      <c r="I1383" s="13">
        <f t="shared" si="22"/>
        <v>2.6868404717566698</v>
      </c>
    </row>
    <row r="1384" spans="2:9">
      <c r="C1384" s="3">
        <v>2.6720000000000002</v>
      </c>
      <c r="D1384" s="21">
        <v>145.09</v>
      </c>
      <c r="E1384" s="3">
        <v>86.7</v>
      </c>
      <c r="F1384" s="3">
        <v>31.83</v>
      </c>
      <c r="G1384" s="3">
        <v>728.3</v>
      </c>
      <c r="H1384" s="3">
        <v>10.7</v>
      </c>
      <c r="I1384" s="13">
        <f t="shared" si="22"/>
        <v>2.7238454288407201</v>
      </c>
    </row>
    <row r="1385" spans="2:9">
      <c r="C1385" s="3">
        <v>2.6360000000000001</v>
      </c>
      <c r="D1385" s="21">
        <v>153.61000000000001</v>
      </c>
      <c r="E1385" s="3">
        <v>86.91</v>
      </c>
      <c r="F1385" s="3">
        <v>31.82</v>
      </c>
      <c r="G1385" s="3">
        <v>726.6</v>
      </c>
      <c r="H1385" s="3">
        <v>10.199999999999999</v>
      </c>
      <c r="I1385" s="13">
        <f t="shared" si="22"/>
        <v>2.73130106851037</v>
      </c>
    </row>
    <row r="1386" spans="2:9">
      <c r="C1386" s="3">
        <v>2.5790000000000002</v>
      </c>
      <c r="D1386" s="21">
        <v>146.01</v>
      </c>
      <c r="E1386" s="3">
        <v>86.33</v>
      </c>
      <c r="F1386" s="3">
        <v>32.21</v>
      </c>
      <c r="G1386" s="3">
        <v>725.8</v>
      </c>
      <c r="H1386" s="3">
        <v>8.7100000000000009</v>
      </c>
      <c r="I1386" s="13">
        <f t="shared" si="22"/>
        <v>2.6802235330642699</v>
      </c>
    </row>
    <row r="1387" spans="2:9">
      <c r="C1387" s="3">
        <v>2.4510000000000001</v>
      </c>
      <c r="D1387" s="21">
        <v>166.7</v>
      </c>
      <c r="E1387" s="3">
        <v>86.12</v>
      </c>
      <c r="F1387" s="3">
        <v>32.020000000000003</v>
      </c>
      <c r="G1387" s="3">
        <v>729.8</v>
      </c>
      <c r="H1387" s="3">
        <v>8.6240000000000006</v>
      </c>
      <c r="I1387" s="13">
        <f t="shared" si="22"/>
        <v>2.6895690193628998</v>
      </c>
    </row>
    <row r="1388" spans="2:9">
      <c r="C1388" s="3">
        <v>2.516</v>
      </c>
      <c r="D1388" s="21">
        <v>155.09</v>
      </c>
      <c r="E1388" s="3">
        <v>86.93</v>
      </c>
      <c r="F1388" s="3">
        <v>31.82</v>
      </c>
      <c r="G1388" s="3">
        <v>732.8</v>
      </c>
      <c r="H1388" s="3">
        <v>9.65</v>
      </c>
      <c r="I1388" s="13">
        <f t="shared" si="22"/>
        <v>2.7319296040226302</v>
      </c>
    </row>
    <row r="1389" spans="2:9">
      <c r="C1389" s="3">
        <v>2.5579999999999998</v>
      </c>
      <c r="D1389" s="21">
        <v>140.41999999999999</v>
      </c>
      <c r="E1389" s="3">
        <v>86.94</v>
      </c>
      <c r="F1389" s="3">
        <v>31.18</v>
      </c>
      <c r="G1389" s="3">
        <v>735.6</v>
      </c>
      <c r="H1389" s="3">
        <v>8.7100000000000009</v>
      </c>
      <c r="I1389" s="13">
        <f t="shared" si="22"/>
        <v>2.7883258499037802</v>
      </c>
    </row>
    <row r="1390" spans="2:9">
      <c r="C1390" s="3">
        <v>2.6360000000000001</v>
      </c>
      <c r="D1390" s="21">
        <v>141.93</v>
      </c>
      <c r="E1390" s="3">
        <v>86.95</v>
      </c>
      <c r="F1390" s="3">
        <v>32.020000000000003</v>
      </c>
      <c r="G1390" s="3">
        <v>733.8</v>
      </c>
      <c r="H1390" s="3">
        <v>7.7359999999999998</v>
      </c>
      <c r="I1390" s="13">
        <f t="shared" si="22"/>
        <v>2.7154903185509101</v>
      </c>
    </row>
    <row r="1391" spans="2:9">
      <c r="C1391" s="3">
        <v>2.6720000000000002</v>
      </c>
      <c r="D1391" s="21">
        <v>151.19999999999999</v>
      </c>
      <c r="E1391" s="3">
        <v>87.12</v>
      </c>
      <c r="F1391" s="3">
        <v>32.229999999999997</v>
      </c>
      <c r="G1391" s="3">
        <v>732.7</v>
      </c>
      <c r="H1391" s="3">
        <v>6.9829999999999997</v>
      </c>
      <c r="I1391" s="13">
        <f t="shared" si="22"/>
        <v>2.7030716723549499</v>
      </c>
    </row>
    <row r="1392" spans="2:9">
      <c r="C1392" s="3">
        <v>2.6960000000000002</v>
      </c>
      <c r="D1392" s="21">
        <v>142.80000000000001</v>
      </c>
      <c r="E1392" s="3">
        <v>86.53</v>
      </c>
      <c r="F1392" s="3">
        <v>31.71</v>
      </c>
      <c r="G1392" s="3">
        <v>732.8</v>
      </c>
      <c r="H1392" s="3">
        <v>9.6199999999999992</v>
      </c>
      <c r="I1392" s="13">
        <f t="shared" si="22"/>
        <v>2.7287921791233001</v>
      </c>
    </row>
    <row r="1393" spans="2:9">
      <c r="C1393" s="3">
        <v>2.6469999999999998</v>
      </c>
      <c r="D1393" s="21">
        <v>142.26</v>
      </c>
      <c r="E1393" s="3">
        <v>86.57</v>
      </c>
      <c r="F1393" s="3">
        <v>31.72</v>
      </c>
      <c r="G1393" s="3">
        <v>735.9</v>
      </c>
      <c r="H1393" s="3">
        <v>8.7100000000000009</v>
      </c>
      <c r="I1393" s="13">
        <f t="shared" si="22"/>
        <v>2.7291929382093301</v>
      </c>
    </row>
    <row r="1394" spans="2:9">
      <c r="C1394" s="3">
        <v>2.6509999999999998</v>
      </c>
      <c r="D1394" s="21">
        <v>132.77000000000001</v>
      </c>
      <c r="E1394" s="3">
        <v>86.76</v>
      </c>
      <c r="F1394" s="3">
        <v>32.200000000000003</v>
      </c>
      <c r="G1394" s="3">
        <v>732.6</v>
      </c>
      <c r="H1394" s="3">
        <v>9.3279999999999994</v>
      </c>
      <c r="I1394" s="13">
        <f t="shared" si="22"/>
        <v>2.6944099378881998</v>
      </c>
    </row>
    <row r="1395" spans="2:9">
      <c r="C1395" s="3">
        <v>2.6219999999999999</v>
      </c>
      <c r="D1395" s="21">
        <v>135.44999999999999</v>
      </c>
      <c r="E1395" s="3">
        <v>86.73</v>
      </c>
      <c r="F1395" s="3">
        <v>32.69</v>
      </c>
      <c r="G1395" s="3">
        <v>734.5</v>
      </c>
      <c r="H1395" s="3">
        <v>7.798</v>
      </c>
      <c r="I1395" s="13">
        <f t="shared" si="22"/>
        <v>2.6531049250535301</v>
      </c>
    </row>
    <row r="1396" spans="2:9">
      <c r="C1396" s="3">
        <v>2.4969999999999999</v>
      </c>
      <c r="D1396" s="21">
        <v>146.36000000000001</v>
      </c>
      <c r="E1396" s="3">
        <v>86.72</v>
      </c>
      <c r="F1396" s="3">
        <v>31.87</v>
      </c>
      <c r="G1396" s="3">
        <v>731.5</v>
      </c>
      <c r="H1396" s="3">
        <v>7.7359999999999998</v>
      </c>
      <c r="I1396" s="13">
        <f t="shared" si="22"/>
        <v>2.7210542830247899</v>
      </c>
    </row>
    <row r="1397" spans="2:9">
      <c r="C1397" s="3">
        <v>2.4609999999999999</v>
      </c>
      <c r="D1397" s="21">
        <v>149.35</v>
      </c>
      <c r="E1397" s="3">
        <v>86.33</v>
      </c>
      <c r="F1397" s="3">
        <v>32.04</v>
      </c>
      <c r="G1397" s="3">
        <v>726.8</v>
      </c>
      <c r="H1397" s="3">
        <v>8.7100000000000009</v>
      </c>
      <c r="I1397" s="13">
        <f t="shared" si="22"/>
        <v>2.6944444444444402</v>
      </c>
    </row>
    <row r="1398" spans="2:9">
      <c r="C1398" s="3">
        <v>2.4430000000000001</v>
      </c>
      <c r="D1398" s="21">
        <v>155.16999999999999</v>
      </c>
      <c r="E1398" s="3">
        <v>86.57</v>
      </c>
      <c r="F1398" s="3">
        <v>32.01</v>
      </c>
      <c r="G1398" s="3">
        <v>729.8</v>
      </c>
      <c r="H1398" s="3">
        <v>7.7969999999999997</v>
      </c>
      <c r="I1398" s="13">
        <f t="shared" si="22"/>
        <v>2.7044673539518902</v>
      </c>
    </row>
    <row r="1399" spans="2:9">
      <c r="C1399" s="3">
        <v>2.5579999999999998</v>
      </c>
      <c r="D1399" s="21">
        <v>159.36000000000001</v>
      </c>
      <c r="E1399" s="3">
        <v>86.93</v>
      </c>
      <c r="F1399" s="3">
        <v>32.65</v>
      </c>
      <c r="G1399" s="3">
        <v>730.7</v>
      </c>
      <c r="H1399" s="3">
        <v>8.6240000000000006</v>
      </c>
      <c r="I1399" s="13">
        <f t="shared" si="22"/>
        <v>2.6624808575804</v>
      </c>
    </row>
    <row r="1400" spans="2:9">
      <c r="C1400" s="3">
        <v>2.649</v>
      </c>
      <c r="D1400" s="21">
        <v>153.09</v>
      </c>
      <c r="E1400" s="3">
        <v>86.96</v>
      </c>
      <c r="F1400" s="3">
        <v>32.32</v>
      </c>
      <c r="G1400" s="3">
        <v>730.9</v>
      </c>
      <c r="H1400" s="3">
        <v>9.3279999999999994</v>
      </c>
      <c r="I1400" s="13">
        <f t="shared" si="22"/>
        <v>2.6905940594059401</v>
      </c>
    </row>
    <row r="1401" spans="2:9">
      <c r="C1401" s="3">
        <v>2.6960000000000002</v>
      </c>
      <c r="D1401" s="21">
        <v>155.09</v>
      </c>
      <c r="E1401" s="3">
        <v>86.98</v>
      </c>
      <c r="F1401" s="3">
        <v>32.18</v>
      </c>
      <c r="G1401" s="3">
        <v>728.7</v>
      </c>
      <c r="H1401" s="3">
        <v>8.4570000000000007</v>
      </c>
      <c r="I1401" s="13">
        <f t="shared" si="22"/>
        <v>2.7029210689869498</v>
      </c>
    </row>
    <row r="1402" spans="2:9">
      <c r="B1402" s="16">
        <v>71</v>
      </c>
      <c r="C1402" s="16">
        <v>2.0990000000000002</v>
      </c>
      <c r="D1402" s="29">
        <v>293.2</v>
      </c>
      <c r="E1402" s="16">
        <v>90.53</v>
      </c>
      <c r="F1402" s="16">
        <v>43.31</v>
      </c>
      <c r="G1402" s="16">
        <v>640.1</v>
      </c>
      <c r="H1402" s="16">
        <v>13.69</v>
      </c>
      <c r="I1402" s="13">
        <f t="shared" si="22"/>
        <v>2.09027938120526</v>
      </c>
    </row>
    <row r="1403" spans="2:9">
      <c r="C1403" s="3">
        <v>2.15</v>
      </c>
      <c r="D1403" s="21">
        <v>275.5</v>
      </c>
      <c r="E1403" s="3">
        <v>91.31</v>
      </c>
      <c r="F1403" s="3">
        <v>43.14</v>
      </c>
      <c r="G1403" s="3">
        <v>637</v>
      </c>
      <c r="H1403" s="3">
        <v>12.38</v>
      </c>
      <c r="I1403" s="13">
        <f t="shared" si="22"/>
        <v>2.1165971256374601</v>
      </c>
    </row>
    <row r="1404" spans="2:9">
      <c r="C1404" s="3">
        <v>2.153</v>
      </c>
      <c r="D1404" s="21">
        <v>211.3</v>
      </c>
      <c r="E1404" s="3">
        <v>90.71</v>
      </c>
      <c r="F1404" s="3">
        <v>43.31</v>
      </c>
      <c r="G1404" s="3">
        <v>635.70000000000005</v>
      </c>
      <c r="H1404" s="3">
        <v>13.8</v>
      </c>
      <c r="I1404" s="13">
        <f t="shared" si="22"/>
        <v>2.0944354652505202</v>
      </c>
    </row>
    <row r="1405" spans="2:9">
      <c r="C1405" s="3">
        <v>2.1539999999999999</v>
      </c>
      <c r="D1405" s="21">
        <v>219.6</v>
      </c>
      <c r="E1405" s="3">
        <v>90.55</v>
      </c>
      <c r="F1405" s="3">
        <v>43.39</v>
      </c>
      <c r="G1405" s="3">
        <v>635.6</v>
      </c>
      <c r="H1405" s="3">
        <v>13.41</v>
      </c>
      <c r="I1405" s="13">
        <f t="shared" si="22"/>
        <v>2.08688637935008</v>
      </c>
    </row>
    <row r="1406" spans="2:9">
      <c r="C1406" s="3">
        <v>2.1309999999999998</v>
      </c>
      <c r="D1406" s="21">
        <v>193.8</v>
      </c>
      <c r="E1406" s="3">
        <v>90.64</v>
      </c>
      <c r="F1406" s="3">
        <v>43.64</v>
      </c>
      <c r="G1406" s="3">
        <v>638.29999999999995</v>
      </c>
      <c r="H1406" s="3">
        <v>13.89</v>
      </c>
      <c r="I1406" s="13">
        <f t="shared" si="22"/>
        <v>2.0769935838680098</v>
      </c>
    </row>
    <row r="1407" spans="2:9">
      <c r="C1407" s="3">
        <v>2.1349999999999998</v>
      </c>
      <c r="D1407" s="21">
        <v>197.6</v>
      </c>
      <c r="E1407" s="3">
        <v>90.95</v>
      </c>
      <c r="F1407" s="3">
        <v>43.31</v>
      </c>
      <c r="G1407" s="3">
        <v>639.5</v>
      </c>
      <c r="H1407" s="3">
        <v>14.26</v>
      </c>
      <c r="I1407" s="13">
        <f t="shared" si="22"/>
        <v>2.0999769106441901</v>
      </c>
    </row>
    <row r="1408" spans="2:9">
      <c r="C1408" s="3">
        <v>1.0900000000000001</v>
      </c>
      <c r="D1408" s="21">
        <v>235.3</v>
      </c>
      <c r="E1408" s="3">
        <v>90.46</v>
      </c>
      <c r="F1408" s="3">
        <v>43.22</v>
      </c>
      <c r="G1408" s="3">
        <v>637</v>
      </c>
      <c r="H1408" s="3">
        <v>15.3</v>
      </c>
      <c r="I1408" s="13">
        <f t="shared" si="22"/>
        <v>2.0930124942156398</v>
      </c>
    </row>
    <row r="1409" spans="2:9">
      <c r="C1409" s="3">
        <v>2.0699999999999998</v>
      </c>
      <c r="D1409" s="21">
        <v>219.6</v>
      </c>
      <c r="E1409" s="3">
        <v>90.58</v>
      </c>
      <c r="F1409" s="3">
        <v>43.48</v>
      </c>
      <c r="G1409" s="3">
        <v>637.79999999999995</v>
      </c>
      <c r="H1409" s="3">
        <v>14.55</v>
      </c>
      <c r="I1409" s="13">
        <f t="shared" si="22"/>
        <v>2.0832566697332102</v>
      </c>
    </row>
    <row r="1410" spans="2:9">
      <c r="C1410" s="3">
        <v>2.0619999999999998</v>
      </c>
      <c r="D1410" s="21">
        <v>197.6</v>
      </c>
      <c r="E1410" s="3">
        <v>90.69</v>
      </c>
      <c r="F1410" s="3">
        <v>43.9</v>
      </c>
      <c r="G1410" s="3">
        <v>643.4</v>
      </c>
      <c r="H1410" s="3">
        <v>14.23</v>
      </c>
      <c r="I1410" s="13">
        <f t="shared" si="22"/>
        <v>2.0658314350797302</v>
      </c>
    </row>
    <row r="1411" spans="2:9">
      <c r="C1411" s="3">
        <v>2.069</v>
      </c>
      <c r="D1411" s="21">
        <v>255.5</v>
      </c>
      <c r="E1411" s="3">
        <v>91.03</v>
      </c>
      <c r="F1411" s="3">
        <v>43.72</v>
      </c>
      <c r="G1411" s="3">
        <v>641.4</v>
      </c>
      <c r="H1411" s="3">
        <v>13.69</v>
      </c>
      <c r="I1411" s="13">
        <f t="shared" ref="I1411:I1474" si="23">E1411/F1411</f>
        <v>2.0821134492223199</v>
      </c>
    </row>
    <row r="1412" spans="2:9">
      <c r="C1412" s="3">
        <v>2.0569999999999999</v>
      </c>
      <c r="D1412" s="21">
        <v>211.3</v>
      </c>
      <c r="E1412" s="3">
        <v>90.6</v>
      </c>
      <c r="F1412" s="3">
        <v>43.81</v>
      </c>
      <c r="G1412" s="3">
        <v>641.70000000000005</v>
      </c>
      <c r="H1412" s="3">
        <v>13.38</v>
      </c>
      <c r="I1412" s="13">
        <f t="shared" si="23"/>
        <v>2.0680209997717398</v>
      </c>
    </row>
    <row r="1413" spans="2:9">
      <c r="C1413" s="3">
        <v>2.069</v>
      </c>
      <c r="D1413" s="21">
        <v>205.3</v>
      </c>
      <c r="E1413" s="3">
        <v>90.78</v>
      </c>
      <c r="F1413" s="3">
        <v>43.39</v>
      </c>
      <c r="G1413" s="3">
        <v>635.6</v>
      </c>
      <c r="H1413" s="3">
        <v>12.88</v>
      </c>
      <c r="I1413" s="13">
        <f t="shared" si="23"/>
        <v>2.09218713989398</v>
      </c>
    </row>
    <row r="1414" spans="2:9">
      <c r="C1414" s="3">
        <v>2.0750000000000002</v>
      </c>
      <c r="D1414" s="21">
        <v>249.5</v>
      </c>
      <c r="E1414" s="3">
        <v>90.94</v>
      </c>
      <c r="F1414" s="3">
        <v>43.31</v>
      </c>
      <c r="G1414" s="3">
        <v>636.5</v>
      </c>
      <c r="H1414" s="3">
        <v>13.8</v>
      </c>
      <c r="I1414" s="13">
        <f t="shared" si="23"/>
        <v>2.0997460170861202</v>
      </c>
    </row>
    <row r="1415" spans="2:9">
      <c r="C1415" s="3">
        <v>2.1150000000000002</v>
      </c>
      <c r="D1415" s="21">
        <v>275.5</v>
      </c>
      <c r="E1415" s="3">
        <v>90.76</v>
      </c>
      <c r="F1415" s="3">
        <v>43.38</v>
      </c>
      <c r="G1415" s="3">
        <v>645.79999999999995</v>
      </c>
      <c r="H1415" s="3">
        <v>13.38</v>
      </c>
      <c r="I1415" s="13">
        <f t="shared" si="23"/>
        <v>2.09220839096358</v>
      </c>
    </row>
    <row r="1416" spans="2:9">
      <c r="C1416" s="3">
        <v>2.09</v>
      </c>
      <c r="D1416" s="21">
        <v>211.3</v>
      </c>
      <c r="E1416" s="3">
        <v>90.58</v>
      </c>
      <c r="F1416" s="3">
        <v>43.64</v>
      </c>
      <c r="G1416" s="3">
        <v>640.29999999999995</v>
      </c>
      <c r="H1416" s="3">
        <v>13.6</v>
      </c>
      <c r="I1416" s="13">
        <f t="shared" si="23"/>
        <v>2.0756186984417999</v>
      </c>
    </row>
    <row r="1417" spans="2:9">
      <c r="C1417" s="3">
        <v>2.0619999999999998</v>
      </c>
      <c r="D1417" s="21">
        <v>196.2</v>
      </c>
      <c r="E1417" s="3">
        <v>90.49</v>
      </c>
      <c r="F1417" s="3">
        <v>43.89</v>
      </c>
      <c r="G1417" s="3">
        <v>637</v>
      </c>
      <c r="H1417" s="3">
        <v>13.99</v>
      </c>
      <c r="I1417" s="13">
        <f t="shared" si="23"/>
        <v>2.0617452722715899</v>
      </c>
    </row>
    <row r="1418" spans="2:9">
      <c r="C1418" s="3">
        <v>2.032</v>
      </c>
      <c r="D1418" s="21">
        <v>193.8</v>
      </c>
      <c r="E1418" s="3">
        <v>90.06</v>
      </c>
      <c r="F1418" s="3">
        <v>43.64</v>
      </c>
      <c r="G1418" s="3">
        <v>637.79999999999995</v>
      </c>
      <c r="H1418" s="3">
        <v>13.98</v>
      </c>
      <c r="I1418" s="13">
        <f t="shared" si="23"/>
        <v>2.06370302474794</v>
      </c>
    </row>
    <row r="1419" spans="2:9">
      <c r="C1419" s="3">
        <v>1.9930000000000001</v>
      </c>
      <c r="D1419" s="21">
        <v>208.3</v>
      </c>
      <c r="E1419" s="3">
        <v>90.29</v>
      </c>
      <c r="F1419" s="3">
        <v>43.47</v>
      </c>
      <c r="G1419" s="3">
        <v>643</v>
      </c>
      <c r="H1419" s="3">
        <v>12.56</v>
      </c>
      <c r="I1419" s="13">
        <f t="shared" si="23"/>
        <v>2.0770646422820298</v>
      </c>
    </row>
    <row r="1420" spans="2:9">
      <c r="C1420" s="3">
        <v>2.1150000000000002</v>
      </c>
      <c r="D1420" s="21">
        <v>225</v>
      </c>
      <c r="E1420" s="3">
        <v>90.24</v>
      </c>
      <c r="F1420" s="3">
        <v>43.64</v>
      </c>
      <c r="G1420" s="3">
        <v>635.70000000000005</v>
      </c>
      <c r="H1420" s="3">
        <v>12.81</v>
      </c>
      <c r="I1420" s="13">
        <f t="shared" si="23"/>
        <v>2.0678276810265799</v>
      </c>
    </row>
    <row r="1421" spans="2:9">
      <c r="C1421" s="3">
        <v>2.153</v>
      </c>
      <c r="D1421" s="21">
        <v>268.39999999999998</v>
      </c>
      <c r="E1421" s="3">
        <v>90.49</v>
      </c>
      <c r="F1421" s="3">
        <v>43.72</v>
      </c>
      <c r="G1421" s="3">
        <v>636.6</v>
      </c>
      <c r="H1421" s="3">
        <v>12.88</v>
      </c>
      <c r="I1421" s="13">
        <f t="shared" si="23"/>
        <v>2.06976212259835</v>
      </c>
    </row>
    <row r="1422" spans="2:9">
      <c r="B1422" s="16">
        <v>72</v>
      </c>
      <c r="C1422" s="16">
        <v>2.476</v>
      </c>
      <c r="D1422" s="29">
        <v>136.1</v>
      </c>
      <c r="E1422" s="16">
        <v>98.31</v>
      </c>
      <c r="F1422" s="16">
        <v>25.93</v>
      </c>
      <c r="G1422" s="16">
        <v>626.70000000000005</v>
      </c>
      <c r="H1422" s="16">
        <v>8.5579999999999998</v>
      </c>
      <c r="I1422" s="13">
        <f t="shared" si="23"/>
        <v>3.7913613575009601</v>
      </c>
    </row>
    <row r="1423" spans="2:9">
      <c r="C1423" s="3">
        <v>2.5590000000000002</v>
      </c>
      <c r="D1423" s="21">
        <v>131.9</v>
      </c>
      <c r="E1423" s="3">
        <v>98.19</v>
      </c>
      <c r="F1423" s="3">
        <v>26.03</v>
      </c>
      <c r="G1423" s="3">
        <v>605.29999999999995</v>
      </c>
      <c r="H1423" s="3">
        <v>8.9689999999999994</v>
      </c>
      <c r="I1423" s="13">
        <f t="shared" si="23"/>
        <v>3.7721859393008099</v>
      </c>
    </row>
    <row r="1424" spans="2:9">
      <c r="C1424" s="3">
        <v>2.601</v>
      </c>
      <c r="D1424" s="21">
        <v>129.19999999999999</v>
      </c>
      <c r="E1424" s="3">
        <v>98.29</v>
      </c>
      <c r="F1424" s="3">
        <v>25.49</v>
      </c>
      <c r="G1424" s="3">
        <v>604.70000000000005</v>
      </c>
      <c r="H1424" s="3">
        <v>8.3239999999999998</v>
      </c>
      <c r="I1424" s="13">
        <f t="shared" si="23"/>
        <v>3.8560219693997602</v>
      </c>
    </row>
    <row r="1425" spans="3:9">
      <c r="C1425" s="3">
        <v>2.6280000000000001</v>
      </c>
      <c r="D1425" s="21">
        <v>135.80000000000001</v>
      </c>
      <c r="E1425" s="3">
        <v>98.25</v>
      </c>
      <c r="F1425" s="3">
        <v>25.69</v>
      </c>
      <c r="G1425" s="3">
        <v>607.79999999999995</v>
      </c>
      <c r="H1425" s="3">
        <v>8.9689999999999994</v>
      </c>
      <c r="I1425" s="13">
        <f t="shared" si="23"/>
        <v>3.8244453094589299</v>
      </c>
    </row>
    <row r="1426" spans="3:9">
      <c r="C1426" s="3">
        <v>2.6339999999999999</v>
      </c>
      <c r="D1426" s="21">
        <v>141.6</v>
      </c>
      <c r="E1426" s="3">
        <v>97.7</v>
      </c>
      <c r="F1426" s="3">
        <v>25.94</v>
      </c>
      <c r="G1426" s="3">
        <v>626.79999999999995</v>
      </c>
      <c r="H1426" s="3">
        <v>8.3350000000000009</v>
      </c>
      <c r="I1426" s="13">
        <f t="shared" si="23"/>
        <v>3.7663839629915201</v>
      </c>
    </row>
    <row r="1427" spans="3:9">
      <c r="C1427" s="3">
        <v>2.5840000000000001</v>
      </c>
      <c r="D1427" s="21">
        <v>138</v>
      </c>
      <c r="E1427" s="3">
        <v>97.52</v>
      </c>
      <c r="F1427" s="3">
        <v>25.84</v>
      </c>
      <c r="G1427" s="3">
        <v>614.9</v>
      </c>
      <c r="H1427" s="3">
        <v>7.7140000000000004</v>
      </c>
      <c r="I1427" s="13">
        <f t="shared" si="23"/>
        <v>3.7739938080495401</v>
      </c>
    </row>
    <row r="1428" spans="3:9">
      <c r="C1428" s="3">
        <v>2.6080000000000001</v>
      </c>
      <c r="D1428" s="21">
        <v>146.80000000000001</v>
      </c>
      <c r="E1428" s="3">
        <v>97.92</v>
      </c>
      <c r="F1428" s="3">
        <v>25.74</v>
      </c>
      <c r="G1428" s="3">
        <v>596.5</v>
      </c>
      <c r="H1428" s="3">
        <v>7.8280000000000003</v>
      </c>
      <c r="I1428" s="13">
        <f t="shared" si="23"/>
        <v>3.8041958041958002</v>
      </c>
    </row>
    <row r="1429" spans="3:9">
      <c r="C1429" s="3">
        <v>2.5920000000000001</v>
      </c>
      <c r="D1429" s="21">
        <v>133.80000000000001</v>
      </c>
      <c r="E1429" s="3">
        <v>97.72</v>
      </c>
      <c r="F1429" s="3">
        <v>25.23</v>
      </c>
      <c r="G1429" s="3">
        <v>594</v>
      </c>
      <c r="H1429" s="3">
        <v>7.4690000000000003</v>
      </c>
      <c r="I1429" s="13">
        <f t="shared" si="23"/>
        <v>3.8731668648434399</v>
      </c>
    </row>
    <row r="1430" spans="3:9">
      <c r="C1430" s="3">
        <v>2.468</v>
      </c>
      <c r="D1430" s="21">
        <v>141.80000000000001</v>
      </c>
      <c r="E1430" s="3">
        <v>97.59</v>
      </c>
      <c r="F1430" s="3">
        <v>25.11</v>
      </c>
      <c r="G1430" s="3">
        <v>607.79999999999995</v>
      </c>
      <c r="H1430" s="3">
        <v>7.3159999999999998</v>
      </c>
      <c r="I1430" s="13">
        <f t="shared" si="23"/>
        <v>3.8864994026284299</v>
      </c>
    </row>
    <row r="1431" spans="3:9">
      <c r="C1431" s="3">
        <v>2.5</v>
      </c>
      <c r="D1431" s="21">
        <v>129.19999999999999</v>
      </c>
      <c r="E1431" s="3">
        <v>97.45</v>
      </c>
      <c r="F1431" s="3">
        <v>25.49</v>
      </c>
      <c r="G1431" s="3">
        <v>605.6</v>
      </c>
      <c r="H1431" s="3">
        <v>7.0830000000000002</v>
      </c>
      <c r="I1431" s="13">
        <f t="shared" si="23"/>
        <v>3.82306786975284</v>
      </c>
    </row>
    <row r="1432" spans="3:9">
      <c r="C1432" s="3">
        <v>2.4449999999999998</v>
      </c>
      <c r="D1432" s="21">
        <v>131.9</v>
      </c>
      <c r="E1432" s="3">
        <v>97.03</v>
      </c>
      <c r="F1432" s="3">
        <v>25.44</v>
      </c>
      <c r="G1432" s="3">
        <v>619.29999999999995</v>
      </c>
      <c r="H1432" s="3">
        <v>8.0909999999999993</v>
      </c>
      <c r="I1432" s="13">
        <f t="shared" si="23"/>
        <v>3.8140723270440202</v>
      </c>
    </row>
    <row r="1433" spans="3:9">
      <c r="C1433" s="3">
        <v>2.5110000000000001</v>
      </c>
      <c r="D1433" s="21">
        <v>138.80000000000001</v>
      </c>
      <c r="E1433" s="3">
        <v>97.48</v>
      </c>
      <c r="F1433" s="3">
        <v>25.46</v>
      </c>
      <c r="G1433" s="3">
        <v>639</v>
      </c>
      <c r="H1433" s="3">
        <v>8.3689999999999998</v>
      </c>
      <c r="I1433" s="13">
        <f t="shared" si="23"/>
        <v>3.8287509819324401</v>
      </c>
    </row>
    <row r="1434" spans="3:9">
      <c r="C1434" s="3">
        <v>2.5760000000000001</v>
      </c>
      <c r="D1434" s="21">
        <v>132.5</v>
      </c>
      <c r="E1434" s="3">
        <v>97.35</v>
      </c>
      <c r="F1434" s="3">
        <v>25.83</v>
      </c>
      <c r="G1434" s="3">
        <v>642</v>
      </c>
      <c r="H1434" s="3">
        <v>8.4619999999999997</v>
      </c>
      <c r="I1434" s="13">
        <f t="shared" si="23"/>
        <v>3.7688734030197399</v>
      </c>
    </row>
    <row r="1435" spans="3:9">
      <c r="C1435" s="3">
        <v>2.6080000000000001</v>
      </c>
      <c r="D1435" s="21">
        <v>136.5</v>
      </c>
      <c r="E1435" s="3">
        <v>97.66</v>
      </c>
      <c r="F1435" s="3">
        <v>25.47</v>
      </c>
      <c r="G1435" s="3">
        <v>629.5</v>
      </c>
      <c r="H1435" s="3">
        <v>6.9279999999999999</v>
      </c>
      <c r="I1435" s="13">
        <f t="shared" si="23"/>
        <v>3.8343148802512799</v>
      </c>
    </row>
    <row r="1436" spans="3:9">
      <c r="C1436" s="3">
        <v>2.617</v>
      </c>
      <c r="D1436" s="21">
        <v>131.9</v>
      </c>
      <c r="E1436" s="3">
        <v>97.34</v>
      </c>
      <c r="F1436" s="3">
        <v>25.6</v>
      </c>
      <c r="G1436" s="3">
        <v>615.1</v>
      </c>
      <c r="H1436" s="3">
        <v>7.3550000000000004</v>
      </c>
      <c r="I1436" s="13">
        <f t="shared" si="23"/>
        <v>3.8023437499999999</v>
      </c>
    </row>
    <row r="1437" spans="3:9">
      <c r="C1437" s="3">
        <v>2.5379999999999998</v>
      </c>
      <c r="D1437" s="21">
        <v>129</v>
      </c>
      <c r="E1437" s="3">
        <v>97.66</v>
      </c>
      <c r="F1437" s="3">
        <v>25.73</v>
      </c>
      <c r="G1437" s="3">
        <v>611.70000000000005</v>
      </c>
      <c r="H1437" s="3">
        <v>7.7140000000000004</v>
      </c>
      <c r="I1437" s="13">
        <f t="shared" si="23"/>
        <v>3.7955693742712802</v>
      </c>
    </row>
    <row r="1438" spans="3:9">
      <c r="C1438" s="3">
        <v>2.5920000000000001</v>
      </c>
      <c r="D1438" s="21">
        <v>161.80000000000001</v>
      </c>
      <c r="E1438" s="3">
        <v>97.84</v>
      </c>
      <c r="F1438" s="3">
        <v>25.96</v>
      </c>
      <c r="G1438" s="3">
        <v>614.1</v>
      </c>
      <c r="H1438" s="3">
        <v>7.3920000000000003</v>
      </c>
      <c r="I1438" s="13">
        <f t="shared" si="23"/>
        <v>3.76887519260401</v>
      </c>
    </row>
    <row r="1439" spans="3:9">
      <c r="C1439" s="3">
        <v>2.5760000000000001</v>
      </c>
      <c r="D1439" s="21">
        <v>140.19999999999999</v>
      </c>
      <c r="E1439" s="3">
        <v>98</v>
      </c>
      <c r="F1439" s="3">
        <v>25.15</v>
      </c>
      <c r="G1439" s="3">
        <v>602.20000000000005</v>
      </c>
      <c r="H1439" s="3">
        <v>7.6189999999999998</v>
      </c>
      <c r="I1439" s="13">
        <f t="shared" si="23"/>
        <v>3.8966202783300199</v>
      </c>
    </row>
    <row r="1440" spans="3:9">
      <c r="C1440" s="3">
        <v>2.5840000000000001</v>
      </c>
      <c r="D1440" s="21">
        <v>131.9</v>
      </c>
      <c r="E1440" s="3">
        <v>98.11</v>
      </c>
      <c r="F1440" s="3">
        <v>25.41</v>
      </c>
      <c r="G1440" s="3">
        <v>605.29999999999995</v>
      </c>
      <c r="H1440" s="3">
        <v>7.63</v>
      </c>
      <c r="I1440" s="13">
        <f t="shared" si="23"/>
        <v>3.8610783156237698</v>
      </c>
    </row>
    <row r="1441" spans="2:9">
      <c r="C1441" s="3">
        <v>2.613</v>
      </c>
      <c r="D1441" s="21">
        <v>138.80000000000001</v>
      </c>
      <c r="E1441" s="3">
        <v>98.02</v>
      </c>
      <c r="F1441" s="3">
        <v>25.75</v>
      </c>
      <c r="G1441" s="3">
        <v>614.9</v>
      </c>
      <c r="H1441" s="3">
        <v>7.5389999999999997</v>
      </c>
      <c r="I1441" s="13">
        <f t="shared" si="23"/>
        <v>3.8066019417475698</v>
      </c>
    </row>
    <row r="1442" spans="2:9">
      <c r="B1442" s="16">
        <v>73</v>
      </c>
      <c r="C1442" s="16">
        <v>1.298</v>
      </c>
      <c r="D1442" s="29">
        <v>170.9</v>
      </c>
      <c r="E1442" s="16">
        <v>83.35</v>
      </c>
      <c r="F1442" s="16">
        <v>24.03</v>
      </c>
      <c r="G1442" s="16">
        <v>653.9</v>
      </c>
      <c r="H1442" s="16">
        <v>4.9550000000000001</v>
      </c>
      <c r="I1442" s="13">
        <f t="shared" si="23"/>
        <v>3.4685809404910501</v>
      </c>
    </row>
    <row r="1443" spans="2:9">
      <c r="C1443" s="3">
        <v>1.3149999999999999</v>
      </c>
      <c r="D1443" s="21">
        <v>172.2</v>
      </c>
      <c r="E1443" s="3">
        <v>83.38</v>
      </c>
      <c r="F1443" s="3">
        <v>24.29</v>
      </c>
      <c r="G1443" s="3">
        <v>651.9</v>
      </c>
      <c r="H1443" s="3">
        <v>4.9939999999999998</v>
      </c>
      <c r="I1443" s="13">
        <f t="shared" si="23"/>
        <v>3.4326883491148599</v>
      </c>
    </row>
    <row r="1444" spans="2:9">
      <c r="C1444" s="3">
        <v>1.3049999999999999</v>
      </c>
      <c r="D1444" s="21">
        <v>178.2</v>
      </c>
      <c r="E1444" s="3">
        <v>83.57</v>
      </c>
      <c r="F1444" s="3">
        <v>24.25</v>
      </c>
      <c r="G1444" s="3">
        <v>649.20000000000005</v>
      </c>
      <c r="H1444" s="3">
        <v>4.8319999999999999</v>
      </c>
      <c r="I1444" s="13">
        <f t="shared" si="23"/>
        <v>3.4461855670103101</v>
      </c>
    </row>
    <row r="1445" spans="2:9">
      <c r="C1445" s="3">
        <v>1.292</v>
      </c>
      <c r="D1445" s="21">
        <v>179.1</v>
      </c>
      <c r="E1445" s="3">
        <v>83.47</v>
      </c>
      <c r="F1445" s="3">
        <v>24.22</v>
      </c>
      <c r="G1445" s="3">
        <v>651</v>
      </c>
      <c r="H1445" s="3">
        <v>5.1440000000000001</v>
      </c>
      <c r="I1445" s="13">
        <f t="shared" si="23"/>
        <v>3.4463253509496301</v>
      </c>
    </row>
    <row r="1446" spans="2:9">
      <c r="C1446" s="3">
        <v>1.278</v>
      </c>
      <c r="D1446" s="21">
        <v>180.5</v>
      </c>
      <c r="E1446" s="3">
        <v>83.52</v>
      </c>
      <c r="F1446" s="3">
        <v>24.2</v>
      </c>
      <c r="G1446" s="3">
        <v>646.6</v>
      </c>
      <c r="H1446" s="3">
        <v>5.0410000000000004</v>
      </c>
      <c r="I1446" s="13">
        <f t="shared" si="23"/>
        <v>3.45123966942149</v>
      </c>
    </row>
    <row r="1447" spans="2:9">
      <c r="C1447" s="3">
        <v>1.268</v>
      </c>
      <c r="D1447" s="21">
        <v>176.8</v>
      </c>
      <c r="E1447" s="3">
        <v>83.7</v>
      </c>
      <c r="F1447" s="3">
        <v>24</v>
      </c>
      <c r="G1447" s="3">
        <v>653.20000000000005</v>
      </c>
      <c r="H1447" s="3">
        <v>4.7320000000000002</v>
      </c>
      <c r="I1447" s="13">
        <f t="shared" si="23"/>
        <v>3.4874999999999998</v>
      </c>
    </row>
    <row r="1448" spans="2:9">
      <c r="C1448" s="3">
        <v>1.278</v>
      </c>
      <c r="D1448" s="21">
        <v>171.5</v>
      </c>
      <c r="E1448" s="3">
        <v>83.87</v>
      </c>
      <c r="F1448" s="3">
        <v>24.03</v>
      </c>
      <c r="G1448" s="3">
        <v>651.5</v>
      </c>
      <c r="H1448" s="3">
        <v>5.0990000000000002</v>
      </c>
      <c r="I1448" s="13">
        <f t="shared" si="23"/>
        <v>3.4902205576362899</v>
      </c>
    </row>
    <row r="1449" spans="2:9">
      <c r="C1449" s="3">
        <v>1.242</v>
      </c>
      <c r="D1449" s="21">
        <v>165.8</v>
      </c>
      <c r="E1449" s="3">
        <v>83.14</v>
      </c>
      <c r="F1449" s="3">
        <v>24.01</v>
      </c>
      <c r="G1449" s="3">
        <v>650.1</v>
      </c>
      <c r="H1449" s="3">
        <v>5.0439999999999996</v>
      </c>
      <c r="I1449" s="13">
        <f t="shared" si="23"/>
        <v>3.4627238650562302</v>
      </c>
    </row>
    <row r="1450" spans="2:9">
      <c r="C1450" s="3">
        <v>1.268</v>
      </c>
      <c r="D1450" s="21">
        <v>179.1</v>
      </c>
      <c r="E1450" s="3">
        <v>83.63</v>
      </c>
      <c r="F1450" s="3">
        <v>23.84</v>
      </c>
      <c r="G1450" s="3">
        <v>649.6</v>
      </c>
      <c r="H1450" s="3">
        <v>4.4740000000000002</v>
      </c>
      <c r="I1450" s="13">
        <f t="shared" si="23"/>
        <v>3.5079697986577201</v>
      </c>
    </row>
    <row r="1451" spans="2:9">
      <c r="C1451" s="3">
        <v>1.286</v>
      </c>
      <c r="D1451" s="21">
        <v>182</v>
      </c>
      <c r="E1451" s="3">
        <v>83.12</v>
      </c>
      <c r="F1451" s="3">
        <v>23.87</v>
      </c>
      <c r="G1451" s="3">
        <v>646.29999999999995</v>
      </c>
      <c r="H1451" s="3">
        <v>4.9950000000000001</v>
      </c>
      <c r="I1451" s="13">
        <f t="shared" si="23"/>
        <v>3.4821952241307099</v>
      </c>
    </row>
    <row r="1452" spans="2:9">
      <c r="C1452" s="3">
        <v>1.292</v>
      </c>
      <c r="D1452" s="21">
        <v>194.3</v>
      </c>
      <c r="E1452" s="3">
        <v>83.16</v>
      </c>
      <c r="F1452" s="3">
        <v>23.84</v>
      </c>
      <c r="G1452" s="3">
        <v>650.9</v>
      </c>
      <c r="H1452" s="3">
        <v>5.1440000000000001</v>
      </c>
      <c r="I1452" s="13">
        <f t="shared" si="23"/>
        <v>3.4882550335570501</v>
      </c>
    </row>
    <row r="1453" spans="2:9">
      <c r="C1453" s="3">
        <v>1.2909999999999999</v>
      </c>
      <c r="D1453" s="21">
        <v>212.3</v>
      </c>
      <c r="E1453" s="3">
        <v>83.58</v>
      </c>
      <c r="F1453" s="3">
        <v>24.18</v>
      </c>
      <c r="G1453" s="3">
        <v>656</v>
      </c>
      <c r="H1453" s="3">
        <v>4.8789999999999996</v>
      </c>
      <c r="I1453" s="13">
        <f t="shared" si="23"/>
        <v>3.4565756823821299</v>
      </c>
    </row>
    <row r="1454" spans="2:9">
      <c r="C1454" s="3">
        <v>1.28</v>
      </c>
      <c r="D1454" s="21">
        <v>175.5</v>
      </c>
      <c r="E1454" s="3">
        <v>83.41</v>
      </c>
      <c r="F1454" s="3">
        <v>24.17</v>
      </c>
      <c r="G1454" s="3">
        <v>650.4</v>
      </c>
      <c r="H1454" s="3">
        <v>4.5590000000000002</v>
      </c>
      <c r="I1454" s="13">
        <f t="shared" si="23"/>
        <v>3.4509722796855602</v>
      </c>
    </row>
    <row r="1455" spans="2:9">
      <c r="C1455" s="3">
        <v>1.2989999999999999</v>
      </c>
      <c r="D1455" s="21">
        <v>165.5</v>
      </c>
      <c r="E1455" s="3">
        <v>83.26</v>
      </c>
      <c r="F1455" s="3">
        <v>24.05</v>
      </c>
      <c r="G1455" s="3">
        <v>651.1</v>
      </c>
      <c r="H1455" s="3">
        <v>4.2149999999999999</v>
      </c>
      <c r="I1455" s="13">
        <f t="shared" si="23"/>
        <v>3.46195426195426</v>
      </c>
    </row>
    <row r="1456" spans="2:9">
      <c r="C1456" s="3">
        <v>1.3460000000000001</v>
      </c>
      <c r="D1456" s="21">
        <v>177.3</v>
      </c>
      <c r="E1456" s="3">
        <v>83.66</v>
      </c>
      <c r="F1456" s="3">
        <v>24.08</v>
      </c>
      <c r="G1456" s="3">
        <v>652.5</v>
      </c>
      <c r="H1456" s="3">
        <v>5.1509999999999998</v>
      </c>
      <c r="I1456" s="13">
        <f t="shared" si="23"/>
        <v>3.47425249169435</v>
      </c>
    </row>
    <row r="1457" spans="2:9">
      <c r="C1457" s="3">
        <v>1.3560000000000001</v>
      </c>
      <c r="D1457" s="21">
        <v>180</v>
      </c>
      <c r="E1457" s="3">
        <v>83.57</v>
      </c>
      <c r="F1457" s="3">
        <v>23.91</v>
      </c>
      <c r="G1457" s="3">
        <v>651.20000000000005</v>
      </c>
      <c r="H1457" s="3">
        <v>5.1100000000000003</v>
      </c>
      <c r="I1457" s="13">
        <f t="shared" si="23"/>
        <v>3.49519029694688</v>
      </c>
    </row>
    <row r="1458" spans="2:9">
      <c r="C1458" s="3">
        <v>1.357</v>
      </c>
      <c r="D1458" s="21">
        <v>175.5</v>
      </c>
      <c r="E1458" s="3">
        <v>83.63</v>
      </c>
      <c r="F1458" s="3">
        <v>23.93</v>
      </c>
      <c r="G1458" s="3">
        <v>654.70000000000005</v>
      </c>
      <c r="H1458" s="3">
        <v>4.9930000000000003</v>
      </c>
      <c r="I1458" s="13">
        <f t="shared" si="23"/>
        <v>3.4947764312578302</v>
      </c>
    </row>
    <row r="1459" spans="2:9">
      <c r="C1459" s="3">
        <v>1.387</v>
      </c>
      <c r="D1459" s="21">
        <v>165.8</v>
      </c>
      <c r="E1459" s="3">
        <v>83.71</v>
      </c>
      <c r="F1459" s="3">
        <v>23.95</v>
      </c>
      <c r="G1459" s="3">
        <v>651.70000000000005</v>
      </c>
      <c r="H1459" s="3">
        <v>4.9249999999999998</v>
      </c>
      <c r="I1459" s="13">
        <f t="shared" si="23"/>
        <v>3.49519832985386</v>
      </c>
    </row>
    <row r="1460" spans="2:9">
      <c r="C1460" s="3">
        <v>1.341</v>
      </c>
      <c r="D1460" s="21">
        <v>170.9</v>
      </c>
      <c r="E1460" s="3">
        <v>83.4</v>
      </c>
      <c r="F1460" s="3">
        <v>23.81</v>
      </c>
      <c r="G1460" s="3">
        <v>650.1</v>
      </c>
      <c r="H1460" s="3">
        <v>4.78</v>
      </c>
      <c r="I1460" s="13">
        <f t="shared" si="23"/>
        <v>3.5027299454010898</v>
      </c>
    </row>
    <row r="1461" spans="2:9">
      <c r="C1461" s="3">
        <v>1.2949999999999999</v>
      </c>
      <c r="D1461" s="21">
        <v>171.4</v>
      </c>
      <c r="E1461" s="3">
        <v>83.27</v>
      </c>
      <c r="F1461" s="3">
        <v>23.78</v>
      </c>
      <c r="G1461" s="3">
        <v>646</v>
      </c>
      <c r="H1461" s="3">
        <v>4.6740000000000004</v>
      </c>
      <c r="I1461" s="13">
        <f t="shared" si="23"/>
        <v>3.5016820857863702</v>
      </c>
    </row>
    <row r="1462" spans="2:9">
      <c r="B1462" s="16">
        <v>74</v>
      </c>
      <c r="C1462" s="16">
        <v>2.089</v>
      </c>
      <c r="D1462" s="29">
        <v>167.1</v>
      </c>
      <c r="E1462" s="16">
        <v>82.71</v>
      </c>
      <c r="F1462" s="16">
        <v>21.59</v>
      </c>
      <c r="G1462" s="16">
        <v>625.5</v>
      </c>
      <c r="H1462" s="16">
        <v>6.98</v>
      </c>
      <c r="I1462" s="13">
        <f t="shared" si="23"/>
        <v>3.8309402501157899</v>
      </c>
    </row>
    <row r="1463" spans="2:9">
      <c r="C1463" s="3">
        <v>2.04</v>
      </c>
      <c r="D1463" s="21">
        <v>166.9</v>
      </c>
      <c r="E1463" s="3">
        <v>82.97</v>
      </c>
      <c r="F1463" s="3">
        <v>22.37</v>
      </c>
      <c r="G1463" s="3">
        <v>622.5</v>
      </c>
      <c r="H1463" s="3">
        <v>6.2460000000000004</v>
      </c>
      <c r="I1463" s="13">
        <f t="shared" si="23"/>
        <v>3.70898524810013</v>
      </c>
    </row>
    <row r="1464" spans="2:9">
      <c r="C1464" s="3">
        <v>2.016</v>
      </c>
      <c r="D1464" s="21">
        <v>159.9</v>
      </c>
      <c r="E1464" s="3">
        <v>83.56</v>
      </c>
      <c r="F1464" s="3">
        <v>22.36</v>
      </c>
      <c r="G1464" s="3">
        <v>631.79999999999995</v>
      </c>
      <c r="H1464" s="3">
        <v>6.2069999999999999</v>
      </c>
      <c r="I1464" s="13">
        <f t="shared" si="23"/>
        <v>3.73703041144902</v>
      </c>
    </row>
    <row r="1465" spans="2:9">
      <c r="C1465" s="3">
        <v>2.0369999999999999</v>
      </c>
      <c r="D1465" s="21">
        <v>150.5</v>
      </c>
      <c r="E1465" s="3">
        <v>83.33</v>
      </c>
      <c r="F1465" s="3">
        <v>22.46</v>
      </c>
      <c r="G1465" s="3">
        <v>636.1</v>
      </c>
      <c r="H1465" s="3">
        <v>5.968</v>
      </c>
      <c r="I1465" s="13">
        <f t="shared" si="23"/>
        <v>3.7101513802315198</v>
      </c>
    </row>
    <row r="1466" spans="2:9">
      <c r="C1466" s="3">
        <v>1.996</v>
      </c>
      <c r="D1466" s="21">
        <v>138.1</v>
      </c>
      <c r="E1466" s="3">
        <v>83.96</v>
      </c>
      <c r="F1466" s="3">
        <v>22.5</v>
      </c>
      <c r="G1466" s="3">
        <v>633.4</v>
      </c>
      <c r="H1466" s="3">
        <v>6.0019999999999998</v>
      </c>
      <c r="I1466" s="13">
        <f t="shared" si="23"/>
        <v>3.7315555555555502</v>
      </c>
    </row>
    <row r="1467" spans="2:9">
      <c r="C1467" s="3">
        <v>1.9370000000000001</v>
      </c>
      <c r="D1467" s="21">
        <v>158.1</v>
      </c>
      <c r="E1467" s="3">
        <v>83.47</v>
      </c>
      <c r="F1467" s="3">
        <v>22.56</v>
      </c>
      <c r="G1467" s="3">
        <v>634.70000000000005</v>
      </c>
      <c r="H1467" s="3">
        <v>5.86</v>
      </c>
      <c r="I1467" s="13">
        <f t="shared" si="23"/>
        <v>3.6999113475177299</v>
      </c>
    </row>
    <row r="1468" spans="2:9">
      <c r="C1468" s="3">
        <v>2.0659999999999998</v>
      </c>
      <c r="D1468" s="21">
        <v>158.80000000000001</v>
      </c>
      <c r="E1468" s="3">
        <v>83.3</v>
      </c>
      <c r="F1468" s="3">
        <v>22.48</v>
      </c>
      <c r="G1468" s="3">
        <v>624.6</v>
      </c>
      <c r="H1468" s="3">
        <v>6.1760000000000002</v>
      </c>
      <c r="I1468" s="13">
        <f t="shared" si="23"/>
        <v>3.7055160142348802</v>
      </c>
    </row>
    <row r="1469" spans="2:9">
      <c r="C1469" s="3">
        <v>2.11</v>
      </c>
      <c r="D1469" s="21">
        <v>157</v>
      </c>
      <c r="E1469" s="3">
        <v>83.53</v>
      </c>
      <c r="F1469" s="3">
        <v>22.15</v>
      </c>
      <c r="G1469" s="3">
        <v>622.6</v>
      </c>
      <c r="H1469" s="3">
        <v>6.1120000000000001</v>
      </c>
      <c r="I1469" s="13">
        <f t="shared" si="23"/>
        <v>3.7711060948081299</v>
      </c>
    </row>
    <row r="1470" spans="2:9">
      <c r="C1470" s="3">
        <v>2.1019999999999999</v>
      </c>
      <c r="D1470" s="21">
        <v>144.1</v>
      </c>
      <c r="E1470" s="3">
        <v>83.95</v>
      </c>
      <c r="F1470" s="3">
        <v>22.27</v>
      </c>
      <c r="G1470" s="3">
        <v>630.1</v>
      </c>
      <c r="H1470" s="3">
        <v>6.3010000000000002</v>
      </c>
      <c r="I1470" s="13">
        <f t="shared" si="23"/>
        <v>3.7696452626852301</v>
      </c>
    </row>
    <row r="1471" spans="2:9">
      <c r="C1471" s="3">
        <v>2.089</v>
      </c>
      <c r="D1471" s="21">
        <v>157</v>
      </c>
      <c r="E1471" s="3">
        <v>84.18</v>
      </c>
      <c r="F1471" s="3">
        <v>22.33</v>
      </c>
      <c r="G1471" s="3">
        <v>631.6</v>
      </c>
      <c r="H1471" s="3">
        <v>5.8760000000000003</v>
      </c>
      <c r="I1471" s="13">
        <f t="shared" si="23"/>
        <v>3.7698163905060502</v>
      </c>
    </row>
    <row r="1472" spans="2:9">
      <c r="C1472" s="3">
        <v>2.0539999999999998</v>
      </c>
      <c r="D1472" s="21">
        <v>133.1</v>
      </c>
      <c r="E1472" s="3">
        <v>84.34</v>
      </c>
      <c r="F1472" s="3">
        <v>22.37</v>
      </c>
      <c r="G1472" s="3">
        <v>633.5</v>
      </c>
      <c r="H1472" s="3">
        <v>5.907</v>
      </c>
      <c r="I1472" s="13">
        <f t="shared" si="23"/>
        <v>3.7702279839070201</v>
      </c>
    </row>
    <row r="1473" spans="2:9">
      <c r="C1473" s="3">
        <v>1.9410000000000001</v>
      </c>
      <c r="D1473" s="21">
        <v>167.1</v>
      </c>
      <c r="E1473" s="3">
        <v>84.52</v>
      </c>
      <c r="F1473" s="3">
        <v>22.54</v>
      </c>
      <c r="G1473" s="3">
        <v>634.6</v>
      </c>
      <c r="H1473" s="3">
        <v>6.2779999999999996</v>
      </c>
      <c r="I1473" s="13">
        <f t="shared" si="23"/>
        <v>3.74977817213842</v>
      </c>
    </row>
    <row r="1474" spans="2:9">
      <c r="C1474" s="3">
        <v>2.8580000000000001</v>
      </c>
      <c r="D1474" s="21">
        <v>163.1</v>
      </c>
      <c r="E1474" s="3">
        <v>83.9</v>
      </c>
      <c r="F1474" s="3">
        <v>22.48</v>
      </c>
      <c r="G1474" s="3">
        <v>632.9</v>
      </c>
      <c r="H1474" s="3">
        <v>6.6609999999999996</v>
      </c>
      <c r="I1474" s="13">
        <f t="shared" si="23"/>
        <v>3.7322064056939501</v>
      </c>
    </row>
    <row r="1475" spans="2:9">
      <c r="C1475" s="3">
        <v>1.9079999999999999</v>
      </c>
      <c r="D1475" s="21">
        <v>150.5</v>
      </c>
      <c r="E1475" s="3">
        <v>83.36</v>
      </c>
      <c r="F1475" s="3">
        <v>22.37</v>
      </c>
      <c r="G1475" s="3">
        <v>631.1</v>
      </c>
      <c r="H1475" s="3">
        <v>6.7480000000000002</v>
      </c>
      <c r="I1475" s="13">
        <f t="shared" ref="I1475:I1538" si="24">E1475/F1475</f>
        <v>3.72641931157801</v>
      </c>
    </row>
    <row r="1476" spans="2:9">
      <c r="C1476" s="3">
        <v>2.0019999999999998</v>
      </c>
      <c r="D1476" s="21">
        <v>141</v>
      </c>
      <c r="E1476" s="3">
        <v>83.45</v>
      </c>
      <c r="F1476" s="3">
        <v>22.27</v>
      </c>
      <c r="G1476" s="3">
        <v>624.6</v>
      </c>
      <c r="H1476" s="3">
        <v>6.4710000000000001</v>
      </c>
      <c r="I1476" s="13">
        <f t="shared" si="24"/>
        <v>3.7471935339021099</v>
      </c>
    </row>
    <row r="1477" spans="2:9">
      <c r="C1477" s="3">
        <v>2.0249999999999999</v>
      </c>
      <c r="D1477" s="21">
        <v>158.80000000000001</v>
      </c>
      <c r="E1477" s="3">
        <v>83.56</v>
      </c>
      <c r="F1477" s="3">
        <v>22.16</v>
      </c>
      <c r="G1477" s="3">
        <v>627.4</v>
      </c>
      <c r="H1477" s="3">
        <v>6.2030000000000003</v>
      </c>
      <c r="I1477" s="13">
        <f t="shared" si="24"/>
        <v>3.7707581227436799</v>
      </c>
    </row>
    <row r="1478" spans="2:9">
      <c r="C1478" s="3">
        <v>2.0299999999999998</v>
      </c>
      <c r="D1478" s="21">
        <v>143.80000000000001</v>
      </c>
      <c r="E1478" s="3">
        <v>83.66</v>
      </c>
      <c r="F1478" s="3">
        <v>22.28</v>
      </c>
      <c r="G1478" s="3">
        <v>624.6</v>
      </c>
      <c r="H1478" s="3">
        <v>5.6840000000000002</v>
      </c>
      <c r="I1478" s="13">
        <f t="shared" si="24"/>
        <v>3.75493716337522</v>
      </c>
    </row>
    <row r="1479" spans="2:9">
      <c r="C1479" s="3">
        <v>2.0049999999999999</v>
      </c>
      <c r="D1479" s="21">
        <v>142.69999999999999</v>
      </c>
      <c r="E1479" s="3">
        <v>83.63</v>
      </c>
      <c r="F1479" s="3">
        <v>22.07</v>
      </c>
      <c r="G1479" s="3">
        <v>621.9</v>
      </c>
      <c r="H1479" s="3">
        <v>5.5910000000000002</v>
      </c>
      <c r="I1479" s="13">
        <f t="shared" si="24"/>
        <v>3.7893067512460301</v>
      </c>
    </row>
    <row r="1480" spans="2:9">
      <c r="C1480" s="3">
        <v>2.0880000000000001</v>
      </c>
      <c r="D1480" s="21">
        <v>152.69999999999999</v>
      </c>
      <c r="E1480" s="3">
        <v>83.51</v>
      </c>
      <c r="F1480" s="3">
        <v>22.16</v>
      </c>
      <c r="G1480" s="3">
        <v>626.1</v>
      </c>
      <c r="H1480" s="3">
        <v>5.86</v>
      </c>
      <c r="I1480" s="13">
        <f t="shared" si="24"/>
        <v>3.7685018050541501</v>
      </c>
    </row>
    <row r="1481" spans="2:9">
      <c r="C1481" s="3">
        <v>2.09</v>
      </c>
      <c r="D1481" s="21">
        <v>150.5</v>
      </c>
      <c r="E1481" s="3">
        <v>84.05</v>
      </c>
      <c r="F1481" s="3">
        <v>21.72</v>
      </c>
      <c r="G1481" s="3">
        <v>630.6</v>
      </c>
      <c r="H1481" s="3">
        <v>5.6719999999999997</v>
      </c>
      <c r="I1481" s="13">
        <f t="shared" si="24"/>
        <v>3.8697053406998201</v>
      </c>
    </row>
    <row r="1482" spans="2:9">
      <c r="B1482" s="16">
        <v>75</v>
      </c>
      <c r="C1482" s="16">
        <v>1.69</v>
      </c>
      <c r="D1482" s="29">
        <v>204</v>
      </c>
      <c r="E1482" s="16">
        <v>114.8</v>
      </c>
      <c r="F1482" s="16">
        <v>31.86</v>
      </c>
      <c r="G1482" s="16">
        <v>637.6</v>
      </c>
      <c r="H1482" s="16">
        <v>5.0919999999999996</v>
      </c>
      <c r="I1482" s="13">
        <f t="shared" si="24"/>
        <v>3.6032642812303801</v>
      </c>
    </row>
    <row r="1483" spans="2:9">
      <c r="C1483" s="3">
        <v>1.6870000000000001</v>
      </c>
      <c r="D1483" s="21">
        <v>225.1</v>
      </c>
      <c r="E1483" s="3">
        <v>114.3</v>
      </c>
      <c r="F1483" s="3">
        <v>32.1</v>
      </c>
      <c r="G1483" s="3">
        <v>630.70000000000005</v>
      </c>
      <c r="H1483" s="3">
        <v>5.2329999999999997</v>
      </c>
      <c r="I1483" s="13">
        <f t="shared" si="24"/>
        <v>3.5607476635514002</v>
      </c>
    </row>
    <row r="1484" spans="2:9">
      <c r="C1484" s="3">
        <v>1.68</v>
      </c>
      <c r="D1484" s="21">
        <v>218.7</v>
      </c>
      <c r="E1484" s="3">
        <v>114.4</v>
      </c>
      <c r="F1484" s="3">
        <v>31.98</v>
      </c>
      <c r="G1484" s="3">
        <v>633</v>
      </c>
      <c r="H1484" s="3">
        <v>5.2439999999999998</v>
      </c>
      <c r="I1484" s="13">
        <f t="shared" si="24"/>
        <v>3.5772357723577199</v>
      </c>
    </row>
    <row r="1485" spans="2:9">
      <c r="C1485" s="3">
        <v>1.7110000000000001</v>
      </c>
      <c r="D1485" s="21">
        <v>232.3</v>
      </c>
      <c r="E1485" s="3">
        <v>114.7</v>
      </c>
      <c r="F1485" s="3">
        <v>31.68</v>
      </c>
      <c r="G1485" s="3">
        <v>641.70000000000005</v>
      </c>
      <c r="H1485" s="3">
        <v>5.1779999999999999</v>
      </c>
      <c r="I1485" s="13">
        <f t="shared" si="24"/>
        <v>3.6205808080808102</v>
      </c>
    </row>
    <row r="1486" spans="2:9">
      <c r="C1486" s="3">
        <v>1.706</v>
      </c>
      <c r="D1486" s="21">
        <v>243</v>
      </c>
      <c r="E1486" s="3">
        <v>114.9</v>
      </c>
      <c r="F1486" s="3">
        <v>31.79</v>
      </c>
      <c r="G1486" s="3">
        <v>637.20000000000005</v>
      </c>
      <c r="H1486" s="3">
        <v>5.0720000000000001</v>
      </c>
      <c r="I1486" s="13">
        <f t="shared" si="24"/>
        <v>3.6143441333752802</v>
      </c>
    </row>
    <row r="1487" spans="2:9">
      <c r="C1487" s="3">
        <v>1.659</v>
      </c>
      <c r="D1487" s="21">
        <v>225.9</v>
      </c>
      <c r="E1487" s="3">
        <v>115</v>
      </c>
      <c r="F1487" s="3">
        <v>31.52</v>
      </c>
      <c r="G1487" s="3">
        <v>630.70000000000005</v>
      </c>
      <c r="H1487" s="3">
        <v>5.0830000000000002</v>
      </c>
      <c r="I1487" s="13">
        <f t="shared" si="24"/>
        <v>3.6484771573604098</v>
      </c>
    </row>
    <row r="1488" spans="2:9">
      <c r="C1488" s="3">
        <v>1.663</v>
      </c>
      <c r="D1488" s="21">
        <v>204</v>
      </c>
      <c r="E1488" s="3">
        <v>115.1</v>
      </c>
      <c r="F1488" s="3">
        <v>31.27</v>
      </c>
      <c r="G1488" s="3">
        <v>632.20000000000005</v>
      </c>
      <c r="H1488" s="3">
        <v>5.3550000000000004</v>
      </c>
      <c r="I1488" s="13">
        <f t="shared" si="24"/>
        <v>3.68084425967381</v>
      </c>
    </row>
    <row r="1489" spans="2:9">
      <c r="C1489" s="3">
        <v>1.675</v>
      </c>
      <c r="D1489" s="21">
        <v>199.6</v>
      </c>
      <c r="E1489" s="3">
        <v>114.8</v>
      </c>
      <c r="F1489" s="3">
        <v>31.39</v>
      </c>
      <c r="G1489" s="3">
        <v>637.6</v>
      </c>
      <c r="H1489" s="3">
        <v>5.4009999999999998</v>
      </c>
      <c r="I1489" s="13">
        <f t="shared" si="24"/>
        <v>3.6572156737814598</v>
      </c>
    </row>
    <row r="1490" spans="2:9">
      <c r="C1490" s="3">
        <v>1.6879999999999999</v>
      </c>
      <c r="D1490" s="21">
        <v>261.3</v>
      </c>
      <c r="E1490" s="3">
        <v>114.2</v>
      </c>
      <c r="F1490" s="3">
        <v>31.75</v>
      </c>
      <c r="G1490" s="3">
        <v>642.70000000000005</v>
      </c>
      <c r="H1490" s="3">
        <v>5.3410000000000002</v>
      </c>
      <c r="I1490" s="13">
        <f t="shared" si="24"/>
        <v>3.5968503937007901</v>
      </c>
    </row>
    <row r="1491" spans="2:9">
      <c r="C1491" s="3">
        <v>1.7030000000000001</v>
      </c>
      <c r="D1491" s="21">
        <v>200</v>
      </c>
      <c r="E1491" s="3">
        <v>114.3</v>
      </c>
      <c r="F1491" s="3">
        <v>32.229999999999997</v>
      </c>
      <c r="G1491" s="3">
        <v>640.9</v>
      </c>
      <c r="H1491" s="3">
        <v>5.4119999999999999</v>
      </c>
      <c r="I1491" s="13">
        <f t="shared" si="24"/>
        <v>3.5463853552590798</v>
      </c>
    </row>
    <row r="1492" spans="2:9">
      <c r="C1492" s="3">
        <v>1.6990000000000001</v>
      </c>
      <c r="D1492" s="21">
        <v>199.6</v>
      </c>
      <c r="E1492" s="3">
        <v>114.6</v>
      </c>
      <c r="F1492" s="3">
        <v>32.479999999999997</v>
      </c>
      <c r="G1492" s="3">
        <v>643.29999999999995</v>
      </c>
      <c r="H1492" s="3">
        <v>5.3150000000000004</v>
      </c>
      <c r="I1492" s="13">
        <f t="shared" si="24"/>
        <v>3.52832512315271</v>
      </c>
    </row>
    <row r="1493" spans="2:9">
      <c r="C1493" s="3">
        <v>1.651</v>
      </c>
      <c r="D1493" s="21">
        <v>179.7</v>
      </c>
      <c r="E1493" s="3">
        <v>114.5</v>
      </c>
      <c r="F1493" s="3">
        <v>32.590000000000003</v>
      </c>
      <c r="G1493" s="3">
        <v>634.70000000000005</v>
      </c>
      <c r="H1493" s="3">
        <v>5.343</v>
      </c>
      <c r="I1493" s="13">
        <f t="shared" si="24"/>
        <v>3.5133476526541898</v>
      </c>
    </row>
    <row r="1494" spans="2:9">
      <c r="C1494" s="3">
        <v>1.611</v>
      </c>
      <c r="D1494" s="21">
        <v>261.3</v>
      </c>
      <c r="E1494" s="3">
        <v>114.7</v>
      </c>
      <c r="F1494" s="3">
        <v>32.479999999999997</v>
      </c>
      <c r="G1494" s="3">
        <v>637.79999999999995</v>
      </c>
      <c r="H1494" s="3">
        <v>5.2140000000000004</v>
      </c>
      <c r="I1494" s="13">
        <f t="shared" si="24"/>
        <v>3.5314039408867002</v>
      </c>
    </row>
    <row r="1495" spans="2:9">
      <c r="C1495" s="3">
        <v>1.605</v>
      </c>
      <c r="D1495" s="21">
        <v>222.7</v>
      </c>
      <c r="E1495" s="3">
        <v>114.5</v>
      </c>
      <c r="F1495" s="3">
        <v>32.369999999999997</v>
      </c>
      <c r="G1495" s="3">
        <v>640.79999999999995</v>
      </c>
      <c r="H1495" s="3">
        <v>5.2009999999999996</v>
      </c>
      <c r="I1495" s="13">
        <f t="shared" si="24"/>
        <v>3.5372258263824499</v>
      </c>
    </row>
    <row r="1496" spans="2:9">
      <c r="C1496" s="3">
        <v>1.637</v>
      </c>
      <c r="D1496" s="21">
        <v>232.3</v>
      </c>
      <c r="E1496" s="3">
        <v>114.3</v>
      </c>
      <c r="F1496" s="3">
        <v>32.14</v>
      </c>
      <c r="G1496" s="3">
        <v>632.20000000000005</v>
      </c>
      <c r="H1496" s="3">
        <v>5.2220000000000004</v>
      </c>
      <c r="I1496" s="13">
        <f t="shared" si="24"/>
        <v>3.5563161169881798</v>
      </c>
    </row>
    <row r="1497" spans="2:9">
      <c r="C1497" s="3">
        <v>1.696</v>
      </c>
      <c r="D1497" s="21">
        <v>222.7</v>
      </c>
      <c r="E1497" s="3">
        <v>114.7</v>
      </c>
      <c r="F1497" s="3">
        <v>32.270000000000003</v>
      </c>
      <c r="G1497" s="3">
        <v>631.70000000000005</v>
      </c>
      <c r="H1497" s="3">
        <v>5.04</v>
      </c>
      <c r="I1497" s="13">
        <f t="shared" si="24"/>
        <v>3.55438487759529</v>
      </c>
    </row>
    <row r="1498" spans="2:9">
      <c r="C1498" s="3">
        <v>1.6839999999999999</v>
      </c>
      <c r="D1498" s="21">
        <v>199.6</v>
      </c>
      <c r="E1498" s="3">
        <v>114.9</v>
      </c>
      <c r="F1498" s="3">
        <v>32.78</v>
      </c>
      <c r="G1498" s="3">
        <v>629.5</v>
      </c>
      <c r="H1498" s="3">
        <v>5.0369999999999999</v>
      </c>
      <c r="I1498" s="13">
        <f t="shared" si="24"/>
        <v>3.5051860890787099</v>
      </c>
    </row>
    <row r="1499" spans="2:9">
      <c r="C1499" s="3">
        <v>1.65</v>
      </c>
      <c r="D1499" s="21">
        <v>200</v>
      </c>
      <c r="E1499" s="3">
        <v>115.1</v>
      </c>
      <c r="F1499" s="3">
        <v>32.020000000000003</v>
      </c>
      <c r="G1499" s="3">
        <v>630.70000000000005</v>
      </c>
      <c r="H1499" s="3">
        <v>5.0659999999999998</v>
      </c>
      <c r="I1499" s="13">
        <f t="shared" si="24"/>
        <v>3.5946283572766999</v>
      </c>
    </row>
    <row r="1500" spans="2:9">
      <c r="C1500" s="3">
        <v>1.659</v>
      </c>
      <c r="D1500" s="21">
        <v>204</v>
      </c>
      <c r="E1500" s="3">
        <v>115.3</v>
      </c>
      <c r="F1500" s="3">
        <v>32.26</v>
      </c>
      <c r="G1500" s="3">
        <v>634.4</v>
      </c>
      <c r="H1500" s="3">
        <v>5.1509999999999998</v>
      </c>
      <c r="I1500" s="13">
        <f t="shared" si="24"/>
        <v>3.5740855548667101</v>
      </c>
    </row>
    <row r="1501" spans="2:9">
      <c r="C1501" s="3">
        <v>1.6890000000000001</v>
      </c>
      <c r="D1501" s="21">
        <v>197.4</v>
      </c>
      <c r="E1501" s="3">
        <v>115.1</v>
      </c>
      <c r="F1501" s="3">
        <v>31.66</v>
      </c>
      <c r="G1501" s="3">
        <v>632.20000000000005</v>
      </c>
      <c r="H1501" s="3">
        <v>5.2329999999999997</v>
      </c>
      <c r="I1501" s="13">
        <f t="shared" si="24"/>
        <v>3.6355022109917901</v>
      </c>
    </row>
    <row r="1502" spans="2:9">
      <c r="B1502" s="16">
        <v>76</v>
      </c>
      <c r="C1502" s="16">
        <v>2.855</v>
      </c>
      <c r="D1502" s="29">
        <v>149.9</v>
      </c>
      <c r="E1502" s="16">
        <v>78.64</v>
      </c>
      <c r="F1502" s="16">
        <v>26.22</v>
      </c>
      <c r="G1502" s="16">
        <v>642.9</v>
      </c>
      <c r="H1502" s="16">
        <v>4.4610000000000003</v>
      </c>
      <c r="I1502" s="13">
        <f t="shared" si="24"/>
        <v>2.9992372234935201</v>
      </c>
    </row>
    <row r="1503" spans="2:9">
      <c r="C1503" s="3">
        <v>2.8679999999999999</v>
      </c>
      <c r="D1503" s="21">
        <v>150.30000000000001</v>
      </c>
      <c r="E1503" s="3">
        <v>79.56</v>
      </c>
      <c r="F1503" s="3">
        <v>26.28</v>
      </c>
      <c r="G1503" s="3">
        <v>638</v>
      </c>
      <c r="H1503" s="3">
        <v>4.3230000000000004</v>
      </c>
      <c r="I1503" s="13">
        <f t="shared" si="24"/>
        <v>3.02739726027397</v>
      </c>
    </row>
    <row r="1504" spans="2:9">
      <c r="C1504" s="3">
        <v>2.83</v>
      </c>
      <c r="D1504" s="21">
        <v>143.44999999999999</v>
      </c>
      <c r="E1504" s="3">
        <v>79.16</v>
      </c>
      <c r="F1504" s="3">
        <v>25.74</v>
      </c>
      <c r="G1504" s="3">
        <v>638.9</v>
      </c>
      <c r="H1504" s="3">
        <v>4.3109999999999999</v>
      </c>
      <c r="I1504" s="13">
        <f t="shared" si="24"/>
        <v>3.0753690753690801</v>
      </c>
    </row>
    <row r="1505" spans="3:9">
      <c r="C1505" s="3">
        <v>2.7930000000000001</v>
      </c>
      <c r="D1505" s="21">
        <v>145.4</v>
      </c>
      <c r="E1505" s="3">
        <v>78.819999999999993</v>
      </c>
      <c r="F1505" s="3">
        <v>25.63</v>
      </c>
      <c r="G1505" s="3">
        <v>639.9</v>
      </c>
      <c r="H1505" s="3">
        <v>4.4749999999999996</v>
      </c>
      <c r="I1505" s="13">
        <f t="shared" si="24"/>
        <v>3.0753023800234098</v>
      </c>
    </row>
    <row r="1506" spans="3:9">
      <c r="C1506" s="3">
        <v>2.7919999999999998</v>
      </c>
      <c r="D1506" s="21">
        <v>145.5</v>
      </c>
      <c r="E1506" s="3">
        <v>79.52</v>
      </c>
      <c r="F1506" s="3">
        <v>25.32</v>
      </c>
      <c r="G1506" s="3">
        <v>640.79999999999995</v>
      </c>
      <c r="H1506" s="3">
        <v>4.8860000000000001</v>
      </c>
      <c r="I1506" s="13">
        <f t="shared" si="24"/>
        <v>3.14060031595577</v>
      </c>
    </row>
    <row r="1507" spans="3:9">
      <c r="C1507" s="3">
        <v>2.778</v>
      </c>
      <c r="D1507" s="21">
        <v>140.68</v>
      </c>
      <c r="E1507" s="3">
        <v>79.17</v>
      </c>
      <c r="F1507" s="3">
        <v>25.19</v>
      </c>
      <c r="G1507" s="3">
        <v>640.5</v>
      </c>
      <c r="H1507" s="3">
        <v>4.2110000000000003</v>
      </c>
      <c r="I1507" s="13">
        <f t="shared" si="24"/>
        <v>3.1429138547042501</v>
      </c>
    </row>
    <row r="1508" spans="3:9">
      <c r="C1508" s="3">
        <v>2.7829999999999999</v>
      </c>
      <c r="D1508" s="21">
        <v>143.25</v>
      </c>
      <c r="E1508" s="3">
        <v>78.680000000000007</v>
      </c>
      <c r="F1508" s="3">
        <v>25.46</v>
      </c>
      <c r="G1508" s="3">
        <v>638.1</v>
      </c>
      <c r="H1508" s="3">
        <v>4.25</v>
      </c>
      <c r="I1508" s="13">
        <f t="shared" si="24"/>
        <v>3.0903377847604099</v>
      </c>
    </row>
    <row r="1509" spans="3:9">
      <c r="C1509" s="3">
        <v>2.855</v>
      </c>
      <c r="D1509" s="21">
        <v>146.30000000000001</v>
      </c>
      <c r="E1509" s="3">
        <v>78.52</v>
      </c>
      <c r="F1509" s="3">
        <v>25.66</v>
      </c>
      <c r="G1509" s="3">
        <v>640.79999999999995</v>
      </c>
      <c r="H1509" s="3">
        <v>4.0140000000000002</v>
      </c>
      <c r="I1509" s="13">
        <f t="shared" si="24"/>
        <v>3.0600155884645401</v>
      </c>
    </row>
    <row r="1510" spans="3:9">
      <c r="C1510" s="3">
        <v>2.8370000000000002</v>
      </c>
      <c r="D1510" s="21">
        <v>141</v>
      </c>
      <c r="E1510" s="3">
        <v>78.73</v>
      </c>
      <c r="F1510" s="3">
        <v>25.35</v>
      </c>
      <c r="G1510" s="3">
        <v>640.20000000000005</v>
      </c>
      <c r="H1510" s="3">
        <v>4.3109999999999999</v>
      </c>
      <c r="I1510" s="13">
        <f t="shared" si="24"/>
        <v>3.1057199211045399</v>
      </c>
    </row>
    <row r="1511" spans="3:9">
      <c r="C1511" s="3">
        <v>2.8340000000000001</v>
      </c>
      <c r="D1511" s="21">
        <v>142.15</v>
      </c>
      <c r="E1511" s="3">
        <v>79.33</v>
      </c>
      <c r="F1511" s="3">
        <v>25.73</v>
      </c>
      <c r="G1511" s="3">
        <v>639</v>
      </c>
      <c r="H1511" s="3">
        <v>4.8849999999999998</v>
      </c>
      <c r="I1511" s="13">
        <f t="shared" si="24"/>
        <v>3.0831713952584501</v>
      </c>
    </row>
    <row r="1512" spans="3:9">
      <c r="C1512" s="3">
        <v>2.7490000000000001</v>
      </c>
      <c r="D1512" s="21">
        <v>139.6</v>
      </c>
      <c r="E1512" s="3">
        <v>79.28</v>
      </c>
      <c r="F1512" s="3">
        <v>25.44</v>
      </c>
      <c r="G1512" s="3">
        <v>639.9</v>
      </c>
      <c r="H1512" s="3">
        <v>4.7320000000000002</v>
      </c>
      <c r="I1512" s="13">
        <f t="shared" si="24"/>
        <v>3.1163522012578602</v>
      </c>
    </row>
    <row r="1513" spans="3:9">
      <c r="C1513" s="3">
        <v>2.7829999999999999</v>
      </c>
      <c r="D1513" s="21">
        <v>143.07</v>
      </c>
      <c r="E1513" s="3">
        <v>78.790000000000006</v>
      </c>
      <c r="F1513" s="3">
        <v>25.17</v>
      </c>
      <c r="G1513" s="3">
        <v>642.79999999999995</v>
      </c>
      <c r="H1513" s="3">
        <v>4.01</v>
      </c>
      <c r="I1513" s="13">
        <f t="shared" si="24"/>
        <v>3.1303138657131502</v>
      </c>
    </row>
    <row r="1514" spans="3:9">
      <c r="C1514" s="3">
        <v>2.8090000000000002</v>
      </c>
      <c r="D1514" s="21">
        <v>143.25</v>
      </c>
      <c r="E1514" s="3">
        <v>78.52</v>
      </c>
      <c r="F1514" s="3">
        <v>25.36</v>
      </c>
      <c r="G1514" s="3">
        <v>639.5</v>
      </c>
      <c r="H1514" s="3">
        <v>3.9870000000000001</v>
      </c>
      <c r="I1514" s="13">
        <f t="shared" si="24"/>
        <v>3.0962145110410102</v>
      </c>
    </row>
    <row r="1515" spans="3:9">
      <c r="C1515" s="3">
        <v>2.7810000000000001</v>
      </c>
      <c r="D1515" s="21">
        <v>138.18</v>
      </c>
      <c r="E1515" s="3">
        <v>78.900000000000006</v>
      </c>
      <c r="F1515" s="3">
        <v>25.46</v>
      </c>
      <c r="G1515" s="3">
        <v>639.9</v>
      </c>
      <c r="H1515" s="3">
        <v>4.0209999999999999</v>
      </c>
      <c r="I1515" s="13">
        <f t="shared" si="24"/>
        <v>3.0989787902592298</v>
      </c>
    </row>
    <row r="1516" spans="3:9">
      <c r="C1516" s="3">
        <v>2.8090000000000002</v>
      </c>
      <c r="D1516" s="21">
        <v>138.52000000000001</v>
      </c>
      <c r="E1516" s="3">
        <v>79.17</v>
      </c>
      <c r="F1516" s="3">
        <v>25.29</v>
      </c>
      <c r="G1516" s="3">
        <v>640</v>
      </c>
      <c r="H1516" s="3">
        <v>4.0869999999999997</v>
      </c>
      <c r="I1516" s="13">
        <f t="shared" si="24"/>
        <v>3.13048635824437</v>
      </c>
    </row>
    <row r="1517" spans="3:9">
      <c r="C1517" s="3">
        <v>2.847</v>
      </c>
      <c r="D1517" s="21">
        <v>141.16999999999999</v>
      </c>
      <c r="E1517" s="3">
        <v>79.58</v>
      </c>
      <c r="F1517" s="3">
        <v>25</v>
      </c>
      <c r="G1517" s="3">
        <v>640.29999999999995</v>
      </c>
      <c r="H1517" s="3">
        <v>4.4749999999999996</v>
      </c>
      <c r="I1517" s="13">
        <f t="shared" si="24"/>
        <v>3.1831999999999998</v>
      </c>
    </row>
    <row r="1518" spans="3:9">
      <c r="C1518" s="3">
        <v>2.8679999999999999</v>
      </c>
      <c r="D1518" s="21">
        <v>145.30000000000001</v>
      </c>
      <c r="E1518" s="3">
        <v>79.23</v>
      </c>
      <c r="F1518" s="3">
        <v>25.35</v>
      </c>
      <c r="G1518" s="3">
        <v>637.1</v>
      </c>
      <c r="H1518" s="3">
        <v>4.7320000000000002</v>
      </c>
      <c r="I1518" s="13">
        <f t="shared" si="24"/>
        <v>3.1254437869822498</v>
      </c>
    </row>
    <row r="1519" spans="3:9">
      <c r="C1519" s="3">
        <v>2.8450000000000002</v>
      </c>
      <c r="D1519" s="21">
        <v>143.44999999999999</v>
      </c>
      <c r="E1519" s="3">
        <v>79.459999999999994</v>
      </c>
      <c r="F1519" s="3">
        <v>25.03</v>
      </c>
      <c r="G1519" s="3">
        <v>638.6</v>
      </c>
      <c r="H1519" s="3">
        <v>4.8860000000000001</v>
      </c>
      <c r="I1519" s="13">
        <f t="shared" si="24"/>
        <v>3.17459049141031</v>
      </c>
    </row>
    <row r="1520" spans="3:9">
      <c r="C1520" s="3">
        <v>2.83</v>
      </c>
      <c r="D1520" s="21">
        <v>143.22</v>
      </c>
      <c r="E1520" s="3">
        <v>79.55</v>
      </c>
      <c r="F1520" s="3">
        <v>25.36</v>
      </c>
      <c r="G1520" s="3">
        <v>638</v>
      </c>
      <c r="H1520" s="3">
        <v>4.4610000000000003</v>
      </c>
      <c r="I1520" s="13">
        <f t="shared" si="24"/>
        <v>3.13682965299685</v>
      </c>
    </row>
    <row r="1521" spans="2:9">
      <c r="C1521" s="3">
        <v>2.8159999999999998</v>
      </c>
      <c r="D1521" s="21">
        <v>150.30000000000001</v>
      </c>
      <c r="E1521" s="3">
        <v>78.900000000000006</v>
      </c>
      <c r="F1521" s="3">
        <v>25.19</v>
      </c>
      <c r="G1521" s="3">
        <v>641.6</v>
      </c>
      <c r="H1521" s="3">
        <v>4.3230000000000004</v>
      </c>
      <c r="I1521" s="13">
        <f t="shared" si="24"/>
        <v>3.1321953156014302</v>
      </c>
    </row>
    <row r="1522" spans="2:9">
      <c r="B1522" s="16">
        <v>77</v>
      </c>
      <c r="C1522" s="16">
        <v>2.0870000000000002</v>
      </c>
      <c r="D1522" s="29">
        <v>180.23</v>
      </c>
      <c r="E1522" s="16">
        <v>85.72</v>
      </c>
      <c r="F1522" s="16">
        <v>34.97</v>
      </c>
      <c r="G1522" s="16">
        <v>641.4</v>
      </c>
      <c r="H1522" s="16">
        <v>6.1029999999999998</v>
      </c>
      <c r="I1522" s="13">
        <f t="shared" si="24"/>
        <v>2.4512439233628802</v>
      </c>
    </row>
    <row r="1523" spans="2:9">
      <c r="C1523" s="3">
        <v>2.1040000000000001</v>
      </c>
      <c r="D1523" s="21">
        <v>165.15</v>
      </c>
      <c r="E1523" s="3">
        <v>85.77</v>
      </c>
      <c r="F1523" s="3">
        <v>34.549999999999997</v>
      </c>
      <c r="G1523" s="3">
        <v>640.4</v>
      </c>
      <c r="H1523" s="3">
        <v>6.1040000000000001</v>
      </c>
      <c r="I1523" s="13">
        <f t="shared" si="24"/>
        <v>2.4824891461649798</v>
      </c>
    </row>
    <row r="1524" spans="2:9">
      <c r="C1524" s="3">
        <v>2.0880000000000001</v>
      </c>
      <c r="D1524" s="21">
        <v>164.92</v>
      </c>
      <c r="E1524" s="3">
        <v>85.92</v>
      </c>
      <c r="F1524" s="3">
        <v>34.36</v>
      </c>
      <c r="G1524" s="3">
        <v>641</v>
      </c>
      <c r="H1524" s="3">
        <v>6.069</v>
      </c>
      <c r="I1524" s="13">
        <f t="shared" si="24"/>
        <v>2.5005820721769498</v>
      </c>
    </row>
    <row r="1525" spans="2:9">
      <c r="C1525" s="3">
        <v>2.1059999999999999</v>
      </c>
      <c r="D1525" s="21">
        <v>170.39</v>
      </c>
      <c r="E1525" s="3">
        <v>85.7</v>
      </c>
      <c r="F1525" s="3">
        <v>34.29</v>
      </c>
      <c r="G1525" s="3">
        <v>644.9</v>
      </c>
      <c r="H1525" s="3">
        <v>5.95</v>
      </c>
      <c r="I1525" s="13">
        <f t="shared" si="24"/>
        <v>2.49927092446777</v>
      </c>
    </row>
    <row r="1526" spans="2:9">
      <c r="C1526" s="3">
        <v>2.117</v>
      </c>
      <c r="D1526" s="21">
        <v>173.37</v>
      </c>
      <c r="E1526" s="3">
        <v>86.39</v>
      </c>
      <c r="F1526" s="3">
        <v>35.119999999999997</v>
      </c>
      <c r="G1526" s="3">
        <v>641.79999999999995</v>
      </c>
      <c r="H1526" s="3">
        <v>6.492</v>
      </c>
      <c r="I1526" s="13">
        <f t="shared" si="24"/>
        <v>2.4598519362186799</v>
      </c>
    </row>
    <row r="1527" spans="2:9">
      <c r="C1527" s="3">
        <v>2.1240000000000001</v>
      </c>
      <c r="D1527" s="21">
        <v>177.63</v>
      </c>
      <c r="E1527" s="3">
        <v>86.17</v>
      </c>
      <c r="F1527" s="3">
        <v>34.15</v>
      </c>
      <c r="G1527" s="3">
        <v>641.6</v>
      </c>
      <c r="H1527" s="3">
        <v>6.4390000000000001</v>
      </c>
      <c r="I1527" s="13">
        <f t="shared" si="24"/>
        <v>2.5232796486090798</v>
      </c>
    </row>
    <row r="1528" spans="2:9">
      <c r="C1528" s="3">
        <v>2.1150000000000002</v>
      </c>
      <c r="D1528" s="21">
        <v>179.52</v>
      </c>
      <c r="E1528" s="3">
        <v>86.78</v>
      </c>
      <c r="F1528" s="3">
        <v>34.08</v>
      </c>
      <c r="G1528" s="3">
        <v>640.79999999999995</v>
      </c>
      <c r="H1528" s="3">
        <v>5.7690000000000001</v>
      </c>
      <c r="I1528" s="13">
        <f t="shared" si="24"/>
        <v>2.5463615023474202</v>
      </c>
    </row>
    <row r="1529" spans="2:9">
      <c r="C1529" s="3">
        <v>2.0870000000000002</v>
      </c>
      <c r="D1529" s="21">
        <v>176.97</v>
      </c>
      <c r="E1529" s="3">
        <v>86.43</v>
      </c>
      <c r="F1529" s="3">
        <v>35.299999999999997</v>
      </c>
      <c r="G1529" s="3">
        <v>641.4</v>
      </c>
      <c r="H1529" s="3">
        <v>5.94</v>
      </c>
      <c r="I1529" s="13">
        <f t="shared" si="24"/>
        <v>2.4484419263456099</v>
      </c>
    </row>
    <row r="1530" spans="2:9">
      <c r="C1530" s="3">
        <v>2.0649999999999999</v>
      </c>
      <c r="D1530" s="21">
        <v>173.78</v>
      </c>
      <c r="E1530" s="3">
        <v>86.36</v>
      </c>
      <c r="F1530" s="3">
        <v>34.74</v>
      </c>
      <c r="G1530" s="3">
        <v>644.20000000000005</v>
      </c>
      <c r="H1530" s="3">
        <v>5.8879999999999999</v>
      </c>
      <c r="I1530" s="13">
        <f t="shared" si="24"/>
        <v>2.48589522164652</v>
      </c>
    </row>
    <row r="1531" spans="2:9">
      <c r="C1531" s="3">
        <v>2.0310000000000001</v>
      </c>
      <c r="D1531" s="21">
        <v>169.72</v>
      </c>
      <c r="E1531" s="3">
        <v>86.28</v>
      </c>
      <c r="F1531" s="3">
        <v>34.770000000000003</v>
      </c>
      <c r="G1531" s="3">
        <v>645.1</v>
      </c>
      <c r="H1531" s="3">
        <v>6.9539999999999997</v>
      </c>
      <c r="I1531" s="13">
        <f t="shared" si="24"/>
        <v>2.4814495254529798</v>
      </c>
    </row>
    <row r="1532" spans="2:9">
      <c r="C1532" s="3">
        <v>1.984</v>
      </c>
      <c r="D1532" s="21">
        <v>171.42</v>
      </c>
      <c r="E1532" s="3">
        <v>86.57</v>
      </c>
      <c r="F1532" s="3">
        <v>34.74</v>
      </c>
      <c r="G1532" s="3">
        <v>646.20000000000005</v>
      </c>
      <c r="H1532" s="3">
        <v>5.9480000000000004</v>
      </c>
      <c r="I1532" s="13">
        <f t="shared" si="24"/>
        <v>2.49194012665515</v>
      </c>
    </row>
    <row r="1533" spans="2:9">
      <c r="C1533" s="3">
        <v>2.0990000000000002</v>
      </c>
      <c r="D1533" s="21">
        <v>169.72</v>
      </c>
      <c r="E1533" s="3">
        <v>86.76</v>
      </c>
      <c r="F1533" s="3">
        <v>34.67</v>
      </c>
      <c r="G1533" s="3">
        <v>647.29999999999995</v>
      </c>
      <c r="H1533" s="3">
        <v>5.7690000000000001</v>
      </c>
      <c r="I1533" s="13">
        <f t="shared" si="24"/>
        <v>2.5024516873377598</v>
      </c>
    </row>
    <row r="1534" spans="2:9">
      <c r="C1534" s="3">
        <v>2.1240000000000001</v>
      </c>
      <c r="D1534" s="21">
        <v>170.37</v>
      </c>
      <c r="E1534" s="3">
        <v>86.31</v>
      </c>
      <c r="F1534" s="3">
        <v>34.61</v>
      </c>
      <c r="G1534" s="3">
        <v>646.9</v>
      </c>
      <c r="H1534" s="3">
        <v>5.5880000000000001</v>
      </c>
      <c r="I1534" s="13">
        <f t="shared" si="24"/>
        <v>2.4937879225657298</v>
      </c>
    </row>
    <row r="1535" spans="2:9">
      <c r="C1535" s="3">
        <v>2.1110000000000002</v>
      </c>
      <c r="D1535" s="21">
        <v>159.55000000000001</v>
      </c>
      <c r="E1535" s="3">
        <v>86.21</v>
      </c>
      <c r="F1535" s="3">
        <v>34.299999999999997</v>
      </c>
      <c r="G1535" s="3">
        <v>644.9</v>
      </c>
      <c r="H1535" s="3">
        <v>5.47</v>
      </c>
      <c r="I1535" s="13">
        <f t="shared" si="24"/>
        <v>2.5134110787171999</v>
      </c>
    </row>
    <row r="1536" spans="2:9">
      <c r="C1536" s="3">
        <v>2.0859999999999999</v>
      </c>
      <c r="D1536" s="21">
        <v>164.6</v>
      </c>
      <c r="E1536" s="3">
        <v>86.38</v>
      </c>
      <c r="F1536" s="3">
        <v>34.64</v>
      </c>
      <c r="G1536" s="3">
        <v>643.1</v>
      </c>
      <c r="H1536" s="3">
        <v>5.7850000000000001</v>
      </c>
      <c r="I1536" s="13">
        <f t="shared" si="24"/>
        <v>2.49364896073903</v>
      </c>
    </row>
    <row r="1537" spans="2:9">
      <c r="C1537" s="3">
        <v>2.0739999999999998</v>
      </c>
      <c r="D1537" s="21">
        <v>168.04</v>
      </c>
      <c r="E1537" s="3">
        <v>86.4</v>
      </c>
      <c r="F1537" s="3">
        <v>34</v>
      </c>
      <c r="G1537" s="3">
        <v>641.79999999999995</v>
      </c>
      <c r="H1537" s="3">
        <v>6.3979999999999997</v>
      </c>
      <c r="I1537" s="13">
        <f t="shared" si="24"/>
        <v>2.54117647058824</v>
      </c>
    </row>
    <row r="1538" spans="2:9">
      <c r="C1538" s="3">
        <v>2.0880000000000001</v>
      </c>
      <c r="D1538" s="21">
        <v>164.93</v>
      </c>
      <c r="E1538" s="3">
        <v>85.67</v>
      </c>
      <c r="F1538" s="3">
        <v>34.119999999999997</v>
      </c>
      <c r="G1538" s="3">
        <v>642.6</v>
      </c>
      <c r="H1538" s="3">
        <v>6.069</v>
      </c>
      <c r="I1538" s="13">
        <f t="shared" si="24"/>
        <v>2.5108440797186402</v>
      </c>
    </row>
    <row r="1539" spans="2:9">
      <c r="C1539" s="3">
        <v>2.0739999999999998</v>
      </c>
      <c r="D1539" s="21">
        <v>168.98</v>
      </c>
      <c r="E1539" s="3">
        <v>86.31</v>
      </c>
      <c r="F1539" s="3">
        <v>34.28</v>
      </c>
      <c r="G1539" s="3">
        <v>639.9</v>
      </c>
      <c r="H1539" s="3">
        <v>5.851</v>
      </c>
      <c r="I1539" s="13">
        <f t="shared" ref="I1539:I1602" si="25">E1539/F1539</f>
        <v>2.5177946324387399</v>
      </c>
    </row>
    <row r="1540" spans="2:9">
      <c r="C1540" s="3">
        <v>2.093</v>
      </c>
      <c r="D1540" s="21">
        <v>170.39</v>
      </c>
      <c r="E1540" s="3">
        <v>86.69</v>
      </c>
      <c r="F1540" s="3">
        <v>34.6</v>
      </c>
      <c r="G1540" s="3">
        <v>641.79999999999995</v>
      </c>
      <c r="H1540" s="3">
        <v>5.5720000000000001</v>
      </c>
      <c r="I1540" s="13">
        <f t="shared" si="25"/>
        <v>2.5054913294797698</v>
      </c>
    </row>
    <row r="1541" spans="2:9">
      <c r="C1541" s="3">
        <v>2.1190000000000002</v>
      </c>
      <c r="D1541" s="21">
        <v>173.78</v>
      </c>
      <c r="E1541" s="3">
        <v>86.22</v>
      </c>
      <c r="F1541" s="3">
        <v>34.81</v>
      </c>
      <c r="G1541" s="3">
        <v>643.6</v>
      </c>
      <c r="H1541" s="3">
        <v>5.6390000000000002</v>
      </c>
      <c r="I1541" s="13">
        <f t="shared" si="25"/>
        <v>2.47687446136168</v>
      </c>
    </row>
    <row r="1542" spans="2:9">
      <c r="B1542" s="16">
        <v>78</v>
      </c>
      <c r="C1542" s="16">
        <v>2.3450000000000002</v>
      </c>
      <c r="D1542" s="29">
        <v>252.1</v>
      </c>
      <c r="E1542" s="16">
        <v>100.2</v>
      </c>
      <c r="F1542" s="16">
        <v>57.09</v>
      </c>
      <c r="G1542" s="16">
        <v>663.3</v>
      </c>
      <c r="H1542" s="16">
        <v>5.3819999999999997</v>
      </c>
      <c r="I1542" s="13">
        <f t="shared" si="25"/>
        <v>1.75512348922754</v>
      </c>
    </row>
    <row r="1543" spans="2:9">
      <c r="C1543" s="3">
        <v>2.3719999999999999</v>
      </c>
      <c r="D1543" s="21">
        <v>306.2</v>
      </c>
      <c r="E1543" s="3">
        <v>100.1</v>
      </c>
      <c r="F1543" s="3">
        <v>56.53</v>
      </c>
      <c r="G1543" s="3">
        <v>664.3</v>
      </c>
      <c r="H1543" s="3">
        <v>5.4779999999999998</v>
      </c>
      <c r="I1543" s="13">
        <f t="shared" si="25"/>
        <v>1.7707411993631701</v>
      </c>
    </row>
    <row r="1544" spans="2:9">
      <c r="C1544" s="3">
        <v>2.3460000000000001</v>
      </c>
      <c r="D1544" s="21">
        <v>255.6</v>
      </c>
      <c r="E1544" s="3">
        <v>100</v>
      </c>
      <c r="F1544" s="3">
        <v>57.25</v>
      </c>
      <c r="G1544" s="3">
        <v>664.6</v>
      </c>
      <c r="H1544" s="3">
        <v>5.7960000000000003</v>
      </c>
      <c r="I1544" s="13">
        <f t="shared" si="25"/>
        <v>1.74672489082969</v>
      </c>
    </row>
    <row r="1545" spans="2:9">
      <c r="C1545" s="3">
        <v>2.4409999999999998</v>
      </c>
      <c r="D1545" s="21">
        <v>277.5</v>
      </c>
      <c r="E1545" s="3">
        <v>101.1</v>
      </c>
      <c r="F1545" s="3">
        <v>57.61</v>
      </c>
      <c r="G1545" s="3">
        <v>663</v>
      </c>
      <c r="H1545" s="3">
        <v>5.9009999999999998</v>
      </c>
      <c r="I1545" s="13">
        <f t="shared" si="25"/>
        <v>1.7549036625585801</v>
      </c>
    </row>
    <row r="1546" spans="2:9">
      <c r="C1546" s="3">
        <v>2.3969999999999998</v>
      </c>
      <c r="D1546" s="21">
        <v>283</v>
      </c>
      <c r="E1546" s="3">
        <v>101.2</v>
      </c>
      <c r="F1546" s="3">
        <v>57.5</v>
      </c>
      <c r="G1546" s="3">
        <v>665.7</v>
      </c>
      <c r="H1546" s="3">
        <v>5.8479999999999999</v>
      </c>
      <c r="I1546" s="13">
        <f t="shared" si="25"/>
        <v>1.76</v>
      </c>
    </row>
    <row r="1547" spans="2:9">
      <c r="C1547" s="3">
        <v>2.3719999999999999</v>
      </c>
      <c r="D1547" s="21">
        <v>299.89999999999998</v>
      </c>
      <c r="E1547" s="3">
        <v>100.6</v>
      </c>
      <c r="F1547" s="3">
        <v>57.26</v>
      </c>
      <c r="G1547" s="3">
        <v>668.1</v>
      </c>
      <c r="H1547" s="3">
        <v>5.6779999999999999</v>
      </c>
      <c r="I1547" s="13">
        <f t="shared" si="25"/>
        <v>1.7568983583653499</v>
      </c>
    </row>
    <row r="1548" spans="2:9">
      <c r="C1548" s="3">
        <v>2.3450000000000002</v>
      </c>
      <c r="D1548" s="21">
        <v>306.39999999999998</v>
      </c>
      <c r="E1548" s="3">
        <v>100.5</v>
      </c>
      <c r="F1548" s="3">
        <v>57.18</v>
      </c>
      <c r="G1548" s="3">
        <v>671.7</v>
      </c>
      <c r="H1548" s="3">
        <v>5.4480000000000004</v>
      </c>
      <c r="I1548" s="13">
        <f t="shared" si="25"/>
        <v>1.7576075550891901</v>
      </c>
    </row>
    <row r="1549" spans="2:9">
      <c r="C1549" s="3">
        <v>2.3220000000000001</v>
      </c>
      <c r="D1549" s="21">
        <v>267.5</v>
      </c>
      <c r="E1549" s="3">
        <v>100.8</v>
      </c>
      <c r="F1549" s="3">
        <v>57.25</v>
      </c>
      <c r="G1549" s="3">
        <v>674.8</v>
      </c>
      <c r="H1549" s="3">
        <v>5.3819999999999997</v>
      </c>
      <c r="I1549" s="13">
        <f t="shared" si="25"/>
        <v>1.7606986899563299</v>
      </c>
    </row>
    <row r="1550" spans="2:9">
      <c r="C1550" s="3">
        <v>2.3149999999999999</v>
      </c>
      <c r="D1550" s="21">
        <v>246.4</v>
      </c>
      <c r="E1550" s="3">
        <v>100.9</v>
      </c>
      <c r="F1550" s="3">
        <v>57.58</v>
      </c>
      <c r="G1550" s="3">
        <v>676.9</v>
      </c>
      <c r="H1550" s="3">
        <v>5.3390000000000004</v>
      </c>
      <c r="I1550" s="13">
        <f t="shared" si="25"/>
        <v>1.7523445640847499</v>
      </c>
    </row>
    <row r="1551" spans="2:9">
      <c r="C1551" s="3">
        <v>2.282</v>
      </c>
      <c r="D1551" s="21">
        <v>256.5</v>
      </c>
      <c r="E1551" s="3">
        <v>101.1</v>
      </c>
      <c r="F1551" s="3">
        <v>57.74</v>
      </c>
      <c r="G1551" s="3">
        <v>668.2</v>
      </c>
      <c r="H1551" s="3">
        <v>5.2279999999999998</v>
      </c>
      <c r="I1551" s="13">
        <f t="shared" si="25"/>
        <v>1.7509525458953901</v>
      </c>
    </row>
    <row r="1552" spans="2:9">
      <c r="C1552" s="3">
        <v>2.2360000000000002</v>
      </c>
      <c r="D1552" s="21">
        <v>269</v>
      </c>
      <c r="E1552" s="3">
        <v>101.4</v>
      </c>
      <c r="F1552" s="3">
        <v>57.78</v>
      </c>
      <c r="G1552" s="3">
        <v>668.8</v>
      </c>
      <c r="H1552" s="3">
        <v>5.2569999999999997</v>
      </c>
      <c r="I1552" s="13">
        <f t="shared" si="25"/>
        <v>1.75493250259605</v>
      </c>
    </row>
    <row r="1553" spans="2:9">
      <c r="C1553" s="3">
        <v>2.294</v>
      </c>
      <c r="D1553" s="21">
        <v>283</v>
      </c>
      <c r="E1553" s="3">
        <v>101.2</v>
      </c>
      <c r="F1553" s="3">
        <v>56.85</v>
      </c>
      <c r="G1553" s="3">
        <v>666.3</v>
      </c>
      <c r="H1553" s="3">
        <v>5.3879999999999999</v>
      </c>
      <c r="I1553" s="13">
        <f t="shared" si="25"/>
        <v>1.7801231310466099</v>
      </c>
    </row>
    <row r="1554" spans="2:9">
      <c r="C1554" s="3">
        <v>2.319</v>
      </c>
      <c r="D1554" s="21">
        <v>299</v>
      </c>
      <c r="E1554" s="3">
        <v>100.7</v>
      </c>
      <c r="F1554" s="3">
        <v>57.14</v>
      </c>
      <c r="G1554" s="3">
        <v>668.7</v>
      </c>
      <c r="H1554" s="3">
        <v>5.4189999999999996</v>
      </c>
      <c r="I1554" s="13">
        <f t="shared" si="25"/>
        <v>1.7623381169058501</v>
      </c>
    </row>
    <row r="1555" spans="2:9">
      <c r="C1555" s="3">
        <v>2.3809999999999998</v>
      </c>
      <c r="D1555" s="21">
        <v>269</v>
      </c>
      <c r="E1555" s="3">
        <v>100.9</v>
      </c>
      <c r="F1555" s="3">
        <v>57.28</v>
      </c>
      <c r="G1555" s="3">
        <v>667</v>
      </c>
      <c r="H1555" s="3">
        <v>5.5709999999999997</v>
      </c>
      <c r="I1555" s="13">
        <f t="shared" si="25"/>
        <v>1.76152234636872</v>
      </c>
    </row>
    <row r="1556" spans="2:9">
      <c r="C1556" s="3">
        <v>2.4020000000000001</v>
      </c>
      <c r="D1556" s="21">
        <v>289.8</v>
      </c>
      <c r="E1556" s="3">
        <v>101</v>
      </c>
      <c r="F1556" s="3">
        <v>57.03</v>
      </c>
      <c r="G1556" s="3">
        <v>664.5</v>
      </c>
      <c r="H1556" s="3">
        <v>5.7690000000000001</v>
      </c>
      <c r="I1556" s="13">
        <f t="shared" si="25"/>
        <v>1.7709977204979801</v>
      </c>
    </row>
    <row r="1557" spans="2:9">
      <c r="C1557" s="3">
        <v>2.4449999999999998</v>
      </c>
      <c r="D1557" s="21">
        <v>260.7</v>
      </c>
      <c r="E1557" s="3">
        <v>100.9</v>
      </c>
      <c r="F1557" s="3">
        <v>57.6</v>
      </c>
      <c r="G1557" s="3">
        <v>664.3</v>
      </c>
      <c r="H1557" s="3">
        <v>5.9009999999999998</v>
      </c>
      <c r="I1557" s="13">
        <f t="shared" si="25"/>
        <v>1.7517361111111101</v>
      </c>
    </row>
    <row r="1558" spans="2:9">
      <c r="C1558" s="3">
        <v>2.448</v>
      </c>
      <c r="D1558" s="21">
        <v>246.4</v>
      </c>
      <c r="E1558" s="3">
        <v>100.8</v>
      </c>
      <c r="F1558" s="3">
        <v>56.7</v>
      </c>
      <c r="G1558" s="3">
        <v>663.8</v>
      </c>
      <c r="H1558" s="3">
        <v>6.117</v>
      </c>
      <c r="I1558" s="13">
        <f t="shared" si="25"/>
        <v>1.7777777777777799</v>
      </c>
    </row>
    <row r="1559" spans="2:9">
      <c r="C1559" s="3">
        <v>2.3860000000000001</v>
      </c>
      <c r="D1559" s="21">
        <v>243.9</v>
      </c>
      <c r="E1559" s="3">
        <v>100.7</v>
      </c>
      <c r="F1559" s="3">
        <v>57.03</v>
      </c>
      <c r="G1559" s="3">
        <v>665.7</v>
      </c>
      <c r="H1559" s="3">
        <v>6.23</v>
      </c>
      <c r="I1559" s="13">
        <f t="shared" si="25"/>
        <v>1.76573733122918</v>
      </c>
    </row>
    <row r="1560" spans="2:9">
      <c r="C1560" s="3">
        <v>2.3820000000000001</v>
      </c>
      <c r="D1560" s="21">
        <v>255.6</v>
      </c>
      <c r="E1560" s="3">
        <v>100.6</v>
      </c>
      <c r="F1560" s="3">
        <v>57.43</v>
      </c>
      <c r="G1560" s="3">
        <v>668.7</v>
      </c>
      <c r="H1560" s="3">
        <v>6.2380000000000004</v>
      </c>
      <c r="I1560" s="13">
        <f t="shared" si="25"/>
        <v>1.75169771896221</v>
      </c>
    </row>
    <row r="1561" spans="2:9">
      <c r="C1561" s="3">
        <v>2.359</v>
      </c>
      <c r="D1561" s="21">
        <v>269</v>
      </c>
      <c r="E1561" s="3">
        <v>100.4</v>
      </c>
      <c r="F1561" s="3">
        <v>57.02</v>
      </c>
      <c r="G1561" s="3">
        <v>677.6</v>
      </c>
      <c r="H1561" s="3">
        <v>5.8780000000000001</v>
      </c>
      <c r="I1561" s="13">
        <f t="shared" si="25"/>
        <v>1.7607856892318501</v>
      </c>
    </row>
    <row r="1562" spans="2:9">
      <c r="B1562" s="16">
        <v>79</v>
      </c>
      <c r="C1562" s="16">
        <v>2.4079999999999999</v>
      </c>
      <c r="D1562" s="29">
        <v>185</v>
      </c>
      <c r="E1562" s="16">
        <v>94.09</v>
      </c>
      <c r="F1562" s="16">
        <v>39.19</v>
      </c>
      <c r="G1562" s="16">
        <v>600.5</v>
      </c>
      <c r="H1562" s="16">
        <v>9.1639999999999997</v>
      </c>
      <c r="I1562" s="13">
        <f t="shared" si="25"/>
        <v>2.40086756825721</v>
      </c>
    </row>
    <row r="1563" spans="2:9">
      <c r="C1563" s="3">
        <v>2.3740000000000001</v>
      </c>
      <c r="D1563" s="21">
        <v>159</v>
      </c>
      <c r="E1563" s="3">
        <v>94.03</v>
      </c>
      <c r="F1563" s="3">
        <v>39.369999999999997</v>
      </c>
      <c r="G1563" s="3">
        <v>603.9</v>
      </c>
      <c r="H1563" s="3">
        <v>8.4649999999999999</v>
      </c>
      <c r="I1563" s="13">
        <f t="shared" si="25"/>
        <v>2.3883667767335499</v>
      </c>
    </row>
    <row r="1564" spans="2:9">
      <c r="C1564" s="3">
        <v>2.3290000000000002</v>
      </c>
      <c r="D1564" s="21">
        <v>168.9</v>
      </c>
      <c r="E1564" s="3">
        <v>93.93</v>
      </c>
      <c r="F1564" s="3">
        <v>39.479999999999997</v>
      </c>
      <c r="G1564" s="3">
        <v>596.6</v>
      </c>
      <c r="H1564" s="3">
        <v>8.3770000000000007</v>
      </c>
      <c r="I1564" s="13">
        <f t="shared" si="25"/>
        <v>2.37917933130699</v>
      </c>
    </row>
    <row r="1565" spans="2:9">
      <c r="C1565" s="3">
        <v>2.3250000000000002</v>
      </c>
      <c r="D1565" s="21">
        <v>166.9</v>
      </c>
      <c r="E1565" s="3">
        <v>93.89</v>
      </c>
      <c r="F1565" s="3">
        <v>39.57</v>
      </c>
      <c r="G1565" s="3">
        <v>595</v>
      </c>
      <c r="H1565" s="3">
        <v>8.6590000000000007</v>
      </c>
      <c r="I1565" s="13">
        <f t="shared" si="25"/>
        <v>2.3727571392468998</v>
      </c>
    </row>
    <row r="1566" spans="2:9">
      <c r="C1566" s="3">
        <v>2.3479999999999999</v>
      </c>
      <c r="D1566" s="21">
        <v>158</v>
      </c>
      <c r="E1566" s="3">
        <v>93.86</v>
      </c>
      <c r="F1566" s="3">
        <v>39.76</v>
      </c>
      <c r="G1566" s="3">
        <v>596.29999999999995</v>
      </c>
      <c r="H1566" s="3">
        <v>8.4979999999999993</v>
      </c>
      <c r="I1566" s="13">
        <f t="shared" si="25"/>
        <v>2.3606639839034198</v>
      </c>
    </row>
    <row r="1567" spans="2:9">
      <c r="C1567" s="3">
        <v>2.367</v>
      </c>
      <c r="D1567" s="21">
        <v>162</v>
      </c>
      <c r="E1567" s="3">
        <v>94.19</v>
      </c>
      <c r="F1567" s="3">
        <v>39.29</v>
      </c>
      <c r="G1567" s="3">
        <v>593.29999999999995</v>
      </c>
      <c r="H1567" s="3">
        <v>8.5060000000000002</v>
      </c>
      <c r="I1567" s="13">
        <f t="shared" si="25"/>
        <v>2.3973021124968201</v>
      </c>
    </row>
    <row r="1568" spans="2:9">
      <c r="C1568" s="3">
        <v>2.339</v>
      </c>
      <c r="D1568" s="21">
        <v>171.4</v>
      </c>
      <c r="E1568" s="3">
        <v>94.32</v>
      </c>
      <c r="F1568" s="3">
        <v>39.299999999999997</v>
      </c>
      <c r="G1568" s="3">
        <v>594.70000000000005</v>
      </c>
      <c r="H1568" s="3">
        <v>8.5470000000000006</v>
      </c>
      <c r="I1568" s="13">
        <f t="shared" si="25"/>
        <v>2.4</v>
      </c>
    </row>
    <row r="1569" spans="2:9">
      <c r="C1569" s="3">
        <v>2.3570000000000002</v>
      </c>
      <c r="D1569" s="21">
        <v>153.30000000000001</v>
      </c>
      <c r="E1569" s="3">
        <v>94.25</v>
      </c>
      <c r="F1569" s="3">
        <v>39.33</v>
      </c>
      <c r="G1569" s="3">
        <v>605.1</v>
      </c>
      <c r="H1569" s="3">
        <v>8.14</v>
      </c>
      <c r="I1569" s="13">
        <f t="shared" si="25"/>
        <v>2.3963895245359801</v>
      </c>
    </row>
    <row r="1570" spans="2:9">
      <c r="C1570" s="3">
        <v>2.4020000000000001</v>
      </c>
      <c r="D1570" s="21">
        <v>195.3</v>
      </c>
      <c r="E1570" s="3">
        <v>94.31</v>
      </c>
      <c r="F1570" s="3">
        <v>39.380000000000003</v>
      </c>
      <c r="G1570" s="3">
        <v>608.20000000000005</v>
      </c>
      <c r="H1570" s="3">
        <v>8.1020000000000003</v>
      </c>
      <c r="I1570" s="13">
        <f t="shared" si="25"/>
        <v>2.3948704926358602</v>
      </c>
    </row>
    <row r="1571" spans="2:9">
      <c r="C1571" s="3">
        <v>2.367</v>
      </c>
      <c r="D1571" s="21">
        <v>188</v>
      </c>
      <c r="E1571" s="3">
        <v>94.16</v>
      </c>
      <c r="F1571" s="3">
        <v>39.64</v>
      </c>
      <c r="G1571" s="3">
        <v>605.70000000000005</v>
      </c>
      <c r="H1571" s="3">
        <v>8.1379999999999999</v>
      </c>
      <c r="I1571" s="13">
        <f t="shared" si="25"/>
        <v>2.37537840565086</v>
      </c>
    </row>
    <row r="1572" spans="2:9">
      <c r="C1572" s="3">
        <v>2.375</v>
      </c>
      <c r="D1572" s="21">
        <v>163.9</v>
      </c>
      <c r="E1572" s="3">
        <v>93.98</v>
      </c>
      <c r="F1572" s="3">
        <v>39.92</v>
      </c>
      <c r="G1572" s="3">
        <v>604.79999999999995</v>
      </c>
      <c r="H1572" s="3">
        <v>8.3940000000000001</v>
      </c>
      <c r="I1572" s="13">
        <f t="shared" si="25"/>
        <v>2.3542084168336701</v>
      </c>
    </row>
    <row r="1573" spans="2:9">
      <c r="C1573" s="3">
        <v>2.383</v>
      </c>
      <c r="D1573" s="21">
        <v>171.4</v>
      </c>
      <c r="E1573" s="3">
        <v>93.7</v>
      </c>
      <c r="F1573" s="3">
        <v>39.909999999999997</v>
      </c>
      <c r="G1573" s="3">
        <v>603.9</v>
      </c>
      <c r="H1573" s="3">
        <v>8.6050000000000004</v>
      </c>
      <c r="I1573" s="13">
        <f t="shared" si="25"/>
        <v>2.34778251064896</v>
      </c>
    </row>
    <row r="1574" spans="2:9">
      <c r="C1574" s="3">
        <v>2.3969999999999998</v>
      </c>
      <c r="D1574" s="21">
        <v>162</v>
      </c>
      <c r="E1574" s="3">
        <v>94.06</v>
      </c>
      <c r="F1574" s="3">
        <v>39.64</v>
      </c>
      <c r="G1574" s="3">
        <v>601.70000000000005</v>
      </c>
      <c r="H1574" s="3">
        <v>9.4169999999999998</v>
      </c>
      <c r="I1574" s="13">
        <f t="shared" si="25"/>
        <v>2.3728557013118099</v>
      </c>
    </row>
    <row r="1575" spans="2:9">
      <c r="C1575" s="3">
        <v>2.4209999999999998</v>
      </c>
      <c r="D1575" s="21">
        <v>165.5</v>
      </c>
      <c r="E1575" s="3">
        <v>94.17</v>
      </c>
      <c r="F1575" s="3">
        <v>39.71</v>
      </c>
      <c r="G1575" s="3">
        <v>599.1</v>
      </c>
      <c r="H1575" s="3">
        <v>9.7579999999999991</v>
      </c>
      <c r="I1575" s="13">
        <f t="shared" si="25"/>
        <v>2.37144296147066</v>
      </c>
    </row>
    <row r="1576" spans="2:9">
      <c r="C1576" s="3">
        <v>2.411</v>
      </c>
      <c r="D1576" s="21">
        <v>168.9</v>
      </c>
      <c r="E1576" s="3">
        <v>94.3</v>
      </c>
      <c r="F1576" s="3">
        <v>39.799999999999997</v>
      </c>
      <c r="G1576" s="3">
        <v>595</v>
      </c>
      <c r="H1576" s="3">
        <v>8.8390000000000004</v>
      </c>
      <c r="I1576" s="13">
        <f t="shared" si="25"/>
        <v>2.36934673366834</v>
      </c>
    </row>
    <row r="1577" spans="2:9">
      <c r="C1577" s="3">
        <v>2.415</v>
      </c>
      <c r="D1577" s="21">
        <v>158.5</v>
      </c>
      <c r="E1577" s="3">
        <v>94.38</v>
      </c>
      <c r="F1577" s="3">
        <v>39.380000000000003</v>
      </c>
      <c r="G1577" s="3">
        <v>596.79999999999995</v>
      </c>
      <c r="H1577" s="3">
        <v>8.4890000000000008</v>
      </c>
      <c r="I1577" s="13">
        <f t="shared" si="25"/>
        <v>2.3966480446927401</v>
      </c>
    </row>
    <row r="1578" spans="2:9">
      <c r="C1578" s="3">
        <v>2.4009999999999998</v>
      </c>
      <c r="D1578" s="21">
        <v>168.6</v>
      </c>
      <c r="E1578" s="3">
        <v>94.49</v>
      </c>
      <c r="F1578" s="3">
        <v>39.159999999999997</v>
      </c>
      <c r="G1578" s="3">
        <v>602</v>
      </c>
      <c r="H1578" s="3">
        <v>8.3330000000000002</v>
      </c>
      <c r="I1578" s="13">
        <f t="shared" si="25"/>
        <v>2.4129213483146099</v>
      </c>
    </row>
    <row r="1579" spans="2:9">
      <c r="C1579" s="3">
        <v>2.4159999999999999</v>
      </c>
      <c r="D1579" s="21">
        <v>185</v>
      </c>
      <c r="E1579" s="3">
        <v>94.46</v>
      </c>
      <c r="F1579" s="3">
        <v>39.14</v>
      </c>
      <c r="G1579" s="3">
        <v>601.6</v>
      </c>
      <c r="H1579" s="3">
        <v>8.3879999999999999</v>
      </c>
      <c r="I1579" s="13">
        <f t="shared" si="25"/>
        <v>2.4133878385283598</v>
      </c>
    </row>
    <row r="1580" spans="2:9">
      <c r="C1580" s="3">
        <v>2.4220000000000002</v>
      </c>
      <c r="D1580" s="21">
        <v>187</v>
      </c>
      <c r="E1580" s="3">
        <v>94.31</v>
      </c>
      <c r="F1580" s="3">
        <v>39.29</v>
      </c>
      <c r="G1580" s="3">
        <v>602.9</v>
      </c>
      <c r="H1580" s="3">
        <v>8.6449999999999996</v>
      </c>
      <c r="I1580" s="13">
        <f t="shared" si="25"/>
        <v>2.4003563247645698</v>
      </c>
    </row>
    <row r="1581" spans="2:9">
      <c r="C1581" s="3">
        <v>2.403</v>
      </c>
      <c r="D1581" s="21">
        <v>159</v>
      </c>
      <c r="E1581" s="3">
        <v>94.07</v>
      </c>
      <c r="F1581" s="3">
        <v>39.33</v>
      </c>
      <c r="G1581" s="3">
        <v>599.1</v>
      </c>
      <c r="H1581" s="3">
        <v>8.2479999999999993</v>
      </c>
      <c r="I1581" s="13">
        <f t="shared" si="25"/>
        <v>2.3918128654970801</v>
      </c>
    </row>
    <row r="1582" spans="2:9">
      <c r="B1582" s="16">
        <v>80</v>
      </c>
      <c r="C1582" s="16">
        <v>2.58</v>
      </c>
      <c r="D1582" s="29">
        <v>136.04</v>
      </c>
      <c r="E1582" s="16">
        <v>111.1</v>
      </c>
      <c r="F1582" s="16">
        <v>45.58</v>
      </c>
      <c r="G1582" s="16">
        <v>652.6</v>
      </c>
      <c r="H1582" s="16">
        <v>4.6109999999999998</v>
      </c>
      <c r="I1582" s="13">
        <f t="shared" si="25"/>
        <v>2.43747257569109</v>
      </c>
    </row>
    <row r="1583" spans="2:9">
      <c r="C1583" s="3">
        <v>2.5760000000000001</v>
      </c>
      <c r="D1583" s="21">
        <v>150.24</v>
      </c>
      <c r="E1583" s="3">
        <v>110.3</v>
      </c>
      <c r="F1583" s="3">
        <v>45.97</v>
      </c>
      <c r="G1583" s="3">
        <v>654.20000000000005</v>
      </c>
      <c r="H1583" s="3">
        <v>4.4800000000000004</v>
      </c>
      <c r="I1583" s="13">
        <f t="shared" si="25"/>
        <v>2.3993909071133301</v>
      </c>
    </row>
    <row r="1584" spans="2:9">
      <c r="C1584" s="3">
        <v>2.5579999999999998</v>
      </c>
      <c r="D1584" s="21">
        <v>162.61000000000001</v>
      </c>
      <c r="E1584" s="3">
        <v>111.2</v>
      </c>
      <c r="F1584" s="3">
        <v>45.65</v>
      </c>
      <c r="G1584" s="3">
        <v>655.4</v>
      </c>
      <c r="H1584" s="3">
        <v>4.2869999999999999</v>
      </c>
      <c r="I1584" s="13">
        <f t="shared" si="25"/>
        <v>2.4359255202628698</v>
      </c>
    </row>
    <row r="1585" spans="3:9">
      <c r="C1585" s="3">
        <v>2.5840000000000001</v>
      </c>
      <c r="D1585" s="21">
        <v>154.5</v>
      </c>
      <c r="E1585" s="3">
        <v>111.1</v>
      </c>
      <c r="F1585" s="3">
        <v>45.77</v>
      </c>
      <c r="G1585" s="3">
        <v>655.1</v>
      </c>
      <c r="H1585" s="3">
        <v>4.2489999999999997</v>
      </c>
      <c r="I1585" s="13">
        <f t="shared" si="25"/>
        <v>2.4273541621149199</v>
      </c>
    </row>
    <row r="1586" spans="3:9">
      <c r="C1586" s="3">
        <v>2.577</v>
      </c>
      <c r="D1586" s="21">
        <v>138.99</v>
      </c>
      <c r="E1586" s="3">
        <v>110.6</v>
      </c>
      <c r="F1586" s="3">
        <v>45.39</v>
      </c>
      <c r="G1586" s="3">
        <v>656.7</v>
      </c>
      <c r="H1586" s="3">
        <v>4.2169999999999996</v>
      </c>
      <c r="I1586" s="13">
        <f t="shared" si="25"/>
        <v>2.4366600572813399</v>
      </c>
    </row>
    <row r="1587" spans="3:9">
      <c r="C1587" s="3">
        <v>2.5760000000000001</v>
      </c>
      <c r="D1587" s="21">
        <v>166.76</v>
      </c>
      <c r="E1587" s="3">
        <v>110.3</v>
      </c>
      <c r="F1587" s="3">
        <v>45.43</v>
      </c>
      <c r="G1587" s="3">
        <v>654.4</v>
      </c>
      <c r="H1587" s="3">
        <v>4.2779999999999996</v>
      </c>
      <c r="I1587" s="13">
        <f t="shared" si="25"/>
        <v>2.4279110719788699</v>
      </c>
    </row>
    <row r="1588" spans="3:9">
      <c r="C1588" s="3">
        <v>2.5539999999999998</v>
      </c>
      <c r="D1588" s="21">
        <v>148.69</v>
      </c>
      <c r="E1588" s="3">
        <v>110.4</v>
      </c>
      <c r="F1588" s="3">
        <v>45.19</v>
      </c>
      <c r="G1588" s="3">
        <v>656.8</v>
      </c>
      <c r="H1588" s="3">
        <v>4.5010000000000003</v>
      </c>
      <c r="I1588" s="13">
        <f t="shared" si="25"/>
        <v>2.44301836689533</v>
      </c>
    </row>
    <row r="1589" spans="3:9">
      <c r="C1589" s="3">
        <v>2.5419999999999998</v>
      </c>
      <c r="D1589" s="21">
        <v>166.59</v>
      </c>
      <c r="E1589" s="3">
        <v>110.8</v>
      </c>
      <c r="F1589" s="3">
        <v>45.07</v>
      </c>
      <c r="G1589" s="3">
        <v>661.3</v>
      </c>
      <c r="H1589" s="3">
        <v>4.5620000000000003</v>
      </c>
      <c r="I1589" s="13">
        <f t="shared" si="25"/>
        <v>2.45839804748169</v>
      </c>
    </row>
    <row r="1590" spans="3:9">
      <c r="C1590" s="3">
        <v>2.544</v>
      </c>
      <c r="D1590" s="21">
        <v>142.68</v>
      </c>
      <c r="E1590" s="3">
        <v>110.7</v>
      </c>
      <c r="F1590" s="3">
        <v>45.79</v>
      </c>
      <c r="G1590" s="3">
        <v>659.2</v>
      </c>
      <c r="H1590" s="3">
        <v>4.6550000000000002</v>
      </c>
      <c r="I1590" s="13">
        <f t="shared" si="25"/>
        <v>2.41755841886875</v>
      </c>
    </row>
    <row r="1591" spans="3:9">
      <c r="C1591" s="3">
        <v>2.5720000000000001</v>
      </c>
      <c r="D1591" s="21">
        <v>136.04</v>
      </c>
      <c r="E1591" s="3">
        <v>111.2</v>
      </c>
      <c r="F1591" s="3">
        <v>45.06</v>
      </c>
      <c r="G1591" s="3">
        <v>653.5</v>
      </c>
      <c r="H1591" s="3">
        <v>4.6109999999999998</v>
      </c>
      <c r="I1591" s="13">
        <f t="shared" si="25"/>
        <v>2.4678206835330698</v>
      </c>
    </row>
    <row r="1592" spans="3:9">
      <c r="C1592" s="3">
        <v>2.5670000000000002</v>
      </c>
      <c r="D1592" s="21">
        <v>139.74</v>
      </c>
      <c r="E1592" s="3">
        <v>111.5</v>
      </c>
      <c r="F1592" s="3">
        <v>45.48</v>
      </c>
      <c r="G1592" s="3">
        <v>654.5</v>
      </c>
      <c r="H1592" s="3">
        <v>4.641</v>
      </c>
      <c r="I1592" s="13">
        <f t="shared" si="25"/>
        <v>2.4516270888302598</v>
      </c>
    </row>
    <row r="1593" spans="3:9">
      <c r="C1593" s="3">
        <v>2.5569999999999999</v>
      </c>
      <c r="D1593" s="21">
        <v>150.24</v>
      </c>
      <c r="E1593" s="3">
        <v>111.4</v>
      </c>
      <c r="F1593" s="3">
        <v>45.63</v>
      </c>
      <c r="G1593" s="3">
        <v>654.29999999999995</v>
      </c>
      <c r="H1593" s="3">
        <v>4.806</v>
      </c>
      <c r="I1593" s="13">
        <f t="shared" si="25"/>
        <v>2.4413762875301299</v>
      </c>
    </row>
    <row r="1594" spans="3:9">
      <c r="C1594" s="3">
        <v>2.4319999999999999</v>
      </c>
      <c r="D1594" s="21">
        <v>156.27000000000001</v>
      </c>
      <c r="E1594" s="3">
        <v>111.1</v>
      </c>
      <c r="F1594" s="3">
        <v>45.39</v>
      </c>
      <c r="G1594" s="3">
        <v>655.4</v>
      </c>
      <c r="H1594" s="3">
        <v>4.7610000000000001</v>
      </c>
      <c r="I1594" s="13">
        <f t="shared" si="25"/>
        <v>2.44767569949328</v>
      </c>
    </row>
    <row r="1595" spans="3:9">
      <c r="C1595" s="3">
        <v>2.4990000000000001</v>
      </c>
      <c r="D1595" s="21">
        <v>157.63999999999999</v>
      </c>
      <c r="E1595" s="3">
        <v>110.8</v>
      </c>
      <c r="F1595" s="3">
        <v>45.55</v>
      </c>
      <c r="G1595" s="3">
        <v>652.70000000000005</v>
      </c>
      <c r="H1595" s="3">
        <v>4.7889999999999997</v>
      </c>
      <c r="I1595" s="13">
        <f t="shared" si="25"/>
        <v>2.4324917672886901</v>
      </c>
    </row>
    <row r="1596" spans="3:9">
      <c r="C1596" s="3">
        <v>2.5609999999999999</v>
      </c>
      <c r="D1596" s="21">
        <v>153.66999999999999</v>
      </c>
      <c r="E1596" s="3">
        <v>110.4</v>
      </c>
      <c r="F1596" s="3">
        <v>45.44</v>
      </c>
      <c r="G1596" s="3">
        <v>652.6</v>
      </c>
      <c r="H1596" s="3">
        <v>4.6109999999999998</v>
      </c>
      <c r="I1596" s="13">
        <f t="shared" si="25"/>
        <v>2.4295774647887298</v>
      </c>
    </row>
    <row r="1597" spans="3:9">
      <c r="C1597" s="3">
        <v>2.5760000000000001</v>
      </c>
      <c r="D1597" s="21">
        <v>155.80000000000001</v>
      </c>
      <c r="E1597" s="3">
        <v>110</v>
      </c>
      <c r="F1597" s="3">
        <v>45.12</v>
      </c>
      <c r="G1597" s="3">
        <v>657.4</v>
      </c>
      <c r="H1597" s="3">
        <v>4.6550000000000002</v>
      </c>
      <c r="I1597" s="13">
        <f t="shared" si="25"/>
        <v>2.4379432624113502</v>
      </c>
    </row>
    <row r="1598" spans="3:9">
      <c r="C1598" s="3">
        <v>2.5350000000000001</v>
      </c>
      <c r="D1598" s="21">
        <v>159.71</v>
      </c>
      <c r="E1598" s="3">
        <v>110.8</v>
      </c>
      <c r="F1598" s="3">
        <v>45.24</v>
      </c>
      <c r="G1598" s="3">
        <v>657.8</v>
      </c>
      <c r="H1598" s="3">
        <v>4.2969999999999997</v>
      </c>
      <c r="I1598" s="13">
        <f t="shared" si="25"/>
        <v>2.4491600353669298</v>
      </c>
    </row>
    <row r="1599" spans="3:9">
      <c r="C1599" s="3">
        <v>2.544</v>
      </c>
      <c r="D1599" s="21">
        <v>147.79</v>
      </c>
      <c r="E1599" s="3">
        <v>111.2</v>
      </c>
      <c r="F1599" s="3">
        <v>45.36</v>
      </c>
      <c r="G1599" s="3">
        <v>661.3</v>
      </c>
      <c r="H1599" s="3">
        <v>4.2489999999999997</v>
      </c>
      <c r="I1599" s="13">
        <f t="shared" si="25"/>
        <v>2.4514991181657799</v>
      </c>
    </row>
    <row r="1600" spans="3:9">
      <c r="C1600" s="3">
        <v>2.5630000000000002</v>
      </c>
      <c r="D1600" s="21">
        <v>154.5</v>
      </c>
      <c r="E1600" s="3">
        <v>111.3</v>
      </c>
      <c r="F1600" s="3">
        <v>45.79</v>
      </c>
      <c r="G1600" s="3">
        <v>656.8</v>
      </c>
      <c r="H1600" s="3">
        <v>4.2969999999999997</v>
      </c>
      <c r="I1600" s="13">
        <f t="shared" si="25"/>
        <v>2.4306617165319899</v>
      </c>
    </row>
    <row r="1601" spans="2:9">
      <c r="C1601" s="3">
        <v>2.5840000000000001</v>
      </c>
      <c r="D1601" s="21">
        <v>135.51</v>
      </c>
      <c r="E1601" s="3">
        <v>111.5</v>
      </c>
      <c r="F1601" s="3">
        <v>45.63</v>
      </c>
      <c r="G1601" s="3">
        <v>652.6</v>
      </c>
      <c r="H1601" s="3">
        <v>4.2409999999999997</v>
      </c>
      <c r="I1601" s="13">
        <f t="shared" si="25"/>
        <v>2.4435678281832098</v>
      </c>
    </row>
    <row r="1602" spans="2:9">
      <c r="B1602" s="16">
        <v>81</v>
      </c>
      <c r="C1602" s="16">
        <v>2.6309999999999998</v>
      </c>
      <c r="D1602" s="29">
        <v>151.1</v>
      </c>
      <c r="E1602" s="16">
        <v>99.39</v>
      </c>
      <c r="F1602" s="16">
        <v>30.98</v>
      </c>
      <c r="G1602" s="16">
        <v>618.6</v>
      </c>
      <c r="H1602" s="16">
        <v>8.51</v>
      </c>
      <c r="I1602" s="13">
        <f t="shared" si="25"/>
        <v>3.2081988379599702</v>
      </c>
    </row>
    <row r="1603" spans="2:9">
      <c r="C1603" s="3">
        <v>2.6230000000000002</v>
      </c>
      <c r="D1603" s="21">
        <v>138.6</v>
      </c>
      <c r="E1603" s="3">
        <v>99.56</v>
      </c>
      <c r="F1603" s="3">
        <v>31.01</v>
      </c>
      <c r="G1603" s="3">
        <v>617.29999999999995</v>
      </c>
      <c r="H1603" s="3">
        <v>8.7469999999999999</v>
      </c>
      <c r="I1603" s="13">
        <f t="shared" ref="I1603:I1666" si="26">E1603/F1603</f>
        <v>3.2105772331506</v>
      </c>
    </row>
    <row r="1604" spans="2:9">
      <c r="C1604" s="3">
        <v>2.6</v>
      </c>
      <c r="D1604" s="21">
        <v>131.4</v>
      </c>
      <c r="E1604" s="3">
        <v>100.1</v>
      </c>
      <c r="F1604" s="3">
        <v>31.47</v>
      </c>
      <c r="G1604" s="3">
        <v>618.29999999999995</v>
      </c>
      <c r="H1604" s="3">
        <v>7.8650000000000002</v>
      </c>
      <c r="I1604" s="13">
        <f t="shared" si="26"/>
        <v>3.1808071178900499</v>
      </c>
    </row>
    <row r="1605" spans="2:9">
      <c r="C1605" s="3">
        <v>2.5499999999999998</v>
      </c>
      <c r="D1605" s="21">
        <v>144.5</v>
      </c>
      <c r="E1605" s="3">
        <v>99.69</v>
      </c>
      <c r="F1605" s="3">
        <v>31.05</v>
      </c>
      <c r="G1605" s="3">
        <v>617.70000000000005</v>
      </c>
      <c r="H1605" s="3">
        <v>7.46</v>
      </c>
      <c r="I1605" s="13">
        <f t="shared" si="26"/>
        <v>3.21062801932367</v>
      </c>
    </row>
    <row r="1606" spans="2:9">
      <c r="C1606" s="3">
        <v>2.6269999999999998</v>
      </c>
      <c r="D1606" s="21">
        <v>138.19999999999999</v>
      </c>
      <c r="E1606" s="3">
        <v>99.85</v>
      </c>
      <c r="F1606" s="3">
        <v>31.01</v>
      </c>
      <c r="G1606" s="3">
        <v>620</v>
      </c>
      <c r="H1606" s="3">
        <v>7.1589999999999998</v>
      </c>
      <c r="I1606" s="13">
        <f t="shared" si="26"/>
        <v>3.2199290551435</v>
      </c>
    </row>
    <row r="1607" spans="2:9">
      <c r="C1607" s="3">
        <v>2.6520000000000001</v>
      </c>
      <c r="D1607" s="21">
        <v>135.5</v>
      </c>
      <c r="E1607" s="3">
        <v>100.2</v>
      </c>
      <c r="F1607" s="3">
        <v>31.6</v>
      </c>
      <c r="G1607" s="3">
        <v>618.4</v>
      </c>
      <c r="H1607" s="3">
        <v>8.9339999999999993</v>
      </c>
      <c r="I1607" s="13">
        <f t="shared" si="26"/>
        <v>3.1708860759493702</v>
      </c>
    </row>
    <row r="1608" spans="2:9">
      <c r="C1608" s="3">
        <v>2.6339999999999999</v>
      </c>
      <c r="D1608" s="21">
        <v>115.9</v>
      </c>
      <c r="E1608" s="3">
        <v>99.85</v>
      </c>
      <c r="F1608" s="3">
        <v>31.01</v>
      </c>
      <c r="G1608" s="3">
        <v>623.29999999999995</v>
      </c>
      <c r="H1608" s="3">
        <v>8.1170000000000009</v>
      </c>
      <c r="I1608" s="13">
        <f t="shared" si="26"/>
        <v>3.2199290551435</v>
      </c>
    </row>
    <row r="1609" spans="2:9">
      <c r="C1609" s="3">
        <v>2.6739999999999999</v>
      </c>
      <c r="D1609" s="21">
        <v>133.69999999999999</v>
      </c>
      <c r="E1609" s="3">
        <v>100.4</v>
      </c>
      <c r="F1609" s="3">
        <v>30.86</v>
      </c>
      <c r="G1609" s="3">
        <v>636.20000000000005</v>
      </c>
      <c r="H1609" s="3">
        <v>6.79</v>
      </c>
      <c r="I1609" s="13">
        <f t="shared" si="26"/>
        <v>3.2534024627349298</v>
      </c>
    </row>
    <row r="1610" spans="2:9">
      <c r="C1610" s="3">
        <v>2.649</v>
      </c>
      <c r="D1610" s="21">
        <v>140.1</v>
      </c>
      <c r="E1610" s="3">
        <v>100.6</v>
      </c>
      <c r="F1610" s="3">
        <v>30.57</v>
      </c>
      <c r="G1610" s="3">
        <v>614.29999999999995</v>
      </c>
      <c r="H1610" s="3">
        <v>6.9850000000000003</v>
      </c>
      <c r="I1610" s="13">
        <f t="shared" si="26"/>
        <v>3.29080798168139</v>
      </c>
    </row>
    <row r="1611" spans="2:9">
      <c r="C1611" s="3">
        <v>2.6219999999999999</v>
      </c>
      <c r="D1611" s="21">
        <v>134.6</v>
      </c>
      <c r="E1611" s="3">
        <v>100.1</v>
      </c>
      <c r="F1611" s="3">
        <v>31</v>
      </c>
      <c r="G1611" s="3">
        <v>621.1</v>
      </c>
      <c r="H1611" s="3">
        <v>8.0950000000000006</v>
      </c>
      <c r="I1611" s="13">
        <f t="shared" si="26"/>
        <v>3.2290322580645201</v>
      </c>
    </row>
    <row r="1612" spans="2:9">
      <c r="C1612" s="3">
        <v>2.6309999999999998</v>
      </c>
      <c r="D1612" s="21">
        <v>167.2</v>
      </c>
      <c r="E1612" s="3">
        <v>100.4</v>
      </c>
      <c r="F1612" s="3">
        <v>31.47</v>
      </c>
      <c r="G1612" s="3">
        <v>610.29999999999995</v>
      </c>
      <c r="H1612" s="3">
        <v>8.1210000000000004</v>
      </c>
      <c r="I1612" s="13">
        <f t="shared" si="26"/>
        <v>3.1903400063552598</v>
      </c>
    </row>
    <row r="1613" spans="2:9">
      <c r="C1613" s="3">
        <v>2.613</v>
      </c>
      <c r="D1613" s="21">
        <v>150.6</v>
      </c>
      <c r="E1613" s="3">
        <v>100.3</v>
      </c>
      <c r="F1613" s="3">
        <v>31.4</v>
      </c>
      <c r="G1613" s="3">
        <v>617.5</v>
      </c>
      <c r="H1613" s="3">
        <v>8.7469999999999999</v>
      </c>
      <c r="I1613" s="13">
        <f t="shared" si="26"/>
        <v>3.1942675159235701</v>
      </c>
    </row>
    <row r="1614" spans="2:9">
      <c r="C1614" s="3">
        <v>2.5409999999999999</v>
      </c>
      <c r="D1614" s="21">
        <v>138.6</v>
      </c>
      <c r="E1614" s="3">
        <v>99.34</v>
      </c>
      <c r="F1614" s="3">
        <v>30.91</v>
      </c>
      <c r="G1614" s="3">
        <v>615.1</v>
      </c>
      <c r="H1614" s="3">
        <v>8.8330000000000002</v>
      </c>
      <c r="I1614" s="13">
        <f t="shared" si="26"/>
        <v>3.21384665156907</v>
      </c>
    </row>
    <row r="1615" spans="2:9">
      <c r="C1615" s="3">
        <v>2.524</v>
      </c>
      <c r="D1615" s="21">
        <v>150.9</v>
      </c>
      <c r="E1615" s="3">
        <v>100</v>
      </c>
      <c r="F1615" s="3">
        <v>31.18</v>
      </c>
      <c r="G1615" s="3">
        <v>620.70000000000005</v>
      </c>
      <c r="H1615" s="3">
        <v>9.3030000000000008</v>
      </c>
      <c r="I1615" s="13">
        <f t="shared" si="26"/>
        <v>3.2071840923669002</v>
      </c>
    </row>
    <row r="1616" spans="2:9">
      <c r="C1616" s="3">
        <v>2.601</v>
      </c>
      <c r="D1616" s="21">
        <v>138.19999999999999</v>
      </c>
      <c r="E1616" s="3">
        <v>99.73</v>
      </c>
      <c r="F1616" s="3">
        <v>31.07</v>
      </c>
      <c r="G1616" s="3">
        <v>615.6</v>
      </c>
      <c r="H1616" s="3">
        <v>8.9339999999999993</v>
      </c>
      <c r="I1616" s="13">
        <f t="shared" si="26"/>
        <v>3.20984872867718</v>
      </c>
    </row>
    <row r="1617" spans="2:9">
      <c r="C1617" s="3">
        <v>2.6230000000000002</v>
      </c>
      <c r="D1617" s="21">
        <v>143.80000000000001</v>
      </c>
      <c r="E1617" s="3">
        <v>99.5</v>
      </c>
      <c r="F1617" s="3">
        <v>31.09</v>
      </c>
      <c r="G1617" s="3">
        <v>617.20000000000005</v>
      </c>
      <c r="H1617" s="3">
        <v>7.4870000000000001</v>
      </c>
      <c r="I1617" s="13">
        <f t="shared" si="26"/>
        <v>3.2003859761981301</v>
      </c>
    </row>
    <row r="1618" spans="2:9">
      <c r="C1618" s="3">
        <v>2.6589999999999998</v>
      </c>
      <c r="D1618" s="21">
        <v>122.79</v>
      </c>
      <c r="E1618" s="3">
        <v>99.67</v>
      </c>
      <c r="F1618" s="3">
        <v>31.05</v>
      </c>
      <c r="G1618" s="3">
        <v>637.79999999999995</v>
      </c>
      <c r="H1618" s="3">
        <v>7.2140000000000004</v>
      </c>
      <c r="I1618" s="13">
        <f t="shared" si="26"/>
        <v>3.20998389694042</v>
      </c>
    </row>
    <row r="1619" spans="2:9">
      <c r="C1619" s="3">
        <v>2.6339999999999999</v>
      </c>
      <c r="D1619" s="21">
        <v>134.6</v>
      </c>
      <c r="E1619" s="3">
        <v>99.89</v>
      </c>
      <c r="F1619" s="3">
        <v>31.17</v>
      </c>
      <c r="G1619" s="3">
        <v>635.20000000000005</v>
      </c>
      <c r="H1619" s="3">
        <v>7.4870000000000001</v>
      </c>
      <c r="I1619" s="13">
        <f t="shared" si="26"/>
        <v>3.2046839910170002</v>
      </c>
    </row>
    <row r="1620" spans="2:9">
      <c r="C1620" s="3">
        <v>2.601</v>
      </c>
      <c r="D1620" s="21">
        <v>133.69999999999999</v>
      </c>
      <c r="E1620" s="3">
        <v>100.1</v>
      </c>
      <c r="F1620" s="3">
        <v>31.01</v>
      </c>
      <c r="G1620" s="3">
        <v>619.6</v>
      </c>
      <c r="H1620" s="3">
        <v>9.2100000000000009</v>
      </c>
      <c r="I1620" s="13">
        <f t="shared" si="26"/>
        <v>3.2279909706546301</v>
      </c>
    </row>
    <row r="1621" spans="2:9">
      <c r="C1621" s="3">
        <v>2.5779999999999998</v>
      </c>
      <c r="D1621" s="21">
        <v>142.5</v>
      </c>
      <c r="E1621" s="3">
        <v>100.4</v>
      </c>
      <c r="F1621" s="3">
        <v>31.14</v>
      </c>
      <c r="G1621" s="3">
        <v>617.29999999999995</v>
      </c>
      <c r="H1621" s="3">
        <v>9.8409999999999993</v>
      </c>
      <c r="I1621" s="13">
        <f t="shared" si="26"/>
        <v>3.2241490044958301</v>
      </c>
    </row>
    <row r="1622" spans="2:9">
      <c r="B1622" s="16">
        <v>82</v>
      </c>
      <c r="C1622" s="16">
        <v>2.9809999999999999</v>
      </c>
      <c r="D1622" s="29">
        <v>151.77000000000001</v>
      </c>
      <c r="E1622" s="16">
        <v>81.17</v>
      </c>
      <c r="F1622" s="16">
        <v>37.93</v>
      </c>
      <c r="G1622" s="16">
        <v>626.79999999999995</v>
      </c>
      <c r="H1622" s="16">
        <v>4.9489999999999998</v>
      </c>
      <c r="I1622" s="13">
        <f t="shared" si="26"/>
        <v>2.1399947271289199</v>
      </c>
    </row>
    <row r="1623" spans="2:9">
      <c r="C1623" s="3">
        <v>3.0089999999999999</v>
      </c>
      <c r="D1623" s="21">
        <v>146.16</v>
      </c>
      <c r="E1623" s="3">
        <v>80.489999999999995</v>
      </c>
      <c r="F1623" s="3">
        <v>37.5</v>
      </c>
      <c r="G1623" s="3">
        <v>624.5</v>
      </c>
      <c r="H1623" s="3">
        <v>4.7229999999999999</v>
      </c>
      <c r="I1623" s="13">
        <f t="shared" si="26"/>
        <v>2.1463999999999999</v>
      </c>
    </row>
    <row r="1624" spans="2:9">
      <c r="C1624" s="3">
        <v>2.996</v>
      </c>
      <c r="D1624" s="21">
        <v>135.34</v>
      </c>
      <c r="E1624" s="3">
        <v>81.040000000000006</v>
      </c>
      <c r="F1624" s="3">
        <v>37.39</v>
      </c>
      <c r="G1624" s="3">
        <v>626.29999999999995</v>
      </c>
      <c r="H1624" s="3">
        <v>4.8319999999999999</v>
      </c>
      <c r="I1624" s="13">
        <f t="shared" si="26"/>
        <v>2.1674244450387801</v>
      </c>
    </row>
    <row r="1625" spans="2:9">
      <c r="C1625" s="3">
        <v>2.988</v>
      </c>
      <c r="D1625" s="21">
        <v>139.22</v>
      </c>
      <c r="E1625" s="3">
        <v>81.209999999999994</v>
      </c>
      <c r="F1625" s="3">
        <v>37.04</v>
      </c>
      <c r="G1625" s="3">
        <v>629.29999999999995</v>
      </c>
      <c r="H1625" s="3">
        <v>4.8380000000000001</v>
      </c>
      <c r="I1625" s="13">
        <f t="shared" si="26"/>
        <v>2.1924946004319699</v>
      </c>
    </row>
    <row r="1626" spans="2:9">
      <c r="C1626" s="3">
        <v>2.9239999999999999</v>
      </c>
      <c r="D1626" s="21">
        <v>148.69</v>
      </c>
      <c r="E1626" s="3">
        <v>80.72</v>
      </c>
      <c r="F1626" s="3">
        <v>37.369999999999997</v>
      </c>
      <c r="G1626" s="3">
        <v>632.4</v>
      </c>
      <c r="H1626" s="3">
        <v>4.915</v>
      </c>
      <c r="I1626" s="13">
        <f t="shared" si="26"/>
        <v>2.1600214075461599</v>
      </c>
    </row>
    <row r="1627" spans="2:9">
      <c r="C1627" s="3">
        <v>2.899</v>
      </c>
      <c r="D1627" s="21">
        <v>151.77000000000001</v>
      </c>
      <c r="E1627" s="3">
        <v>80.38</v>
      </c>
      <c r="F1627" s="3">
        <v>37.700000000000003</v>
      </c>
      <c r="G1627" s="3">
        <v>636.4</v>
      </c>
      <c r="H1627" s="3">
        <v>5.1349999999999998</v>
      </c>
      <c r="I1627" s="13">
        <f t="shared" si="26"/>
        <v>2.1320954907161802</v>
      </c>
    </row>
    <row r="1628" spans="2:9">
      <c r="C1628" s="3">
        <v>2.9660000000000002</v>
      </c>
      <c r="D1628" s="21">
        <v>146.13999999999999</v>
      </c>
      <c r="E1628" s="3">
        <v>81.040000000000006</v>
      </c>
      <c r="F1628" s="3">
        <v>37.590000000000003</v>
      </c>
      <c r="G1628" s="3">
        <v>631.29999999999995</v>
      </c>
      <c r="H1628" s="3">
        <v>4.9379999999999997</v>
      </c>
      <c r="I1628" s="13">
        <f t="shared" si="26"/>
        <v>2.1558925246076099</v>
      </c>
    </row>
    <row r="1629" spans="2:9">
      <c r="C1629" s="3">
        <v>2.996</v>
      </c>
      <c r="D1629" s="21">
        <v>140.36000000000001</v>
      </c>
      <c r="E1629" s="3">
        <v>80.650000000000006</v>
      </c>
      <c r="F1629" s="3">
        <v>37.479999999999997</v>
      </c>
      <c r="G1629" s="3">
        <v>627.79999999999995</v>
      </c>
      <c r="H1629" s="3">
        <v>5.157</v>
      </c>
      <c r="I1629" s="13">
        <f t="shared" si="26"/>
        <v>2.1518143009605102</v>
      </c>
    </row>
    <row r="1630" spans="2:9">
      <c r="C1630" s="3">
        <v>2.9870000000000001</v>
      </c>
      <c r="D1630" s="21">
        <v>135.36000000000001</v>
      </c>
      <c r="E1630" s="3">
        <v>80.489999999999995</v>
      </c>
      <c r="F1630" s="3">
        <v>37.42</v>
      </c>
      <c r="G1630" s="3">
        <v>626.20000000000005</v>
      </c>
      <c r="H1630" s="3">
        <v>5.1109999999999998</v>
      </c>
      <c r="I1630" s="13">
        <f t="shared" si="26"/>
        <v>2.1509887760555801</v>
      </c>
    </row>
    <row r="1631" spans="2:9">
      <c r="C1631" s="3">
        <v>2.9990000000000001</v>
      </c>
      <c r="D1631" s="21">
        <v>134.94999999999999</v>
      </c>
      <c r="E1631" s="3">
        <v>80.44</v>
      </c>
      <c r="F1631" s="3">
        <v>37.92</v>
      </c>
      <c r="G1631" s="3">
        <v>627</v>
      </c>
      <c r="H1631" s="3">
        <v>5.17</v>
      </c>
      <c r="I1631" s="13">
        <f t="shared" si="26"/>
        <v>2.1213080168776401</v>
      </c>
    </row>
    <row r="1632" spans="2:9">
      <c r="C1632" s="3">
        <v>2.9039999999999999</v>
      </c>
      <c r="D1632" s="21">
        <v>140.6</v>
      </c>
      <c r="E1632" s="3">
        <v>80.989999999999995</v>
      </c>
      <c r="F1632" s="3">
        <v>37.53</v>
      </c>
      <c r="G1632" s="3">
        <v>629.6</v>
      </c>
      <c r="H1632" s="3">
        <v>5.3659999999999997</v>
      </c>
      <c r="I1632" s="13">
        <f t="shared" si="26"/>
        <v>2.1580069277910998</v>
      </c>
    </row>
    <row r="1633" spans="2:9">
      <c r="C1633" s="3">
        <v>2.8660000000000001</v>
      </c>
      <c r="D1633" s="21">
        <v>141.02000000000001</v>
      </c>
      <c r="E1633" s="3">
        <v>80.650000000000006</v>
      </c>
      <c r="F1633" s="3">
        <v>37.31</v>
      </c>
      <c r="G1633" s="3">
        <v>633.79999999999995</v>
      </c>
      <c r="H1633" s="3">
        <v>5.3689999999999998</v>
      </c>
      <c r="I1633" s="13">
        <f t="shared" si="26"/>
        <v>2.1616188689359399</v>
      </c>
    </row>
    <row r="1634" spans="2:9">
      <c r="C1634" s="3">
        <v>2.8959999999999999</v>
      </c>
      <c r="D1634" s="21">
        <v>163.37</v>
      </c>
      <c r="E1634" s="3">
        <v>80.709999999999994</v>
      </c>
      <c r="F1634" s="3">
        <v>37.82</v>
      </c>
      <c r="G1634" s="3">
        <v>633.70000000000005</v>
      </c>
      <c r="H1634" s="3">
        <v>5.2789999999999999</v>
      </c>
      <c r="I1634" s="13">
        <f t="shared" si="26"/>
        <v>2.1340560549973602</v>
      </c>
    </row>
    <row r="1635" spans="2:9">
      <c r="C1635" s="3">
        <v>2.6960000000000002</v>
      </c>
      <c r="D1635" s="21">
        <v>154.32</v>
      </c>
      <c r="E1635" s="3">
        <v>80.489999999999995</v>
      </c>
      <c r="F1635" s="3">
        <v>37.15</v>
      </c>
      <c r="G1635" s="3">
        <v>628.6</v>
      </c>
      <c r="H1635" s="3">
        <v>5.1669999999999998</v>
      </c>
      <c r="I1635" s="13">
        <f t="shared" si="26"/>
        <v>2.1666218034993299</v>
      </c>
    </row>
    <row r="1636" spans="2:9">
      <c r="C1636" s="3">
        <v>2.7730000000000001</v>
      </c>
      <c r="D1636" s="21">
        <v>151.07</v>
      </c>
      <c r="E1636" s="3">
        <v>80.540000000000006</v>
      </c>
      <c r="F1636" s="3">
        <v>37.26</v>
      </c>
      <c r="G1636" s="3">
        <v>626.6</v>
      </c>
      <c r="H1636" s="3">
        <v>5.24</v>
      </c>
      <c r="I1636" s="13">
        <f t="shared" si="26"/>
        <v>2.1615673644659199</v>
      </c>
    </row>
    <row r="1637" spans="2:9">
      <c r="C1637" s="3">
        <v>2.8860000000000001</v>
      </c>
      <c r="D1637" s="21">
        <v>150.1</v>
      </c>
      <c r="E1637" s="3">
        <v>80.87</v>
      </c>
      <c r="F1637" s="3">
        <v>37.15</v>
      </c>
      <c r="G1637" s="3">
        <v>632.79999999999995</v>
      </c>
      <c r="H1637" s="3">
        <v>5.0960000000000001</v>
      </c>
      <c r="I1637" s="13">
        <f t="shared" si="26"/>
        <v>2.1768506056527599</v>
      </c>
    </row>
    <row r="1638" spans="2:9">
      <c r="C1638" s="3">
        <v>2.819</v>
      </c>
      <c r="D1638" s="21">
        <v>143.08000000000001</v>
      </c>
      <c r="E1638" s="3">
        <v>80.44</v>
      </c>
      <c r="F1638" s="3">
        <v>37.04</v>
      </c>
      <c r="G1638" s="3">
        <v>635.5</v>
      </c>
      <c r="H1638" s="3">
        <v>5.0730000000000004</v>
      </c>
      <c r="I1638" s="13">
        <f t="shared" si="26"/>
        <v>2.1717062634989199</v>
      </c>
    </row>
    <row r="1639" spans="2:9">
      <c r="C1639" s="3">
        <v>2.8719999999999999</v>
      </c>
      <c r="D1639" s="21">
        <v>141.22</v>
      </c>
      <c r="E1639" s="3">
        <v>80.59</v>
      </c>
      <c r="F1639" s="3">
        <v>37.479999999999997</v>
      </c>
      <c r="G1639" s="3">
        <v>639.6</v>
      </c>
      <c r="H1639" s="3">
        <v>5.1189999999999998</v>
      </c>
      <c r="I1639" s="13">
        <f t="shared" si="26"/>
        <v>2.1502134471718302</v>
      </c>
    </row>
    <row r="1640" spans="2:9">
      <c r="C1640" s="3">
        <v>2.8250000000000002</v>
      </c>
      <c r="D1640" s="21">
        <v>153.33000000000001</v>
      </c>
      <c r="E1640" s="3">
        <v>81.430000000000007</v>
      </c>
      <c r="F1640" s="3">
        <v>37.700000000000003</v>
      </c>
      <c r="G1640" s="3">
        <v>630.5</v>
      </c>
      <c r="H1640" s="3">
        <v>4.9930000000000003</v>
      </c>
      <c r="I1640" s="13">
        <f t="shared" si="26"/>
        <v>2.1599469496021202</v>
      </c>
    </row>
    <row r="1641" spans="2:9">
      <c r="C1641" s="3">
        <v>2.89</v>
      </c>
      <c r="D1641" s="21">
        <v>139.22</v>
      </c>
      <c r="E1641" s="3">
        <v>80.709999999999994</v>
      </c>
      <c r="F1641" s="3">
        <v>37.590000000000003</v>
      </c>
      <c r="G1641" s="3">
        <v>625.5</v>
      </c>
      <c r="H1641" s="3">
        <v>5.0170000000000003</v>
      </c>
      <c r="I1641" s="13">
        <f t="shared" si="26"/>
        <v>2.1471135940409698</v>
      </c>
    </row>
    <row r="1642" spans="2:9">
      <c r="B1642" s="16">
        <v>83</v>
      </c>
      <c r="C1642" s="16">
        <v>2.3650000000000002</v>
      </c>
      <c r="D1642" s="29">
        <v>192.37</v>
      </c>
      <c r="E1642" s="16">
        <v>99.55</v>
      </c>
      <c r="F1642" s="16">
        <v>30.44</v>
      </c>
      <c r="G1642" s="16">
        <v>731.4</v>
      </c>
      <c r="H1642" s="16">
        <v>12.24</v>
      </c>
      <c r="I1642" s="13">
        <f t="shared" si="26"/>
        <v>3.2703679369251</v>
      </c>
    </row>
    <row r="1643" spans="2:9">
      <c r="C1643" s="3">
        <v>2.3580000000000001</v>
      </c>
      <c r="D1643" s="21">
        <v>173.21</v>
      </c>
      <c r="E1643" s="3">
        <v>99.23</v>
      </c>
      <c r="F1643" s="3">
        <v>30.11</v>
      </c>
      <c r="G1643" s="3">
        <v>728.6</v>
      </c>
      <c r="H1643" s="3">
        <v>10.55</v>
      </c>
      <c r="I1643" s="13">
        <f t="shared" si="26"/>
        <v>3.29558286283627</v>
      </c>
    </row>
    <row r="1644" spans="2:9">
      <c r="C1644" s="3">
        <v>2.4039999999999999</v>
      </c>
      <c r="D1644" s="21">
        <v>205.18</v>
      </c>
      <c r="E1644" s="3">
        <v>99.44</v>
      </c>
      <c r="F1644" s="3">
        <v>30.55</v>
      </c>
      <c r="G1644" s="3">
        <v>734.2</v>
      </c>
      <c r="H1644" s="3">
        <v>10.85</v>
      </c>
      <c r="I1644" s="13">
        <f t="shared" si="26"/>
        <v>3.25499181669394</v>
      </c>
    </row>
    <row r="1645" spans="2:9">
      <c r="C1645" s="3">
        <v>2.399</v>
      </c>
      <c r="D1645" s="21">
        <v>197.23</v>
      </c>
      <c r="E1645" s="3">
        <v>99.2</v>
      </c>
      <c r="F1645" s="3">
        <v>30.89</v>
      </c>
      <c r="G1645" s="3">
        <v>721.7</v>
      </c>
      <c r="H1645" s="3">
        <v>9.952</v>
      </c>
      <c r="I1645" s="13">
        <f t="shared" si="26"/>
        <v>3.21139527355131</v>
      </c>
    </row>
    <row r="1646" spans="2:9">
      <c r="C1646" s="3">
        <v>2.387</v>
      </c>
      <c r="D1646" s="21">
        <v>211.88</v>
      </c>
      <c r="E1646" s="3">
        <v>99.33</v>
      </c>
      <c r="F1646" s="3">
        <v>31</v>
      </c>
      <c r="G1646" s="3">
        <v>724</v>
      </c>
      <c r="H1646" s="3">
        <v>10.11</v>
      </c>
      <c r="I1646" s="13">
        <f t="shared" si="26"/>
        <v>3.2041935483870998</v>
      </c>
    </row>
    <row r="1647" spans="2:9">
      <c r="C1647" s="3">
        <v>2.355</v>
      </c>
      <c r="D1647" s="21">
        <v>186.79</v>
      </c>
      <c r="E1647" s="3">
        <v>98.78</v>
      </c>
      <c r="F1647" s="3">
        <v>30.8</v>
      </c>
      <c r="G1647" s="3">
        <v>717.2</v>
      </c>
      <c r="H1647" s="3">
        <v>10.119999999999999</v>
      </c>
      <c r="I1647" s="13">
        <f t="shared" si="26"/>
        <v>3.20714285714286</v>
      </c>
    </row>
    <row r="1648" spans="2:9">
      <c r="C1648" s="3">
        <v>2.35</v>
      </c>
      <c r="D1648" s="21">
        <v>178.27</v>
      </c>
      <c r="E1648" s="3">
        <v>98.67</v>
      </c>
      <c r="F1648" s="3">
        <v>30.18</v>
      </c>
      <c r="G1648" s="3">
        <v>736.3</v>
      </c>
      <c r="H1648" s="3">
        <v>12.19</v>
      </c>
      <c r="I1648" s="13">
        <f t="shared" si="26"/>
        <v>3.2693836978131201</v>
      </c>
    </row>
    <row r="1649" spans="2:9">
      <c r="C1649" s="3">
        <v>2.327</v>
      </c>
      <c r="D1649" s="21">
        <v>200.88</v>
      </c>
      <c r="E1649" s="3">
        <v>98.79</v>
      </c>
      <c r="F1649" s="3">
        <v>29.98</v>
      </c>
      <c r="G1649" s="3">
        <v>726.4</v>
      </c>
      <c r="H1649" s="3">
        <v>10.83</v>
      </c>
      <c r="I1649" s="13">
        <f t="shared" si="26"/>
        <v>3.2951967978652399</v>
      </c>
    </row>
    <row r="1650" spans="2:9">
      <c r="C1650" s="3">
        <v>2.294</v>
      </c>
      <c r="D1650" s="21">
        <v>179</v>
      </c>
      <c r="E1650" s="3">
        <v>99.02</v>
      </c>
      <c r="F1650" s="3">
        <v>29.99</v>
      </c>
      <c r="G1650" s="3">
        <v>728.6</v>
      </c>
      <c r="H1650" s="3">
        <v>10.63</v>
      </c>
      <c r="I1650" s="13">
        <f t="shared" si="26"/>
        <v>3.30176725575192</v>
      </c>
    </row>
    <row r="1651" spans="2:9">
      <c r="C1651" s="3">
        <v>2.2839999999999998</v>
      </c>
      <c r="D1651" s="21">
        <v>197.58</v>
      </c>
      <c r="E1651" s="3">
        <v>99.01</v>
      </c>
      <c r="F1651" s="3">
        <v>30.14</v>
      </c>
      <c r="G1651" s="3">
        <v>719.7</v>
      </c>
      <c r="H1651" s="3">
        <v>11.07</v>
      </c>
      <c r="I1651" s="13">
        <f t="shared" si="26"/>
        <v>3.28500331785003</v>
      </c>
    </row>
    <row r="1652" spans="2:9">
      <c r="C1652" s="3">
        <v>2.2909999999999999</v>
      </c>
      <c r="D1652" s="21">
        <v>169.71</v>
      </c>
      <c r="E1652" s="3">
        <v>99.22</v>
      </c>
      <c r="F1652" s="3">
        <v>30.16</v>
      </c>
      <c r="G1652" s="3">
        <v>720.8</v>
      </c>
      <c r="H1652" s="3">
        <v>9.0739999999999998</v>
      </c>
      <c r="I1652" s="13">
        <f t="shared" si="26"/>
        <v>3.28978779840849</v>
      </c>
    </row>
    <row r="1653" spans="2:9">
      <c r="C1653" s="3">
        <v>2.2250000000000001</v>
      </c>
      <c r="D1653" s="21">
        <v>186.79</v>
      </c>
      <c r="E1653" s="3">
        <v>99.11</v>
      </c>
      <c r="F1653" s="3">
        <v>30.03</v>
      </c>
      <c r="G1653" s="3">
        <v>731.6</v>
      </c>
      <c r="H1653" s="3">
        <v>9.702</v>
      </c>
      <c r="I1653" s="13">
        <f t="shared" si="26"/>
        <v>3.3003663003663002</v>
      </c>
    </row>
    <row r="1654" spans="2:9">
      <c r="C1654" s="3">
        <v>2.294</v>
      </c>
      <c r="D1654" s="21">
        <v>200.88</v>
      </c>
      <c r="E1654" s="3">
        <v>98.89</v>
      </c>
      <c r="F1654" s="3">
        <v>30.18</v>
      </c>
      <c r="G1654" s="3">
        <v>730.2</v>
      </c>
      <c r="H1654" s="3">
        <v>9.2690000000000001</v>
      </c>
      <c r="I1654" s="13">
        <f t="shared" si="26"/>
        <v>3.2766732935718998</v>
      </c>
    </row>
    <row r="1655" spans="2:9">
      <c r="C1655" s="3">
        <v>2.2690000000000001</v>
      </c>
      <c r="D1655" s="21">
        <v>197.58</v>
      </c>
      <c r="E1655" s="3">
        <v>98.68</v>
      </c>
      <c r="F1655" s="3">
        <v>30.22</v>
      </c>
      <c r="G1655" s="3">
        <v>730.2</v>
      </c>
      <c r="H1655" s="3">
        <v>9.2680000000000007</v>
      </c>
      <c r="I1655" s="13">
        <f t="shared" si="26"/>
        <v>3.2653871608206502</v>
      </c>
    </row>
    <row r="1656" spans="2:9">
      <c r="C1656" s="3">
        <v>2.3380000000000001</v>
      </c>
      <c r="D1656" s="21">
        <v>215.57</v>
      </c>
      <c r="E1656" s="3">
        <v>98.59</v>
      </c>
      <c r="F1656" s="3">
        <v>30.14</v>
      </c>
      <c r="G1656" s="3">
        <v>730.4</v>
      </c>
      <c r="H1656" s="3">
        <v>10.210000000000001</v>
      </c>
      <c r="I1656" s="13">
        <f t="shared" si="26"/>
        <v>3.2710683477106799</v>
      </c>
    </row>
    <row r="1657" spans="2:9">
      <c r="C1657" s="3">
        <v>2.355</v>
      </c>
      <c r="D1657" s="21">
        <v>206.84</v>
      </c>
      <c r="E1657" s="3">
        <v>98.7</v>
      </c>
      <c r="F1657" s="3">
        <v>30.6</v>
      </c>
      <c r="G1657" s="3">
        <v>725.2</v>
      </c>
      <c r="H1657" s="3">
        <v>11.14</v>
      </c>
      <c r="I1657" s="13">
        <f t="shared" si="26"/>
        <v>3.2254901960784301</v>
      </c>
    </row>
    <row r="1658" spans="2:9">
      <c r="C1658" s="3">
        <v>2.3149999999999999</v>
      </c>
      <c r="D1658" s="21">
        <v>199.14</v>
      </c>
      <c r="E1658" s="3">
        <v>98.91</v>
      </c>
      <c r="F1658" s="3">
        <v>30.12</v>
      </c>
      <c r="G1658" s="3">
        <v>709.7</v>
      </c>
      <c r="H1658" s="3">
        <v>9.8680000000000003</v>
      </c>
      <c r="I1658" s="13">
        <f t="shared" si="26"/>
        <v>3.2838645418326702</v>
      </c>
    </row>
    <row r="1659" spans="2:9">
      <c r="C1659" s="3">
        <v>2.2810000000000001</v>
      </c>
      <c r="D1659" s="21">
        <v>193.4</v>
      </c>
      <c r="E1659" s="3">
        <v>99.12</v>
      </c>
      <c r="F1659" s="3">
        <v>30.2</v>
      </c>
      <c r="G1659" s="3">
        <v>720.4</v>
      </c>
      <c r="H1659" s="3">
        <v>8.4459999999999997</v>
      </c>
      <c r="I1659" s="13">
        <f t="shared" si="26"/>
        <v>3.2821192052980099</v>
      </c>
    </row>
    <row r="1660" spans="2:9">
      <c r="C1660" s="3">
        <v>2.2330000000000001</v>
      </c>
      <c r="D1660" s="21">
        <v>206.48</v>
      </c>
      <c r="E1660" s="3">
        <v>98.91</v>
      </c>
      <c r="F1660" s="3">
        <v>30.3</v>
      </c>
      <c r="G1660" s="3">
        <v>730</v>
      </c>
      <c r="H1660" s="3">
        <v>8.2520000000000007</v>
      </c>
      <c r="I1660" s="13">
        <f t="shared" si="26"/>
        <v>3.2643564356435602</v>
      </c>
    </row>
    <row r="1661" spans="2:9">
      <c r="C1661" s="3">
        <v>2.2879999999999998</v>
      </c>
      <c r="D1661" s="21">
        <v>179</v>
      </c>
      <c r="E1661" s="3">
        <v>99.13</v>
      </c>
      <c r="F1661" s="3">
        <v>29.94</v>
      </c>
      <c r="G1661" s="3">
        <v>738.4</v>
      </c>
      <c r="H1661" s="3">
        <v>7.9</v>
      </c>
      <c r="I1661" s="13">
        <f t="shared" si="26"/>
        <v>3.31095524382097</v>
      </c>
    </row>
    <row r="1662" spans="2:9">
      <c r="B1662" s="16">
        <v>84</v>
      </c>
      <c r="C1662" s="16">
        <v>1.732</v>
      </c>
      <c r="D1662" s="29">
        <v>122.3</v>
      </c>
      <c r="E1662" s="16">
        <v>102.2</v>
      </c>
      <c r="F1662" s="16">
        <v>38.340000000000003</v>
      </c>
      <c r="G1662" s="16">
        <v>623.28899999999999</v>
      </c>
      <c r="H1662" s="16">
        <v>8.89</v>
      </c>
      <c r="I1662" s="13">
        <f t="shared" si="26"/>
        <v>2.6656233698487202</v>
      </c>
    </row>
    <row r="1663" spans="2:9">
      <c r="C1663" s="3">
        <v>1.738</v>
      </c>
      <c r="D1663" s="21">
        <v>159</v>
      </c>
      <c r="E1663" s="3">
        <v>101.9</v>
      </c>
      <c r="F1663" s="3">
        <v>38.18</v>
      </c>
      <c r="G1663" s="3">
        <v>623.38300000000004</v>
      </c>
      <c r="H1663" s="3">
        <v>9.3239999999999998</v>
      </c>
      <c r="I1663" s="13">
        <f t="shared" si="26"/>
        <v>2.6689366160293302</v>
      </c>
    </row>
    <row r="1664" spans="2:9">
      <c r="C1664" s="3">
        <v>1.7430000000000001</v>
      </c>
      <c r="D1664" s="21">
        <v>156.19999999999999</v>
      </c>
      <c r="E1664" s="3">
        <v>101.6</v>
      </c>
      <c r="F1664" s="3">
        <v>37.75</v>
      </c>
      <c r="G1664" s="3">
        <v>623.28899999999999</v>
      </c>
      <c r="H1664" s="3">
        <v>9.3529999999999998</v>
      </c>
      <c r="I1664" s="13">
        <f t="shared" si="26"/>
        <v>2.6913907284768199</v>
      </c>
    </row>
    <row r="1665" spans="3:9">
      <c r="C1665" s="3">
        <v>1.73</v>
      </c>
      <c r="D1665" s="21">
        <v>157.19999999999999</v>
      </c>
      <c r="E1665" s="3">
        <v>101.5</v>
      </c>
      <c r="F1665" s="3">
        <v>38.28</v>
      </c>
      <c r="G1665" s="3">
        <v>623.11599999999999</v>
      </c>
      <c r="H1665" s="3">
        <v>10.25</v>
      </c>
      <c r="I1665" s="13">
        <f t="shared" si="26"/>
        <v>2.65151515151515</v>
      </c>
    </row>
    <row r="1666" spans="3:9">
      <c r="C1666" s="3">
        <v>1.7170000000000001</v>
      </c>
      <c r="D1666" s="21">
        <v>156.80000000000001</v>
      </c>
      <c r="E1666" s="3">
        <v>101.6</v>
      </c>
      <c r="F1666" s="3">
        <v>38.119999999999997</v>
      </c>
      <c r="G1666" s="3">
        <v>623.96400000000006</v>
      </c>
      <c r="H1666" s="3">
        <v>9.3650000000000002</v>
      </c>
      <c r="I1666" s="13">
        <f t="shared" si="26"/>
        <v>2.66526757607555</v>
      </c>
    </row>
    <row r="1667" spans="3:9">
      <c r="C1667" s="3">
        <v>1.7</v>
      </c>
      <c r="D1667" s="21">
        <v>155.19999999999999</v>
      </c>
      <c r="E1667" s="3">
        <v>101.7</v>
      </c>
      <c r="F1667" s="3">
        <v>37.9</v>
      </c>
      <c r="G1667" s="3">
        <v>624.03200000000004</v>
      </c>
      <c r="H1667" s="3">
        <v>8.2289999999999992</v>
      </c>
      <c r="I1667" s="13">
        <f t="shared" ref="I1667:I1730" si="27">E1667/F1667</f>
        <v>2.68337730870712</v>
      </c>
    </row>
    <row r="1668" spans="3:9">
      <c r="C1668" s="3">
        <v>1.718</v>
      </c>
      <c r="D1668" s="21">
        <v>117.7</v>
      </c>
      <c r="E1668" s="3">
        <v>101.4</v>
      </c>
      <c r="F1668" s="3">
        <v>37.869999999999997</v>
      </c>
      <c r="G1668" s="3">
        <v>622.99400000000003</v>
      </c>
      <c r="H1668" s="3">
        <v>7.8940000000000001</v>
      </c>
      <c r="I1668" s="13">
        <f t="shared" si="27"/>
        <v>2.6775811988381299</v>
      </c>
    </row>
    <row r="1669" spans="3:9">
      <c r="C1669" s="3">
        <v>1.7270000000000001</v>
      </c>
      <c r="D1669" s="21">
        <v>150.30000000000001</v>
      </c>
      <c r="E1669" s="3">
        <v>101.5</v>
      </c>
      <c r="F1669" s="3">
        <v>37.79</v>
      </c>
      <c r="G1669" s="3">
        <v>623.24300000000005</v>
      </c>
      <c r="H1669" s="3">
        <v>9.452</v>
      </c>
      <c r="I1669" s="13">
        <f t="shared" si="27"/>
        <v>2.6858957396136498</v>
      </c>
    </row>
    <row r="1670" spans="3:9">
      <c r="C1670" s="3">
        <v>1.69</v>
      </c>
      <c r="D1670" s="21">
        <v>157</v>
      </c>
      <c r="E1670" s="3">
        <v>101.6</v>
      </c>
      <c r="F1670" s="3">
        <v>37.96</v>
      </c>
      <c r="G1670" s="3">
        <v>623.56100000000004</v>
      </c>
      <c r="H1670" s="3">
        <v>8.5239999999999991</v>
      </c>
      <c r="I1670" s="13">
        <f t="shared" si="27"/>
        <v>2.6765015806111698</v>
      </c>
    </row>
    <row r="1671" spans="3:9">
      <c r="C1671" s="3">
        <v>1.6850000000000001</v>
      </c>
      <c r="D1671" s="21">
        <v>156.4</v>
      </c>
      <c r="E1671" s="3">
        <v>102.3</v>
      </c>
      <c r="F1671" s="3">
        <v>38.01</v>
      </c>
      <c r="G1671" s="3">
        <v>623.04</v>
      </c>
      <c r="H1671" s="3">
        <v>8.8930000000000007</v>
      </c>
      <c r="I1671" s="13">
        <f t="shared" si="27"/>
        <v>2.6913970007892698</v>
      </c>
    </row>
    <row r="1672" spans="3:9">
      <c r="C1672" s="3">
        <v>1.738</v>
      </c>
      <c r="D1672" s="21">
        <v>155.19999999999999</v>
      </c>
      <c r="E1672" s="3">
        <v>102.2</v>
      </c>
      <c r="F1672" s="3">
        <v>38.08</v>
      </c>
      <c r="G1672" s="3">
        <v>623.90499999999997</v>
      </c>
      <c r="H1672" s="3">
        <v>8.6189999999999998</v>
      </c>
      <c r="I1672" s="13">
        <f t="shared" si="27"/>
        <v>2.6838235294117601</v>
      </c>
    </row>
    <row r="1673" spans="3:9">
      <c r="C1673" s="3">
        <v>1.7390000000000001</v>
      </c>
      <c r="D1673" s="21">
        <v>157</v>
      </c>
      <c r="E1673" s="3">
        <v>102</v>
      </c>
      <c r="F1673" s="3">
        <v>38.090000000000003</v>
      </c>
      <c r="G1673" s="3">
        <v>623.18200000000002</v>
      </c>
      <c r="H1673" s="3">
        <v>9.3239999999999998</v>
      </c>
      <c r="I1673" s="13">
        <f t="shared" si="27"/>
        <v>2.6778682068784501</v>
      </c>
    </row>
    <row r="1674" spans="3:9">
      <c r="C1674" s="3">
        <v>1.732</v>
      </c>
      <c r="D1674" s="21">
        <v>122.3</v>
      </c>
      <c r="E1674" s="3">
        <v>101.5</v>
      </c>
      <c r="F1674" s="3">
        <v>38.32</v>
      </c>
      <c r="G1674" s="3">
        <v>623.18200000000002</v>
      </c>
      <c r="H1674" s="3">
        <v>9.23</v>
      </c>
      <c r="I1674" s="13">
        <f t="shared" si="27"/>
        <v>2.6487473903966601</v>
      </c>
    </row>
    <row r="1675" spans="3:9">
      <c r="C1675" s="3">
        <v>1.738</v>
      </c>
      <c r="D1675" s="21">
        <v>126.5</v>
      </c>
      <c r="E1675" s="3">
        <v>101.8</v>
      </c>
      <c r="F1675" s="3">
        <v>38.479999999999997</v>
      </c>
      <c r="G1675" s="3">
        <v>623.11300000000006</v>
      </c>
      <c r="H1675" s="3">
        <v>9.3529999999999998</v>
      </c>
      <c r="I1675" s="13">
        <f t="shared" si="27"/>
        <v>2.6455301455301501</v>
      </c>
    </row>
    <row r="1676" spans="3:9">
      <c r="C1676" s="3">
        <v>1.742</v>
      </c>
      <c r="D1676" s="21">
        <v>118.8</v>
      </c>
      <c r="E1676" s="3">
        <v>101.4</v>
      </c>
      <c r="F1676" s="3">
        <v>38.14</v>
      </c>
      <c r="G1676" s="3">
        <v>623.95799999999997</v>
      </c>
      <c r="H1676" s="3">
        <v>9.23</v>
      </c>
      <c r="I1676" s="13">
        <f t="shared" si="27"/>
        <v>2.65862611431568</v>
      </c>
    </row>
    <row r="1677" spans="3:9">
      <c r="C1677" s="3">
        <v>1.736</v>
      </c>
      <c r="D1677" s="21">
        <v>117.3</v>
      </c>
      <c r="E1677" s="3">
        <v>101.7</v>
      </c>
      <c r="F1677" s="3">
        <v>38.21</v>
      </c>
      <c r="G1677" s="3">
        <v>623.90499999999997</v>
      </c>
      <c r="H1677" s="3">
        <v>8.3659999999999997</v>
      </c>
      <c r="I1677" s="13">
        <f t="shared" si="27"/>
        <v>2.6616069091860801</v>
      </c>
    </row>
    <row r="1678" spans="3:9">
      <c r="C1678" s="3">
        <v>1.7290000000000001</v>
      </c>
      <c r="D1678" s="21">
        <v>126.8</v>
      </c>
      <c r="E1678" s="3">
        <v>101.4</v>
      </c>
      <c r="F1678" s="3">
        <v>38.01</v>
      </c>
      <c r="G1678" s="3">
        <v>623.04</v>
      </c>
      <c r="H1678" s="3">
        <v>8.89</v>
      </c>
      <c r="I1678" s="13">
        <f t="shared" si="27"/>
        <v>2.6677190213101798</v>
      </c>
    </row>
    <row r="1679" spans="3:9">
      <c r="C1679" s="3">
        <v>1.73</v>
      </c>
      <c r="D1679" s="21">
        <v>117.6</v>
      </c>
      <c r="E1679" s="3">
        <v>101.7</v>
      </c>
      <c r="F1679" s="3">
        <v>38.020000000000003</v>
      </c>
      <c r="G1679" s="3">
        <v>622.99400000000003</v>
      </c>
      <c r="H1679" s="3">
        <v>8.2289999999999992</v>
      </c>
      <c r="I1679" s="13">
        <f t="shared" si="27"/>
        <v>2.6749079431878</v>
      </c>
    </row>
    <row r="1680" spans="3:9">
      <c r="C1680" s="3">
        <v>1.7290000000000001</v>
      </c>
      <c r="D1680" s="21">
        <v>118.8</v>
      </c>
      <c r="E1680" s="3">
        <v>102</v>
      </c>
      <c r="F1680" s="3">
        <v>38.14</v>
      </c>
      <c r="G1680" s="3">
        <v>623.11300000000006</v>
      </c>
      <c r="H1680" s="3">
        <v>7.7519999999999998</v>
      </c>
      <c r="I1680" s="13">
        <f t="shared" si="27"/>
        <v>2.6743576297849998</v>
      </c>
    </row>
    <row r="1681" spans="2:9">
      <c r="C1681" s="3">
        <v>1.7210000000000001</v>
      </c>
      <c r="D1681" s="21">
        <v>126.5</v>
      </c>
      <c r="E1681" s="3">
        <v>101.5</v>
      </c>
      <c r="F1681" s="3">
        <v>38.25</v>
      </c>
      <c r="G1681" s="3">
        <v>623.11599999999999</v>
      </c>
      <c r="H1681" s="3">
        <v>7.8940000000000001</v>
      </c>
      <c r="I1681" s="13">
        <f t="shared" si="27"/>
        <v>2.65359477124183</v>
      </c>
    </row>
    <row r="1682" spans="2:9">
      <c r="B1682" s="16">
        <v>85</v>
      </c>
      <c r="C1682" s="16">
        <v>2.12</v>
      </c>
      <c r="D1682" s="29">
        <v>178.14</v>
      </c>
      <c r="E1682" s="16">
        <v>97.91</v>
      </c>
      <c r="F1682" s="16">
        <v>29.94</v>
      </c>
      <c r="G1682" s="16">
        <v>732.8</v>
      </c>
      <c r="H1682" s="16">
        <v>6.6589999999999998</v>
      </c>
      <c r="I1682" s="13">
        <f t="shared" si="27"/>
        <v>3.2702070808283201</v>
      </c>
    </row>
    <row r="1683" spans="2:9">
      <c r="C1683" s="3">
        <v>2.073</v>
      </c>
      <c r="D1683" s="21">
        <v>196.28</v>
      </c>
      <c r="E1683" s="3">
        <v>97.81</v>
      </c>
      <c r="F1683" s="3">
        <v>29.67</v>
      </c>
      <c r="G1683" s="3">
        <v>738.7</v>
      </c>
      <c r="H1683" s="3">
        <v>6.3529999999999998</v>
      </c>
      <c r="I1683" s="13">
        <f t="shared" si="27"/>
        <v>3.29659588810246</v>
      </c>
    </row>
    <row r="1684" spans="2:9">
      <c r="C1684" s="3">
        <v>2.109</v>
      </c>
      <c r="D1684" s="21">
        <v>189.39</v>
      </c>
      <c r="E1684" s="3">
        <v>98.64</v>
      </c>
      <c r="F1684" s="3">
        <v>29.85</v>
      </c>
      <c r="G1684" s="3">
        <v>744.4</v>
      </c>
      <c r="H1684" s="3">
        <v>7.5979999999999999</v>
      </c>
      <c r="I1684" s="13">
        <f t="shared" si="27"/>
        <v>3.30452261306533</v>
      </c>
    </row>
    <row r="1685" spans="2:9">
      <c r="C1685" s="3">
        <v>2.1379999999999999</v>
      </c>
      <c r="D1685" s="21">
        <v>186.62</v>
      </c>
      <c r="E1685" s="3">
        <v>97.53</v>
      </c>
      <c r="F1685" s="3">
        <v>29.43</v>
      </c>
      <c r="G1685" s="3">
        <v>736.3</v>
      </c>
      <c r="H1685" s="3">
        <v>7.2350000000000003</v>
      </c>
      <c r="I1685" s="13">
        <f t="shared" si="27"/>
        <v>3.3139653414882799</v>
      </c>
    </row>
    <row r="1686" spans="2:9">
      <c r="C1686" s="3">
        <v>2.14</v>
      </c>
      <c r="D1686" s="21">
        <v>178.24</v>
      </c>
      <c r="E1686" s="3">
        <v>97.69</v>
      </c>
      <c r="F1686" s="3">
        <v>29.13</v>
      </c>
      <c r="G1686" s="3">
        <v>733.5</v>
      </c>
      <c r="H1686" s="3">
        <v>7.5960000000000001</v>
      </c>
      <c r="I1686" s="13">
        <f t="shared" si="27"/>
        <v>3.35358736697563</v>
      </c>
    </row>
    <row r="1687" spans="2:9">
      <c r="C1687" s="3">
        <v>2.129</v>
      </c>
      <c r="D1687" s="21">
        <v>178.01</v>
      </c>
      <c r="E1687" s="3">
        <v>97.96</v>
      </c>
      <c r="F1687" s="3">
        <v>29.22</v>
      </c>
      <c r="G1687" s="3">
        <v>725.3</v>
      </c>
      <c r="H1687" s="3">
        <v>8.2260000000000009</v>
      </c>
      <c r="I1687" s="13">
        <f t="shared" si="27"/>
        <v>3.3524982888432602</v>
      </c>
    </row>
    <row r="1688" spans="2:9">
      <c r="C1688" s="3">
        <v>2.1240000000000001</v>
      </c>
      <c r="D1688" s="21">
        <v>199.9</v>
      </c>
      <c r="E1688" s="3">
        <v>98.02</v>
      </c>
      <c r="F1688" s="3">
        <v>29.59</v>
      </c>
      <c r="G1688" s="3">
        <v>724.1</v>
      </c>
      <c r="H1688" s="3">
        <v>7.41</v>
      </c>
      <c r="I1688" s="13">
        <f t="shared" si="27"/>
        <v>3.3126056100033798</v>
      </c>
    </row>
    <row r="1689" spans="2:9">
      <c r="C1689" s="3">
        <v>2.0990000000000002</v>
      </c>
      <c r="D1689" s="21">
        <v>211.4</v>
      </c>
      <c r="E1689" s="3">
        <v>97.69</v>
      </c>
      <c r="F1689" s="3">
        <v>29.7</v>
      </c>
      <c r="G1689" s="3">
        <v>729.2</v>
      </c>
      <c r="H1689" s="3">
        <v>8.2260000000000009</v>
      </c>
      <c r="I1689" s="13">
        <f t="shared" si="27"/>
        <v>3.2892255892255902</v>
      </c>
    </row>
    <row r="1690" spans="2:9">
      <c r="C1690" s="3">
        <v>2.0960000000000001</v>
      </c>
      <c r="D1690" s="21">
        <v>211.9</v>
      </c>
      <c r="E1690" s="3">
        <v>98.47</v>
      </c>
      <c r="F1690" s="3">
        <v>29.36</v>
      </c>
      <c r="G1690" s="3">
        <v>726.2</v>
      </c>
      <c r="H1690" s="3">
        <v>6.6239999999999997</v>
      </c>
      <c r="I1690" s="13">
        <f t="shared" si="27"/>
        <v>3.3538828337874702</v>
      </c>
    </row>
    <row r="1691" spans="2:9">
      <c r="C1691" s="3">
        <v>2.0539999999999998</v>
      </c>
      <c r="D1691" s="21">
        <v>186.62</v>
      </c>
      <c r="E1691" s="3">
        <v>98.19</v>
      </c>
      <c r="F1691" s="3">
        <v>29.18</v>
      </c>
      <c r="G1691" s="3">
        <v>736.8</v>
      </c>
      <c r="H1691" s="3">
        <v>7.38</v>
      </c>
      <c r="I1691" s="13">
        <f t="shared" si="27"/>
        <v>3.3649760109664202</v>
      </c>
    </row>
    <row r="1692" spans="2:9">
      <c r="C1692" s="3">
        <v>2.073</v>
      </c>
      <c r="D1692" s="21">
        <v>178.24</v>
      </c>
      <c r="E1692" s="3">
        <v>98.3</v>
      </c>
      <c r="F1692" s="3">
        <v>29.56</v>
      </c>
      <c r="G1692" s="3">
        <v>725</v>
      </c>
      <c r="H1692" s="3">
        <v>7.8810000000000002</v>
      </c>
      <c r="I1692" s="13">
        <f t="shared" si="27"/>
        <v>3.3254397834912002</v>
      </c>
    </row>
    <row r="1693" spans="2:9">
      <c r="C1693" s="3">
        <v>2.109</v>
      </c>
      <c r="D1693" s="21">
        <v>176.9</v>
      </c>
      <c r="E1693" s="3">
        <v>97.52</v>
      </c>
      <c r="F1693" s="3">
        <v>29.91</v>
      </c>
      <c r="G1693" s="3">
        <v>722.5</v>
      </c>
      <c r="H1693" s="3">
        <v>8.9659999999999993</v>
      </c>
      <c r="I1693" s="13">
        <f t="shared" si="27"/>
        <v>3.2604480106987599</v>
      </c>
    </row>
    <row r="1694" spans="2:9">
      <c r="C1694" s="3">
        <v>2.125</v>
      </c>
      <c r="D1694" s="21">
        <v>170.5</v>
      </c>
      <c r="E1694" s="3">
        <v>97.35</v>
      </c>
      <c r="F1694" s="3">
        <v>29.13</v>
      </c>
      <c r="G1694" s="3">
        <v>719.8</v>
      </c>
      <c r="H1694" s="3">
        <v>8.5</v>
      </c>
      <c r="I1694" s="13">
        <f t="shared" si="27"/>
        <v>3.3419155509783698</v>
      </c>
    </row>
    <row r="1695" spans="2:9">
      <c r="C1695" s="3">
        <v>2.1349999999999998</v>
      </c>
      <c r="D1695" s="21">
        <v>178.27</v>
      </c>
      <c r="E1695" s="3">
        <v>97.85</v>
      </c>
      <c r="F1695" s="3">
        <v>29.66</v>
      </c>
      <c r="G1695" s="3">
        <v>717.1</v>
      </c>
      <c r="H1695" s="3">
        <v>7.5620000000000003</v>
      </c>
      <c r="I1695" s="13">
        <f t="shared" si="27"/>
        <v>3.2990559676331799</v>
      </c>
    </row>
    <row r="1696" spans="2:9">
      <c r="C1696" s="3">
        <v>2.121</v>
      </c>
      <c r="D1696" s="21">
        <v>189.76</v>
      </c>
      <c r="E1696" s="3">
        <v>97.53</v>
      </c>
      <c r="F1696" s="3">
        <v>29.48</v>
      </c>
      <c r="G1696" s="3">
        <v>724.3</v>
      </c>
      <c r="H1696" s="3">
        <v>7.5960000000000001</v>
      </c>
      <c r="I1696" s="13">
        <f t="shared" si="27"/>
        <v>3.3083446404341901</v>
      </c>
    </row>
    <row r="1697" spans="2:9">
      <c r="C1697" s="3">
        <v>2.1360000000000001</v>
      </c>
      <c r="D1697" s="21">
        <v>173.14</v>
      </c>
      <c r="E1697" s="3">
        <v>97.7</v>
      </c>
      <c r="F1697" s="3">
        <v>29.35</v>
      </c>
      <c r="G1697" s="3">
        <v>725.7</v>
      </c>
      <c r="H1697" s="3">
        <v>6.7050000000000001</v>
      </c>
      <c r="I1697" s="13">
        <f t="shared" si="27"/>
        <v>3.3287904599659299</v>
      </c>
    </row>
    <row r="1698" spans="2:9">
      <c r="C1698" s="3">
        <v>2.1419999999999999</v>
      </c>
      <c r="D1698" s="21">
        <v>178.01</v>
      </c>
      <c r="E1698" s="3">
        <v>98.2</v>
      </c>
      <c r="F1698" s="3">
        <v>29.44</v>
      </c>
      <c r="G1698" s="3">
        <v>728.5</v>
      </c>
      <c r="H1698" s="3">
        <v>7.0640000000000001</v>
      </c>
      <c r="I1698" s="13">
        <f t="shared" si="27"/>
        <v>3.3355978260869601</v>
      </c>
    </row>
    <row r="1699" spans="2:9">
      <c r="C1699" s="3">
        <v>2.13</v>
      </c>
      <c r="D1699" s="21">
        <v>189.39</v>
      </c>
      <c r="E1699" s="3">
        <v>97.77</v>
      </c>
      <c r="F1699" s="3">
        <v>29.79</v>
      </c>
      <c r="G1699" s="3">
        <v>730.2</v>
      </c>
      <c r="H1699" s="3">
        <v>7.9509999999999996</v>
      </c>
      <c r="I1699" s="13">
        <f t="shared" si="27"/>
        <v>3.28197381671702</v>
      </c>
    </row>
    <row r="1700" spans="2:9">
      <c r="C1700" s="3">
        <v>2.1110000000000002</v>
      </c>
      <c r="D1700" s="21">
        <v>187.19</v>
      </c>
      <c r="E1700" s="3">
        <v>97.6</v>
      </c>
      <c r="F1700" s="3">
        <v>29.83</v>
      </c>
      <c r="G1700" s="3">
        <v>736.3</v>
      </c>
      <c r="H1700" s="3">
        <v>7.5890000000000004</v>
      </c>
      <c r="I1700" s="13">
        <f t="shared" si="27"/>
        <v>3.2718739523969198</v>
      </c>
    </row>
    <row r="1701" spans="2:9">
      <c r="C1701" s="3">
        <v>2.0880000000000001</v>
      </c>
      <c r="D1701" s="21">
        <v>210.4</v>
      </c>
      <c r="E1701" s="3">
        <v>97.31</v>
      </c>
      <c r="F1701" s="3">
        <v>29.68</v>
      </c>
      <c r="G1701" s="3">
        <v>744.4</v>
      </c>
      <c r="H1701" s="3">
        <v>7.9080000000000004</v>
      </c>
      <c r="I1701" s="13">
        <f t="shared" si="27"/>
        <v>3.27863881401617</v>
      </c>
    </row>
    <row r="1702" spans="2:9">
      <c r="B1702" s="16">
        <v>86</v>
      </c>
      <c r="C1702" s="16">
        <v>2.9089999999999998</v>
      </c>
      <c r="D1702" s="29">
        <v>197.75</v>
      </c>
      <c r="E1702" s="16">
        <v>101.6</v>
      </c>
      <c r="F1702" s="16">
        <v>34.590000000000003</v>
      </c>
      <c r="G1702" s="16">
        <v>563.20000000000005</v>
      </c>
      <c r="H1702" s="16">
        <v>6.2130000000000001</v>
      </c>
      <c r="I1702" s="13">
        <f t="shared" si="27"/>
        <v>2.93726510552183</v>
      </c>
    </row>
    <row r="1703" spans="2:9">
      <c r="C1703" s="3">
        <v>2.9969999999999999</v>
      </c>
      <c r="D1703" s="21">
        <v>190.96</v>
      </c>
      <c r="E1703" s="3">
        <v>101</v>
      </c>
      <c r="F1703" s="3">
        <v>34.18</v>
      </c>
      <c r="G1703" s="3">
        <v>563.4</v>
      </c>
      <c r="H1703" s="3">
        <v>6.444</v>
      </c>
      <c r="I1703" s="13">
        <f t="shared" si="27"/>
        <v>2.9549444119368098</v>
      </c>
    </row>
    <row r="1704" spans="2:9">
      <c r="C1704" s="3">
        <v>2.9430000000000001</v>
      </c>
      <c r="D1704" s="21">
        <v>201.5</v>
      </c>
      <c r="E1704" s="3">
        <v>100.8</v>
      </c>
      <c r="F1704" s="3">
        <v>34.369999999999997</v>
      </c>
      <c r="G1704" s="3">
        <v>564.4</v>
      </c>
      <c r="H1704" s="3">
        <v>6.59</v>
      </c>
      <c r="I1704" s="13">
        <f t="shared" si="27"/>
        <v>2.93279022403259</v>
      </c>
    </row>
    <row r="1705" spans="2:9">
      <c r="C1705" s="3">
        <v>2.9510000000000001</v>
      </c>
      <c r="D1705" s="21">
        <v>211.4</v>
      </c>
      <c r="E1705" s="3">
        <v>100.7</v>
      </c>
      <c r="F1705" s="3">
        <v>34.43</v>
      </c>
      <c r="G1705" s="3">
        <v>563.4</v>
      </c>
      <c r="H1705" s="3">
        <v>6.782</v>
      </c>
      <c r="I1705" s="13">
        <f t="shared" si="27"/>
        <v>2.9247749056055801</v>
      </c>
    </row>
    <row r="1706" spans="2:9">
      <c r="C1706" s="3">
        <v>2.996</v>
      </c>
      <c r="D1706" s="21">
        <v>215.8</v>
      </c>
      <c r="E1706" s="3">
        <v>100.6</v>
      </c>
      <c r="F1706" s="3">
        <v>35.03</v>
      </c>
      <c r="G1706" s="3">
        <v>561.9</v>
      </c>
      <c r="H1706" s="3">
        <v>7.2469999999999999</v>
      </c>
      <c r="I1706" s="13">
        <f t="shared" si="27"/>
        <v>2.8718241507279498</v>
      </c>
    </row>
    <row r="1707" spans="2:9">
      <c r="C1707" s="3">
        <v>2.8820000000000001</v>
      </c>
      <c r="D1707" s="21">
        <v>211.3</v>
      </c>
      <c r="E1707" s="3">
        <v>100.8</v>
      </c>
      <c r="F1707" s="3">
        <v>34.96</v>
      </c>
      <c r="G1707" s="3">
        <v>561.1</v>
      </c>
      <c r="H1707" s="3">
        <v>6.532</v>
      </c>
      <c r="I1707" s="13">
        <f t="shared" si="27"/>
        <v>2.8832951945080101</v>
      </c>
    </row>
    <row r="1708" spans="2:9">
      <c r="C1708" s="3">
        <v>2.899</v>
      </c>
      <c r="D1708" s="21">
        <v>219.4</v>
      </c>
      <c r="E1708" s="3">
        <v>101.1</v>
      </c>
      <c r="F1708" s="3">
        <v>34.43</v>
      </c>
      <c r="G1708" s="3">
        <v>562.1</v>
      </c>
      <c r="H1708" s="3">
        <v>6.2359999999999998</v>
      </c>
      <c r="I1708" s="13">
        <f t="shared" si="27"/>
        <v>2.9363926808016299</v>
      </c>
    </row>
    <row r="1709" spans="2:9">
      <c r="C1709" s="3">
        <v>2.9609999999999999</v>
      </c>
      <c r="D1709" s="21">
        <v>234.6</v>
      </c>
      <c r="E1709" s="3">
        <v>101</v>
      </c>
      <c r="F1709" s="3">
        <v>34.369999999999997</v>
      </c>
      <c r="G1709" s="3">
        <v>563.9</v>
      </c>
      <c r="H1709" s="3">
        <v>5.8609999999999998</v>
      </c>
      <c r="I1709" s="13">
        <f t="shared" si="27"/>
        <v>2.9386092522548699</v>
      </c>
    </row>
    <row r="1710" spans="2:9">
      <c r="C1710" s="3">
        <v>2.9780000000000002</v>
      </c>
      <c r="D1710" s="21">
        <v>233.1</v>
      </c>
      <c r="E1710" s="3">
        <v>100.8</v>
      </c>
      <c r="F1710" s="3">
        <v>34.65</v>
      </c>
      <c r="G1710" s="3">
        <v>568.29999999999995</v>
      </c>
      <c r="H1710" s="3">
        <v>6.1589999999999998</v>
      </c>
      <c r="I1710" s="13">
        <f t="shared" si="27"/>
        <v>2.9090909090909101</v>
      </c>
    </row>
    <row r="1711" spans="2:9">
      <c r="C1711" s="3">
        <v>3.016</v>
      </c>
      <c r="D1711" s="21">
        <v>230.8</v>
      </c>
      <c r="E1711" s="3">
        <v>100.9</v>
      </c>
      <c r="F1711" s="3">
        <v>34.44</v>
      </c>
      <c r="G1711" s="3">
        <v>564.6</v>
      </c>
      <c r="H1711" s="3">
        <v>6.1589999999999998</v>
      </c>
      <c r="I1711" s="13">
        <f t="shared" si="27"/>
        <v>2.9297328687572599</v>
      </c>
    </row>
    <row r="1712" spans="2:9">
      <c r="C1712" s="3">
        <v>3.0089999999999999</v>
      </c>
      <c r="D1712" s="21">
        <v>196.18</v>
      </c>
      <c r="E1712" s="3">
        <v>100.5</v>
      </c>
      <c r="F1712" s="3">
        <v>34.71</v>
      </c>
      <c r="G1712" s="3">
        <v>563.4</v>
      </c>
      <c r="H1712" s="3">
        <v>6.9390000000000001</v>
      </c>
      <c r="I1712" s="13">
        <f t="shared" si="27"/>
        <v>2.8954191875540198</v>
      </c>
    </row>
    <row r="1713" spans="2:9">
      <c r="C1713" s="3">
        <v>2.9950000000000001</v>
      </c>
      <c r="D1713" s="21">
        <v>187.87</v>
      </c>
      <c r="E1713" s="3">
        <v>100.4</v>
      </c>
      <c r="F1713" s="3">
        <v>34.5</v>
      </c>
      <c r="G1713" s="3">
        <v>564.1</v>
      </c>
      <c r="H1713" s="3">
        <v>5.6769999999999996</v>
      </c>
      <c r="I1713" s="13">
        <f t="shared" si="27"/>
        <v>2.9101449275362299</v>
      </c>
    </row>
    <row r="1714" spans="2:9">
      <c r="C1714" s="3">
        <v>2.9239999999999999</v>
      </c>
      <c r="D1714" s="21">
        <v>182.48</v>
      </c>
      <c r="E1714" s="3">
        <v>100.3</v>
      </c>
      <c r="F1714" s="3">
        <v>34.18</v>
      </c>
      <c r="G1714" s="3">
        <v>566.29999999999995</v>
      </c>
      <c r="H1714" s="3">
        <v>5.6280000000000001</v>
      </c>
      <c r="I1714" s="13">
        <f t="shared" si="27"/>
        <v>2.93446459918081</v>
      </c>
    </row>
    <row r="1715" spans="2:9">
      <c r="C1715" s="3">
        <v>2.9350000000000001</v>
      </c>
      <c r="D1715" s="21">
        <v>187.95</v>
      </c>
      <c r="E1715" s="3">
        <v>100.2</v>
      </c>
      <c r="F1715" s="3">
        <v>34.07</v>
      </c>
      <c r="G1715" s="3">
        <v>567.5</v>
      </c>
      <c r="H1715" s="3">
        <v>6.2290000000000001</v>
      </c>
      <c r="I1715" s="13">
        <f t="shared" si="27"/>
        <v>2.9410038156736098</v>
      </c>
    </row>
    <row r="1716" spans="2:9">
      <c r="C1716" s="3">
        <v>2.923</v>
      </c>
      <c r="D1716" s="21">
        <v>184.19</v>
      </c>
      <c r="E1716" s="3">
        <v>100.4</v>
      </c>
      <c r="F1716" s="3">
        <v>34.21</v>
      </c>
      <c r="G1716" s="3">
        <v>569.5</v>
      </c>
      <c r="H1716" s="3">
        <v>6.6020000000000003</v>
      </c>
      <c r="I1716" s="13">
        <f t="shared" si="27"/>
        <v>2.9348143817597201</v>
      </c>
    </row>
    <row r="1717" spans="2:9">
      <c r="C1717" s="3">
        <v>2.931</v>
      </c>
      <c r="D1717" s="21">
        <v>186.7</v>
      </c>
      <c r="E1717" s="3">
        <v>100.8</v>
      </c>
      <c r="F1717" s="3">
        <v>34.19</v>
      </c>
      <c r="G1717" s="3">
        <v>567.9</v>
      </c>
      <c r="H1717" s="3">
        <v>7.3819999999999997</v>
      </c>
      <c r="I1717" s="13">
        <f t="shared" si="27"/>
        <v>2.94823047674759</v>
      </c>
    </row>
    <row r="1718" spans="2:9">
      <c r="C1718" s="3">
        <v>2.9750000000000001</v>
      </c>
      <c r="D1718" s="21">
        <v>188.44</v>
      </c>
      <c r="E1718" s="3">
        <v>100.9</v>
      </c>
      <c r="F1718" s="3">
        <v>34.06</v>
      </c>
      <c r="G1718" s="3">
        <v>568.70000000000005</v>
      </c>
      <c r="H1718" s="3">
        <v>6.2329999999999997</v>
      </c>
      <c r="I1718" s="13">
        <f t="shared" si="27"/>
        <v>2.9624192601291801</v>
      </c>
    </row>
    <row r="1719" spans="2:9">
      <c r="C1719" s="3">
        <v>2.9809999999999999</v>
      </c>
      <c r="D1719" s="21">
        <v>193.2</v>
      </c>
      <c r="E1719" s="3">
        <v>101</v>
      </c>
      <c r="F1719" s="3">
        <v>34.130000000000003</v>
      </c>
      <c r="G1719" s="3">
        <v>569.1</v>
      </c>
      <c r="H1719" s="3">
        <v>6.83</v>
      </c>
      <c r="I1719" s="13">
        <f t="shared" si="27"/>
        <v>2.9592733665397</v>
      </c>
    </row>
    <row r="1720" spans="2:9">
      <c r="C1720" s="3">
        <v>2.9990000000000001</v>
      </c>
      <c r="D1720" s="21">
        <v>190.96</v>
      </c>
      <c r="E1720" s="3">
        <v>100.8</v>
      </c>
      <c r="F1720" s="3">
        <v>34.07</v>
      </c>
      <c r="G1720" s="3">
        <v>565.29999999999995</v>
      </c>
      <c r="H1720" s="3">
        <v>6.4539999999999997</v>
      </c>
      <c r="I1720" s="13">
        <f t="shared" si="27"/>
        <v>2.95861461696507</v>
      </c>
    </row>
    <row r="1721" spans="2:9">
      <c r="C1721" s="3">
        <v>3.01</v>
      </c>
      <c r="D1721" s="21">
        <v>187.97</v>
      </c>
      <c r="E1721" s="3">
        <v>100.7</v>
      </c>
      <c r="F1721" s="3">
        <v>34.229999999999997</v>
      </c>
      <c r="G1721" s="3">
        <v>564.4</v>
      </c>
      <c r="H1721" s="3">
        <v>5.9249999999999998</v>
      </c>
      <c r="I1721" s="13">
        <f t="shared" si="27"/>
        <v>2.9418638621092601</v>
      </c>
    </row>
    <row r="1722" spans="2:9">
      <c r="B1722" s="16">
        <v>87</v>
      </c>
      <c r="C1722" s="16">
        <v>2.3290000000000002</v>
      </c>
      <c r="D1722" s="29">
        <v>178.6</v>
      </c>
      <c r="E1722" s="16">
        <v>93.29</v>
      </c>
      <c r="F1722" s="16">
        <v>29.96</v>
      </c>
      <c r="G1722" s="16">
        <v>665.6</v>
      </c>
      <c r="H1722" s="16">
        <v>5.0330000000000004</v>
      </c>
      <c r="I1722" s="13">
        <f t="shared" si="27"/>
        <v>3.11381842456609</v>
      </c>
    </row>
    <row r="1723" spans="2:9">
      <c r="C1723" s="3">
        <v>2.327</v>
      </c>
      <c r="D1723" s="21">
        <v>168.3</v>
      </c>
      <c r="E1723" s="3">
        <v>93.31</v>
      </c>
      <c r="F1723" s="3">
        <v>30.32</v>
      </c>
      <c r="G1723" s="3">
        <v>665.8</v>
      </c>
      <c r="H1723" s="3">
        <v>5.625</v>
      </c>
      <c r="I1723" s="13">
        <f t="shared" si="27"/>
        <v>3.0775065963060699</v>
      </c>
    </row>
    <row r="1724" spans="2:9">
      <c r="C1724" s="3">
        <v>2.335</v>
      </c>
      <c r="D1724" s="21">
        <v>149.80000000000001</v>
      </c>
      <c r="E1724" s="3">
        <v>93.13</v>
      </c>
      <c r="F1724" s="3">
        <v>30.11</v>
      </c>
      <c r="G1724" s="3">
        <v>655.8</v>
      </c>
      <c r="H1724" s="3">
        <v>6.149</v>
      </c>
      <c r="I1724" s="13">
        <f t="shared" si="27"/>
        <v>3.09299236134175</v>
      </c>
    </row>
    <row r="1725" spans="2:9">
      <c r="C1725" s="3">
        <v>2.3580000000000001</v>
      </c>
      <c r="D1725" s="21">
        <v>169.9</v>
      </c>
      <c r="E1725" s="3">
        <v>93.21</v>
      </c>
      <c r="F1725" s="3">
        <v>29.97</v>
      </c>
      <c r="G1725" s="3">
        <v>659.9</v>
      </c>
      <c r="H1725" s="3">
        <v>5.98</v>
      </c>
      <c r="I1725" s="13">
        <f t="shared" si="27"/>
        <v>3.1101101101101101</v>
      </c>
    </row>
    <row r="1726" spans="2:9">
      <c r="C1726" s="3">
        <v>2.2759999999999998</v>
      </c>
      <c r="D1726" s="21">
        <v>160.80000000000001</v>
      </c>
      <c r="E1726" s="3">
        <v>92.83</v>
      </c>
      <c r="F1726" s="3">
        <v>30.82</v>
      </c>
      <c r="G1726" s="3">
        <v>665.5</v>
      </c>
      <c r="H1726" s="3">
        <v>6.2859999999999996</v>
      </c>
      <c r="I1726" s="13">
        <f t="shared" si="27"/>
        <v>3.0120051914341301</v>
      </c>
    </row>
    <row r="1727" spans="2:9">
      <c r="C1727" s="3">
        <v>2.2290000000000001</v>
      </c>
      <c r="D1727" s="21">
        <v>171.3</v>
      </c>
      <c r="E1727" s="3">
        <v>92.56</v>
      </c>
      <c r="F1727" s="3">
        <v>30.94</v>
      </c>
      <c r="G1727" s="3">
        <v>667</v>
      </c>
      <c r="H1727" s="3">
        <v>6.7779999999999996</v>
      </c>
      <c r="I1727" s="13">
        <f t="shared" si="27"/>
        <v>2.99159663865546</v>
      </c>
    </row>
    <row r="1728" spans="2:9">
      <c r="C1728" s="3">
        <v>2.3010000000000002</v>
      </c>
      <c r="D1728" s="21">
        <v>178.6</v>
      </c>
      <c r="E1728" s="3">
        <v>92.71</v>
      </c>
      <c r="F1728" s="3">
        <v>30.14</v>
      </c>
      <c r="G1728" s="3">
        <v>667.4</v>
      </c>
      <c r="H1728" s="3">
        <v>6.6050000000000004</v>
      </c>
      <c r="I1728" s="13">
        <f t="shared" si="27"/>
        <v>3.0759787657597899</v>
      </c>
    </row>
    <row r="1729" spans="2:9">
      <c r="C1729" s="3">
        <v>2.3109999999999999</v>
      </c>
      <c r="D1729" s="21">
        <v>178.5</v>
      </c>
      <c r="E1729" s="3">
        <v>92.83</v>
      </c>
      <c r="F1729" s="3">
        <v>30.01</v>
      </c>
      <c r="G1729" s="3">
        <v>667</v>
      </c>
      <c r="H1729" s="3">
        <v>5.0330000000000004</v>
      </c>
      <c r="I1729" s="13">
        <f t="shared" si="27"/>
        <v>3.0933022325891399</v>
      </c>
    </row>
    <row r="1730" spans="2:9">
      <c r="C1730" s="3">
        <v>2.3039999999999998</v>
      </c>
      <c r="D1730" s="21">
        <v>158</v>
      </c>
      <c r="E1730" s="3">
        <v>93.13</v>
      </c>
      <c r="F1730" s="3">
        <v>30</v>
      </c>
      <c r="G1730" s="3">
        <v>663.4</v>
      </c>
      <c r="H1730" s="3">
        <v>5.1479999999999997</v>
      </c>
      <c r="I1730" s="13">
        <f t="shared" si="27"/>
        <v>3.1043333333333298</v>
      </c>
    </row>
    <row r="1731" spans="2:9">
      <c r="C1731" s="3">
        <v>2.3109999999999999</v>
      </c>
      <c r="D1731" s="21">
        <v>151.30000000000001</v>
      </c>
      <c r="E1731" s="3">
        <v>93.21</v>
      </c>
      <c r="F1731" s="3">
        <v>29.86</v>
      </c>
      <c r="G1731" s="3">
        <v>660.5</v>
      </c>
      <c r="H1731" s="3">
        <v>5.6180000000000003</v>
      </c>
      <c r="I1731" s="13">
        <f t="shared" ref="I1731:I1794" si="28">E1731/F1731</f>
        <v>3.1215673141326201</v>
      </c>
    </row>
    <row r="1732" spans="2:9">
      <c r="C1732" s="3">
        <v>2.34</v>
      </c>
      <c r="D1732" s="21">
        <v>159.1</v>
      </c>
      <c r="E1732" s="3">
        <v>93.08</v>
      </c>
      <c r="F1732" s="3">
        <v>30.04</v>
      </c>
      <c r="G1732" s="3">
        <v>664.2</v>
      </c>
      <c r="H1732" s="3">
        <v>5.1959999999999997</v>
      </c>
      <c r="I1732" s="13">
        <f t="shared" si="28"/>
        <v>3.09853528628495</v>
      </c>
    </row>
    <row r="1733" spans="2:9">
      <c r="C1733" s="3">
        <v>2.3180000000000001</v>
      </c>
      <c r="D1733" s="21">
        <v>184.4</v>
      </c>
      <c r="E1733" s="3">
        <v>92.96</v>
      </c>
      <c r="F1733" s="3">
        <v>30.08</v>
      </c>
      <c r="G1733" s="3">
        <v>665.8</v>
      </c>
      <c r="H1733" s="3">
        <v>5.875</v>
      </c>
      <c r="I1733" s="13">
        <f t="shared" si="28"/>
        <v>3.0904255319148901</v>
      </c>
    </row>
    <row r="1734" spans="2:9">
      <c r="C1734" s="3">
        <v>2.3490000000000002</v>
      </c>
      <c r="D1734" s="21">
        <v>159.1</v>
      </c>
      <c r="E1734" s="3">
        <v>93.83</v>
      </c>
      <c r="F1734" s="3">
        <v>29.86</v>
      </c>
      <c r="G1734" s="3">
        <v>669</v>
      </c>
      <c r="H1734" s="3">
        <v>5.625</v>
      </c>
      <c r="I1734" s="13">
        <f t="shared" si="28"/>
        <v>3.1423308774279999</v>
      </c>
    </row>
    <row r="1735" spans="2:9">
      <c r="C1735" s="3">
        <v>2.3210000000000002</v>
      </c>
      <c r="D1735" s="21">
        <v>156.69999999999999</v>
      </c>
      <c r="E1735" s="3">
        <v>93.95</v>
      </c>
      <c r="F1735" s="3">
        <v>29.87</v>
      </c>
      <c r="G1735" s="3">
        <v>671.3</v>
      </c>
      <c r="H1735" s="3">
        <v>5.3470000000000004</v>
      </c>
      <c r="I1735" s="13">
        <f t="shared" si="28"/>
        <v>3.1452962838968901</v>
      </c>
    </row>
    <row r="1736" spans="2:9">
      <c r="C1736" s="3">
        <v>2.34</v>
      </c>
      <c r="D1736" s="21">
        <v>159.4</v>
      </c>
      <c r="E1736" s="3">
        <v>93.56</v>
      </c>
      <c r="F1736" s="3">
        <v>30.14</v>
      </c>
      <c r="G1736" s="3">
        <v>671.5</v>
      </c>
      <c r="H1736" s="3">
        <v>6.2789999999999999</v>
      </c>
      <c r="I1736" s="13">
        <f t="shared" si="28"/>
        <v>3.1041804910418</v>
      </c>
    </row>
    <row r="1737" spans="2:9">
      <c r="C1737" s="3">
        <v>2.327</v>
      </c>
      <c r="D1737" s="21">
        <v>183.4</v>
      </c>
      <c r="E1737" s="3">
        <v>93.75</v>
      </c>
      <c r="F1737" s="3">
        <v>30.25</v>
      </c>
      <c r="G1737" s="3">
        <v>687.6</v>
      </c>
      <c r="H1737" s="3">
        <v>6.2489999999999997</v>
      </c>
      <c r="I1737" s="13">
        <f t="shared" si="28"/>
        <v>3.0991735537190102</v>
      </c>
    </row>
    <row r="1738" spans="2:9">
      <c r="C1738" s="3">
        <v>2.3170000000000002</v>
      </c>
      <c r="D1738" s="21">
        <v>171.9</v>
      </c>
      <c r="E1738" s="3">
        <v>93.63</v>
      </c>
      <c r="F1738" s="3">
        <v>30.1</v>
      </c>
      <c r="G1738" s="3">
        <v>686.1</v>
      </c>
      <c r="H1738" s="3">
        <v>5.9320000000000004</v>
      </c>
      <c r="I1738" s="13">
        <f t="shared" si="28"/>
        <v>3.1106312292358802</v>
      </c>
    </row>
    <row r="1739" spans="2:9">
      <c r="C1739" s="3">
        <v>2.355</v>
      </c>
      <c r="D1739" s="21">
        <v>159.80000000000001</v>
      </c>
      <c r="E1739" s="3">
        <v>93.6</v>
      </c>
      <c r="F1739" s="3">
        <v>29.22</v>
      </c>
      <c r="G1739" s="3">
        <v>660.5</v>
      </c>
      <c r="H1739" s="3">
        <v>6.0549999999999997</v>
      </c>
      <c r="I1739" s="13">
        <f t="shared" si="28"/>
        <v>3.2032854209445598</v>
      </c>
    </row>
    <row r="1740" spans="2:9">
      <c r="C1740" s="3">
        <v>2.3559999999999999</v>
      </c>
      <c r="D1740" s="21">
        <v>178.6</v>
      </c>
      <c r="E1740" s="3">
        <v>93.26</v>
      </c>
      <c r="F1740" s="3">
        <v>30.3</v>
      </c>
      <c r="G1740" s="3">
        <v>659.9</v>
      </c>
      <c r="H1740" s="3">
        <v>5.4370000000000003</v>
      </c>
      <c r="I1740" s="13">
        <f t="shared" si="28"/>
        <v>3.07788778877888</v>
      </c>
    </row>
    <row r="1741" spans="2:9">
      <c r="C1741" s="3">
        <v>2.36</v>
      </c>
      <c r="D1741" s="21">
        <v>158</v>
      </c>
      <c r="E1741" s="3">
        <v>93.48</v>
      </c>
      <c r="F1741" s="3">
        <v>30.63</v>
      </c>
      <c r="G1741" s="3">
        <v>666.1</v>
      </c>
      <c r="H1741" s="3">
        <v>5.5019999999999998</v>
      </c>
      <c r="I1741" s="13">
        <f t="shared" si="28"/>
        <v>3.0519098922624899</v>
      </c>
    </row>
    <row r="1742" spans="2:9">
      <c r="B1742" s="16">
        <v>88</v>
      </c>
      <c r="C1742" s="16">
        <v>2.3370000000000002</v>
      </c>
      <c r="D1742" s="29">
        <v>189.29</v>
      </c>
      <c r="E1742" s="16">
        <v>89.78</v>
      </c>
      <c r="F1742" s="16">
        <v>28.27</v>
      </c>
      <c r="G1742" s="16">
        <v>722.9</v>
      </c>
      <c r="H1742" s="16">
        <v>7.1059999999999999</v>
      </c>
      <c r="I1742" s="13">
        <f t="shared" si="28"/>
        <v>3.1758047400070701</v>
      </c>
    </row>
    <row r="1743" spans="2:9">
      <c r="C1743" s="3">
        <v>2.2280000000000002</v>
      </c>
      <c r="D1743" s="21">
        <v>189.92</v>
      </c>
      <c r="E1743" s="3">
        <v>90.56</v>
      </c>
      <c r="F1743" s="3">
        <v>28.81</v>
      </c>
      <c r="G1743" s="3">
        <v>719.6</v>
      </c>
      <c r="H1743" s="3">
        <v>6.9089999999999998</v>
      </c>
      <c r="I1743" s="13">
        <f t="shared" si="28"/>
        <v>3.1433530024297101</v>
      </c>
    </row>
    <row r="1744" spans="2:9">
      <c r="C1744" s="3">
        <v>2.3199999999999998</v>
      </c>
      <c r="D1744" s="21">
        <v>191.03</v>
      </c>
      <c r="E1744" s="3">
        <v>90.75</v>
      </c>
      <c r="F1744" s="3">
        <v>29.01</v>
      </c>
      <c r="G1744" s="3">
        <v>717</v>
      </c>
      <c r="H1744" s="3">
        <v>7.0220000000000002</v>
      </c>
      <c r="I1744" s="13">
        <f t="shared" si="28"/>
        <v>3.1282316442606</v>
      </c>
    </row>
    <row r="1745" spans="3:9">
      <c r="C1745" s="3">
        <v>2.294</v>
      </c>
      <c r="D1745" s="21">
        <v>193.83</v>
      </c>
      <c r="E1745" s="3">
        <v>90.59</v>
      </c>
      <c r="F1745" s="3">
        <v>28.76</v>
      </c>
      <c r="G1745" s="3">
        <v>719.3</v>
      </c>
      <c r="H1745" s="3">
        <v>7.0439999999999996</v>
      </c>
      <c r="I1745" s="13">
        <f t="shared" si="28"/>
        <v>3.1498609179415902</v>
      </c>
    </row>
    <row r="1746" spans="3:9">
      <c r="C1746" s="3">
        <v>2.2730000000000001</v>
      </c>
      <c r="D1746" s="21">
        <v>196.62</v>
      </c>
      <c r="E1746" s="3">
        <v>90.03</v>
      </c>
      <c r="F1746" s="3">
        <v>29.08</v>
      </c>
      <c r="G1746" s="3">
        <v>721.5</v>
      </c>
      <c r="H1746" s="3">
        <v>7.1470000000000002</v>
      </c>
      <c r="I1746" s="13">
        <f t="shared" si="28"/>
        <v>3.0959422283356299</v>
      </c>
    </row>
    <row r="1747" spans="3:9">
      <c r="C1747" s="3">
        <v>2.2879999999999998</v>
      </c>
      <c r="D1747" s="21">
        <v>193.26</v>
      </c>
      <c r="E1747" s="3">
        <v>89.92</v>
      </c>
      <c r="F1747" s="3">
        <v>29.1</v>
      </c>
      <c r="G1747" s="3">
        <v>724.9</v>
      </c>
      <c r="H1747" s="3">
        <v>7.1710000000000003</v>
      </c>
      <c r="I1747" s="13">
        <f t="shared" si="28"/>
        <v>3.0900343642611698</v>
      </c>
    </row>
    <row r="1748" spans="3:9">
      <c r="C1748" s="3">
        <v>2.1659999999999999</v>
      </c>
      <c r="D1748" s="21">
        <v>207.85</v>
      </c>
      <c r="E1748" s="3">
        <v>90.96</v>
      </c>
      <c r="F1748" s="3">
        <v>28.6</v>
      </c>
      <c r="G1748" s="3">
        <v>726.2</v>
      </c>
      <c r="H1748" s="3">
        <v>7.1929999999999996</v>
      </c>
      <c r="I1748" s="13">
        <f t="shared" si="28"/>
        <v>3.1804195804195801</v>
      </c>
    </row>
    <row r="1749" spans="3:9">
      <c r="C1749" s="3">
        <v>2.2029999999999998</v>
      </c>
      <c r="D1749" s="21">
        <v>200.74</v>
      </c>
      <c r="E1749" s="3">
        <v>90.95</v>
      </c>
      <c r="F1749" s="3">
        <v>28.33</v>
      </c>
      <c r="G1749" s="3">
        <v>723.2</v>
      </c>
      <c r="H1749" s="3">
        <v>7.2050000000000001</v>
      </c>
      <c r="I1749" s="13">
        <f t="shared" si="28"/>
        <v>3.2103776914931199</v>
      </c>
    </row>
    <row r="1750" spans="3:9">
      <c r="C1750" s="3">
        <v>2.2349999999999999</v>
      </c>
      <c r="D1750" s="21">
        <v>203.93</v>
      </c>
      <c r="E1750" s="3">
        <v>90.3</v>
      </c>
      <c r="F1750" s="3">
        <v>28.27</v>
      </c>
      <c r="G1750" s="3">
        <v>722.1</v>
      </c>
      <c r="H1750" s="3">
        <v>7.2640000000000002</v>
      </c>
      <c r="I1750" s="13">
        <f t="shared" si="28"/>
        <v>3.1941987973116399</v>
      </c>
    </row>
    <row r="1751" spans="3:9">
      <c r="C1751" s="3">
        <v>2.258</v>
      </c>
      <c r="D1751" s="21">
        <v>193.34</v>
      </c>
      <c r="E1751" s="3">
        <v>90.47</v>
      </c>
      <c r="F1751" s="3">
        <v>28.37</v>
      </c>
      <c r="G1751" s="3">
        <v>722.7</v>
      </c>
      <c r="H1751" s="3">
        <v>7.4530000000000003</v>
      </c>
      <c r="I1751" s="13">
        <f t="shared" si="28"/>
        <v>3.18893197039126</v>
      </c>
    </row>
    <row r="1752" spans="3:9">
      <c r="C1752" s="3">
        <v>2.2679999999999998</v>
      </c>
      <c r="D1752" s="21">
        <v>193.26</v>
      </c>
      <c r="E1752" s="3">
        <v>90.23</v>
      </c>
      <c r="F1752" s="3">
        <v>28.21</v>
      </c>
      <c r="G1752" s="3">
        <v>722.7</v>
      </c>
      <c r="H1752" s="3">
        <v>7.5330000000000004</v>
      </c>
      <c r="I1752" s="13">
        <f t="shared" si="28"/>
        <v>3.1985111662531001</v>
      </c>
    </row>
    <row r="1753" spans="3:9">
      <c r="C1753" s="3">
        <v>2.3220000000000001</v>
      </c>
      <c r="D1753" s="21">
        <v>189.29</v>
      </c>
      <c r="E1753" s="3">
        <v>90.57</v>
      </c>
      <c r="F1753" s="3">
        <v>28.44</v>
      </c>
      <c r="G1753" s="3">
        <v>720.6</v>
      </c>
      <c r="H1753" s="3">
        <v>7.2830000000000004</v>
      </c>
      <c r="I1753" s="13">
        <f t="shared" si="28"/>
        <v>3.1845991561181402</v>
      </c>
    </row>
    <row r="1754" spans="3:9">
      <c r="C1754" s="3">
        <v>2.3330000000000002</v>
      </c>
      <c r="D1754" s="21">
        <v>196.1</v>
      </c>
      <c r="E1754" s="3">
        <v>90.86</v>
      </c>
      <c r="F1754" s="3">
        <v>28.39</v>
      </c>
      <c r="G1754" s="3">
        <v>724.3</v>
      </c>
      <c r="H1754" s="3">
        <v>7.6660000000000004</v>
      </c>
      <c r="I1754" s="13">
        <f t="shared" si="28"/>
        <v>3.20042268404368</v>
      </c>
    </row>
    <row r="1755" spans="3:9">
      <c r="C1755" s="3">
        <v>2.3159999999999998</v>
      </c>
      <c r="D1755" s="21">
        <v>188.38</v>
      </c>
      <c r="E1755" s="3">
        <v>90.78</v>
      </c>
      <c r="F1755" s="3">
        <v>28.01</v>
      </c>
      <c r="G1755" s="3">
        <v>721.9</v>
      </c>
      <c r="H1755" s="3">
        <v>7.28</v>
      </c>
      <c r="I1755" s="13">
        <f t="shared" si="28"/>
        <v>3.24098536237058</v>
      </c>
    </row>
    <row r="1756" spans="3:9">
      <c r="C1756" s="3">
        <v>2.2829999999999999</v>
      </c>
      <c r="D1756" s="21">
        <v>190.83</v>
      </c>
      <c r="E1756" s="3">
        <v>90.87</v>
      </c>
      <c r="F1756" s="3">
        <v>28.48</v>
      </c>
      <c r="G1756" s="3">
        <v>723.4</v>
      </c>
      <c r="H1756" s="3">
        <v>7.3070000000000004</v>
      </c>
      <c r="I1756" s="13">
        <f t="shared" si="28"/>
        <v>3.1906601123595499</v>
      </c>
    </row>
    <row r="1757" spans="3:9">
      <c r="C1757" s="3">
        <v>2.1920000000000002</v>
      </c>
      <c r="D1757" s="21">
        <v>202.24</v>
      </c>
      <c r="E1757" s="3">
        <v>90.95</v>
      </c>
      <c r="F1757" s="3">
        <v>28.87</v>
      </c>
      <c r="G1757" s="3">
        <v>721.1</v>
      </c>
      <c r="H1757" s="3">
        <v>7.3330000000000002</v>
      </c>
      <c r="I1757" s="13">
        <f t="shared" si="28"/>
        <v>3.15032906130932</v>
      </c>
    </row>
    <row r="1758" spans="3:9">
      <c r="C1758" s="3">
        <v>2.117</v>
      </c>
      <c r="D1758" s="21">
        <v>187.72</v>
      </c>
      <c r="E1758" s="3">
        <v>90.88</v>
      </c>
      <c r="F1758" s="3">
        <v>29.05</v>
      </c>
      <c r="G1758" s="3">
        <v>721.6</v>
      </c>
      <c r="H1758" s="3">
        <v>7.7519999999999998</v>
      </c>
      <c r="I1758" s="13">
        <f t="shared" si="28"/>
        <v>3.1283993115318398</v>
      </c>
    </row>
    <row r="1759" spans="3:9">
      <c r="C1759" s="3">
        <v>2.0259999999999998</v>
      </c>
      <c r="D1759" s="21">
        <v>197.13</v>
      </c>
      <c r="E1759" s="3">
        <v>90.01</v>
      </c>
      <c r="F1759" s="3">
        <v>28.84</v>
      </c>
      <c r="G1759" s="3">
        <v>721.7</v>
      </c>
      <c r="H1759" s="3">
        <v>7.7320000000000002</v>
      </c>
      <c r="I1759" s="13">
        <f t="shared" si="28"/>
        <v>3.1210124826629699</v>
      </c>
    </row>
    <row r="1760" spans="3:9">
      <c r="C1760" s="3">
        <v>2.1789999999999998</v>
      </c>
      <c r="D1760" s="21">
        <v>193.26</v>
      </c>
      <c r="E1760" s="3">
        <v>90.42</v>
      </c>
      <c r="F1760" s="3">
        <v>28.6</v>
      </c>
      <c r="G1760" s="3">
        <v>726.3</v>
      </c>
      <c r="H1760" s="3">
        <v>7.7309999999999999</v>
      </c>
      <c r="I1760" s="13">
        <f t="shared" si="28"/>
        <v>3.1615384615384601</v>
      </c>
    </row>
    <row r="1761" spans="2:9">
      <c r="C1761" s="3">
        <v>2.2309999999999999</v>
      </c>
      <c r="D1761" s="21">
        <v>200.63</v>
      </c>
      <c r="E1761" s="3">
        <v>90.88</v>
      </c>
      <c r="F1761" s="3">
        <v>28.55</v>
      </c>
      <c r="G1761" s="3">
        <v>721</v>
      </c>
      <c r="H1761" s="3">
        <v>7.7380000000000004</v>
      </c>
      <c r="I1761" s="13">
        <f t="shared" si="28"/>
        <v>3.1831873905429098</v>
      </c>
    </row>
    <row r="1762" spans="2:9">
      <c r="B1762" s="16">
        <v>89</v>
      </c>
      <c r="C1762" s="16">
        <v>3.3879999999999999</v>
      </c>
      <c r="D1762" s="29">
        <v>286.3</v>
      </c>
      <c r="E1762" s="16">
        <v>68.62</v>
      </c>
      <c r="F1762" s="16">
        <v>29.31</v>
      </c>
      <c r="G1762" s="16">
        <v>613</v>
      </c>
      <c r="H1762" s="16">
        <v>6.5750000000000002</v>
      </c>
      <c r="I1762" s="13">
        <f t="shared" si="28"/>
        <v>2.3411804844762898</v>
      </c>
    </row>
    <row r="1763" spans="2:9">
      <c r="C1763" s="3">
        <v>3.3980000000000001</v>
      </c>
      <c r="D1763" s="21">
        <v>256.39999999999998</v>
      </c>
      <c r="E1763" s="3">
        <v>68.44</v>
      </c>
      <c r="F1763" s="3">
        <v>29.06</v>
      </c>
      <c r="G1763" s="3">
        <v>609</v>
      </c>
      <c r="H1763" s="3">
        <v>6.4580000000000002</v>
      </c>
      <c r="I1763" s="13">
        <f t="shared" si="28"/>
        <v>2.3551273227804499</v>
      </c>
    </row>
    <row r="1764" spans="2:9">
      <c r="C1764" s="3">
        <v>3.43</v>
      </c>
      <c r="D1764" s="21">
        <v>229.9</v>
      </c>
      <c r="E1764" s="3">
        <v>68.22</v>
      </c>
      <c r="F1764" s="3">
        <v>28.69</v>
      </c>
      <c r="G1764" s="3">
        <v>607.6</v>
      </c>
      <c r="H1764" s="3">
        <v>6.2290000000000001</v>
      </c>
      <c r="I1764" s="13">
        <f t="shared" si="28"/>
        <v>2.3778319972115698</v>
      </c>
    </row>
    <row r="1765" spans="2:9">
      <c r="C1765" s="3">
        <v>3.4329999999999998</v>
      </c>
      <c r="D1765" s="21">
        <v>206.6</v>
      </c>
      <c r="E1765" s="3">
        <v>68.5</v>
      </c>
      <c r="F1765" s="3">
        <v>28.51</v>
      </c>
      <c r="G1765" s="3">
        <v>610.6</v>
      </c>
      <c r="H1765" s="3">
        <v>6.1829999999999998</v>
      </c>
      <c r="I1765" s="13">
        <f t="shared" si="28"/>
        <v>2.4026657313223398</v>
      </c>
    </row>
    <row r="1766" spans="2:9">
      <c r="C1766" s="3">
        <v>3.4279999999999999</v>
      </c>
      <c r="D1766" s="21">
        <v>190.3</v>
      </c>
      <c r="E1766" s="3">
        <v>68.180000000000007</v>
      </c>
      <c r="F1766" s="3">
        <v>29.01</v>
      </c>
      <c r="G1766" s="3">
        <v>609</v>
      </c>
      <c r="H1766" s="3">
        <v>6.5670000000000002</v>
      </c>
      <c r="I1766" s="13">
        <f t="shared" si="28"/>
        <v>2.3502240606687401</v>
      </c>
    </row>
    <row r="1767" spans="2:9">
      <c r="C1767" s="3">
        <v>3.3730000000000002</v>
      </c>
      <c r="D1767" s="21">
        <v>245.1</v>
      </c>
      <c r="E1767" s="3">
        <v>68.069999999999993</v>
      </c>
      <c r="F1767" s="3">
        <v>29.56</v>
      </c>
      <c r="G1767" s="3">
        <v>608.5</v>
      </c>
      <c r="H1767" s="3">
        <v>6.7030000000000003</v>
      </c>
      <c r="I1767" s="13">
        <f t="shared" si="28"/>
        <v>2.3027740189445201</v>
      </c>
    </row>
    <row r="1768" spans="2:9">
      <c r="C1768" s="3">
        <v>3.403</v>
      </c>
      <c r="D1768" s="21">
        <v>192.8</v>
      </c>
      <c r="E1768" s="3">
        <v>68.13</v>
      </c>
      <c r="F1768" s="3">
        <v>28.86</v>
      </c>
      <c r="G1768" s="3">
        <v>606.20000000000005</v>
      </c>
      <c r="H1768" s="3">
        <v>7.1890000000000001</v>
      </c>
      <c r="I1768" s="13">
        <f t="shared" si="28"/>
        <v>2.36070686070686</v>
      </c>
    </row>
    <row r="1769" spans="2:9">
      <c r="C1769" s="3">
        <v>3.306</v>
      </c>
      <c r="D1769" s="21">
        <v>200.4</v>
      </c>
      <c r="E1769" s="3">
        <v>68.260000000000005</v>
      </c>
      <c r="F1769" s="3">
        <v>28.88</v>
      </c>
      <c r="G1769" s="3">
        <v>604.9</v>
      </c>
      <c r="H1769" s="3">
        <v>6.91</v>
      </c>
      <c r="I1769" s="13">
        <f t="shared" si="28"/>
        <v>2.3635734072022201</v>
      </c>
    </row>
    <row r="1770" spans="2:9">
      <c r="C1770" s="3">
        <v>3.3210000000000002</v>
      </c>
      <c r="D1770" s="21">
        <v>218.1</v>
      </c>
      <c r="E1770" s="3">
        <v>68.209999999999994</v>
      </c>
      <c r="F1770" s="3">
        <v>28.05</v>
      </c>
      <c r="G1770" s="3">
        <v>613</v>
      </c>
      <c r="H1770" s="3">
        <v>6.8360000000000003</v>
      </c>
      <c r="I1770" s="13">
        <f t="shared" si="28"/>
        <v>2.4317290552584701</v>
      </c>
    </row>
    <row r="1771" spans="2:9">
      <c r="C1771" s="3">
        <v>3.3050000000000002</v>
      </c>
      <c r="D1771" s="21">
        <v>237</v>
      </c>
      <c r="E1771" s="3">
        <v>68.03</v>
      </c>
      <c r="F1771" s="3">
        <v>29.33</v>
      </c>
      <c r="G1771" s="3">
        <v>614.1</v>
      </c>
      <c r="H1771" s="3">
        <v>6.601</v>
      </c>
      <c r="I1771" s="13">
        <f t="shared" si="28"/>
        <v>2.31946812137743</v>
      </c>
    </row>
    <row r="1772" spans="2:9">
      <c r="C1772" s="3">
        <v>3.2570000000000001</v>
      </c>
      <c r="D1772" s="21">
        <v>243</v>
      </c>
      <c r="E1772" s="3">
        <v>68.02</v>
      </c>
      <c r="F1772" s="3">
        <v>29.25</v>
      </c>
      <c r="G1772" s="3">
        <v>608.5</v>
      </c>
      <c r="H1772" s="3">
        <v>6.524</v>
      </c>
      <c r="I1772" s="13">
        <f t="shared" si="28"/>
        <v>2.3254700854700898</v>
      </c>
    </row>
    <row r="1773" spans="2:9">
      <c r="C1773" s="3">
        <v>3.2749999999999999</v>
      </c>
      <c r="D1773" s="21">
        <v>267.60000000000002</v>
      </c>
      <c r="E1773" s="3">
        <v>68.400000000000006</v>
      </c>
      <c r="F1773" s="3">
        <v>28.7</v>
      </c>
      <c r="G1773" s="3">
        <v>607.4</v>
      </c>
      <c r="H1773" s="3">
        <v>6.3529999999999998</v>
      </c>
      <c r="I1773" s="13">
        <f t="shared" si="28"/>
        <v>2.38327526132404</v>
      </c>
    </row>
    <row r="1774" spans="2:9">
      <c r="C1774" s="3">
        <v>3.2829999999999999</v>
      </c>
      <c r="D1774" s="21">
        <v>243</v>
      </c>
      <c r="E1774" s="3">
        <v>68.69</v>
      </c>
      <c r="F1774" s="3">
        <v>28.77</v>
      </c>
      <c r="G1774" s="3">
        <v>613</v>
      </c>
      <c r="H1774" s="3">
        <v>6.2690000000000001</v>
      </c>
      <c r="I1774" s="13">
        <f t="shared" si="28"/>
        <v>2.3875564824469899</v>
      </c>
    </row>
    <row r="1775" spans="2:9">
      <c r="C1775" s="3">
        <v>3.2570000000000001</v>
      </c>
      <c r="D1775" s="21">
        <v>229.9</v>
      </c>
      <c r="E1775" s="3">
        <v>68.52</v>
      </c>
      <c r="F1775" s="3">
        <v>28.82</v>
      </c>
      <c r="G1775" s="3">
        <v>609</v>
      </c>
      <c r="H1775" s="3">
        <v>6.6020000000000003</v>
      </c>
      <c r="I1775" s="13">
        <f t="shared" si="28"/>
        <v>2.3775156141568399</v>
      </c>
    </row>
    <row r="1776" spans="2:9">
      <c r="C1776" s="3">
        <v>3.3239999999999998</v>
      </c>
      <c r="D1776" s="21">
        <v>237</v>
      </c>
      <c r="E1776" s="3">
        <v>68.19</v>
      </c>
      <c r="F1776" s="3">
        <v>28.66</v>
      </c>
      <c r="G1776" s="3">
        <v>614</v>
      </c>
      <c r="H1776" s="3">
        <v>6.6689999999999996</v>
      </c>
      <c r="I1776" s="13">
        <f t="shared" si="28"/>
        <v>2.3792742498255399</v>
      </c>
    </row>
    <row r="1777" spans="2:9">
      <c r="C1777" s="3">
        <v>3.26</v>
      </c>
      <c r="D1777" s="21">
        <v>190.3</v>
      </c>
      <c r="E1777" s="3">
        <v>68.069999999999993</v>
      </c>
      <c r="F1777" s="3">
        <v>28.49</v>
      </c>
      <c r="G1777" s="3">
        <v>615.20000000000005</v>
      </c>
      <c r="H1777" s="3">
        <v>6.4969999999999999</v>
      </c>
      <c r="I1777" s="13">
        <f t="shared" si="28"/>
        <v>2.3892593892593901</v>
      </c>
    </row>
    <row r="1778" spans="2:9">
      <c r="C1778" s="3">
        <v>3.1869999999999998</v>
      </c>
      <c r="D1778" s="21">
        <v>200.4</v>
      </c>
      <c r="E1778" s="3">
        <v>68.11</v>
      </c>
      <c r="F1778" s="3">
        <v>28.45</v>
      </c>
      <c r="G1778" s="3">
        <v>618.70000000000005</v>
      </c>
      <c r="H1778" s="3">
        <v>7.3570000000000002</v>
      </c>
      <c r="I1778" s="13">
        <f t="shared" si="28"/>
        <v>2.3940246045694198</v>
      </c>
    </row>
    <row r="1779" spans="2:9">
      <c r="C1779" s="3">
        <v>3.1890000000000001</v>
      </c>
      <c r="D1779" s="21">
        <v>184</v>
      </c>
      <c r="E1779" s="3">
        <v>68.48</v>
      </c>
      <c r="F1779" s="3">
        <v>28.75</v>
      </c>
      <c r="G1779" s="3">
        <v>616.4</v>
      </c>
      <c r="H1779" s="3">
        <v>6.9260000000000002</v>
      </c>
      <c r="I1779" s="13">
        <f t="shared" si="28"/>
        <v>2.3819130434782601</v>
      </c>
    </row>
    <row r="1780" spans="2:9">
      <c r="C1780" s="3">
        <v>3.26</v>
      </c>
      <c r="D1780" s="21">
        <v>230.8</v>
      </c>
      <c r="E1780" s="3">
        <v>68.319999999999993</v>
      </c>
      <c r="F1780" s="3">
        <v>28.66</v>
      </c>
      <c r="G1780" s="3">
        <v>621.79999999999995</v>
      </c>
      <c r="H1780" s="3">
        <v>6.9969999999999999</v>
      </c>
      <c r="I1780" s="13">
        <f t="shared" si="28"/>
        <v>2.38381018841591</v>
      </c>
    </row>
    <row r="1781" spans="2:9">
      <c r="C1781" s="3">
        <v>3.3639999999999999</v>
      </c>
      <c r="D1781" s="21">
        <v>280.8</v>
      </c>
      <c r="E1781" s="3">
        <v>68.19</v>
      </c>
      <c r="F1781" s="3">
        <v>28.87</v>
      </c>
      <c r="G1781" s="3">
        <v>618.20000000000005</v>
      </c>
      <c r="H1781" s="3">
        <v>7.1970000000000001</v>
      </c>
      <c r="I1781" s="13">
        <f t="shared" si="28"/>
        <v>2.3619674402493902</v>
      </c>
    </row>
    <row r="1782" spans="2:9">
      <c r="B1782" s="16">
        <v>90</v>
      </c>
      <c r="C1782" s="16">
        <v>2.7949999999999999</v>
      </c>
      <c r="D1782" s="29">
        <v>175.1</v>
      </c>
      <c r="E1782" s="16">
        <v>91.08</v>
      </c>
      <c r="F1782" s="16">
        <v>40.32</v>
      </c>
      <c r="G1782" s="16">
        <v>655.4</v>
      </c>
      <c r="H1782" s="16">
        <v>6.3289999999999997</v>
      </c>
      <c r="I1782" s="13">
        <f t="shared" si="28"/>
        <v>2.2589285714285698</v>
      </c>
    </row>
    <row r="1783" spans="2:9">
      <c r="C1783" s="3">
        <v>3.0059999999999998</v>
      </c>
      <c r="D1783" s="21">
        <v>163.80000000000001</v>
      </c>
      <c r="E1783" s="3">
        <v>91.86</v>
      </c>
      <c r="F1783" s="3">
        <v>40</v>
      </c>
      <c r="G1783" s="3">
        <v>658.8</v>
      </c>
      <c r="H1783" s="3">
        <v>6.2640000000000002</v>
      </c>
      <c r="I1783" s="13">
        <f t="shared" si="28"/>
        <v>2.2965</v>
      </c>
    </row>
    <row r="1784" spans="2:9">
      <c r="C1784" s="3">
        <v>2.9390000000000001</v>
      </c>
      <c r="D1784" s="21">
        <v>165.8</v>
      </c>
      <c r="E1784" s="3">
        <v>91.62</v>
      </c>
      <c r="F1784" s="3">
        <v>39.090000000000003</v>
      </c>
      <c r="G1784" s="3">
        <v>656.1</v>
      </c>
      <c r="H1784" s="3">
        <v>6.218</v>
      </c>
      <c r="I1784" s="13">
        <f t="shared" si="28"/>
        <v>2.3438219493476602</v>
      </c>
    </row>
    <row r="1785" spans="2:9">
      <c r="C1785" s="3">
        <v>2.8439999999999999</v>
      </c>
      <c r="D1785" s="21">
        <v>180.6</v>
      </c>
      <c r="E1785" s="3">
        <v>91.59</v>
      </c>
      <c r="F1785" s="3">
        <v>39.58</v>
      </c>
      <c r="G1785" s="3">
        <v>655.9</v>
      </c>
      <c r="H1785" s="3">
        <v>6.1580000000000004</v>
      </c>
      <c r="I1785" s="13">
        <f t="shared" si="28"/>
        <v>2.3140474987367399</v>
      </c>
    </row>
    <row r="1786" spans="2:9">
      <c r="C1786" s="3">
        <v>2.7269999999999999</v>
      </c>
      <c r="D1786" s="21">
        <v>190.9</v>
      </c>
      <c r="E1786" s="3">
        <v>91.45</v>
      </c>
      <c r="F1786" s="3">
        <v>39.869999999999997</v>
      </c>
      <c r="G1786" s="3">
        <v>658.3</v>
      </c>
      <c r="H1786" s="3">
        <v>6.1470000000000002</v>
      </c>
      <c r="I1786" s="13">
        <f t="shared" si="28"/>
        <v>2.2937045397542</v>
      </c>
    </row>
    <row r="1787" spans="2:9">
      <c r="C1787" s="3">
        <v>2.6859999999999999</v>
      </c>
      <c r="D1787" s="21">
        <v>175.1</v>
      </c>
      <c r="E1787" s="3">
        <v>91.46</v>
      </c>
      <c r="F1787" s="3">
        <v>40.01</v>
      </c>
      <c r="G1787" s="3">
        <v>658.9</v>
      </c>
      <c r="H1787" s="3">
        <v>6.0990000000000002</v>
      </c>
      <c r="I1787" s="13">
        <f t="shared" si="28"/>
        <v>2.2859285178705302</v>
      </c>
    </row>
    <row r="1788" spans="2:9">
      <c r="C1788" s="3">
        <v>2.6190000000000002</v>
      </c>
      <c r="D1788" s="21">
        <v>174.5</v>
      </c>
      <c r="E1788" s="3">
        <v>91.8</v>
      </c>
      <c r="F1788" s="3">
        <v>40.479999999999997</v>
      </c>
      <c r="G1788" s="3">
        <v>660.6</v>
      </c>
      <c r="H1788" s="3">
        <v>6.173</v>
      </c>
      <c r="I1788" s="13">
        <f t="shared" si="28"/>
        <v>2.26778656126482</v>
      </c>
    </row>
    <row r="1789" spans="2:9">
      <c r="C1789" s="3">
        <v>2.5880000000000001</v>
      </c>
      <c r="D1789" s="21">
        <v>168.5</v>
      </c>
      <c r="E1789" s="3">
        <v>92.56</v>
      </c>
      <c r="F1789" s="3">
        <v>40.21</v>
      </c>
      <c r="G1789" s="3">
        <v>662</v>
      </c>
      <c r="H1789" s="3">
        <v>6.3659999999999997</v>
      </c>
      <c r="I1789" s="13">
        <f t="shared" si="28"/>
        <v>2.3019149465307098</v>
      </c>
    </row>
    <row r="1790" spans="2:9">
      <c r="C1790" s="3">
        <v>2.5510000000000002</v>
      </c>
      <c r="D1790" s="21">
        <v>163.80000000000001</v>
      </c>
      <c r="E1790" s="3">
        <v>92.1</v>
      </c>
      <c r="F1790" s="3">
        <v>40.049999999999997</v>
      </c>
      <c r="G1790" s="3">
        <v>655.7</v>
      </c>
      <c r="H1790" s="3">
        <v>6.6189999999999998</v>
      </c>
      <c r="I1790" s="13">
        <f t="shared" si="28"/>
        <v>2.2996254681647899</v>
      </c>
    </row>
    <row r="1791" spans="2:9">
      <c r="C1791" s="3">
        <v>2.4689999999999999</v>
      </c>
      <c r="D1791" s="21">
        <v>180.6</v>
      </c>
      <c r="E1791" s="3">
        <v>92.03</v>
      </c>
      <c r="F1791" s="3">
        <v>40.020000000000003</v>
      </c>
      <c r="G1791" s="3">
        <v>654.79999999999995</v>
      </c>
      <c r="H1791" s="3">
        <v>6.7889999999999997</v>
      </c>
      <c r="I1791" s="13">
        <f t="shared" si="28"/>
        <v>2.2996001999000502</v>
      </c>
    </row>
    <row r="1792" spans="2:9">
      <c r="C1792" s="3">
        <v>2.4790000000000001</v>
      </c>
      <c r="D1792" s="21">
        <v>183.1</v>
      </c>
      <c r="E1792" s="3">
        <v>91.97</v>
      </c>
      <c r="F1792" s="3">
        <v>40.340000000000003</v>
      </c>
      <c r="G1792" s="3">
        <v>657.8</v>
      </c>
      <c r="H1792" s="3">
        <v>6.6509999999999998</v>
      </c>
      <c r="I1792" s="13">
        <f t="shared" si="28"/>
        <v>2.2798710956866599</v>
      </c>
    </row>
    <row r="1793" spans="2:9">
      <c r="C1793" s="3">
        <v>2.5859999999999999</v>
      </c>
      <c r="D1793" s="21">
        <v>190.9</v>
      </c>
      <c r="E1793" s="3">
        <v>91.7</v>
      </c>
      <c r="F1793" s="3">
        <v>40.17</v>
      </c>
      <c r="G1793" s="3">
        <v>662.8</v>
      </c>
      <c r="H1793" s="3">
        <v>6.6289999999999996</v>
      </c>
      <c r="I1793" s="13">
        <f t="shared" si="28"/>
        <v>2.2827981080408302</v>
      </c>
    </row>
    <row r="1794" spans="2:9">
      <c r="C1794" s="3">
        <v>2.5640000000000001</v>
      </c>
      <c r="D1794" s="21">
        <v>259.10000000000002</v>
      </c>
      <c r="E1794" s="3">
        <v>92.03</v>
      </c>
      <c r="F1794" s="3">
        <v>40.65</v>
      </c>
      <c r="G1794" s="3">
        <v>661.9</v>
      </c>
      <c r="H1794" s="3">
        <v>6.6379999999999999</v>
      </c>
      <c r="I1794" s="13">
        <f t="shared" si="28"/>
        <v>2.2639606396063998</v>
      </c>
    </row>
    <row r="1795" spans="2:9">
      <c r="C1795" s="3">
        <v>2.645</v>
      </c>
      <c r="D1795" s="21">
        <v>219.8</v>
      </c>
      <c r="E1795" s="3">
        <v>91.64</v>
      </c>
      <c r="F1795" s="3">
        <v>40.01</v>
      </c>
      <c r="G1795" s="3">
        <v>664.3</v>
      </c>
      <c r="H1795" s="3">
        <v>6.5170000000000003</v>
      </c>
      <c r="I1795" s="13">
        <f t="shared" ref="I1795:I1858" si="29">E1795/F1795</f>
        <v>2.2904273931517101</v>
      </c>
    </row>
    <row r="1796" spans="2:9">
      <c r="C1796" s="3">
        <v>2.726</v>
      </c>
      <c r="D1796" s="21">
        <v>190.4</v>
      </c>
      <c r="E1796" s="3">
        <v>92.15</v>
      </c>
      <c r="F1796" s="3">
        <v>40.020000000000003</v>
      </c>
      <c r="G1796" s="3">
        <v>656.9</v>
      </c>
      <c r="H1796" s="3">
        <v>6.5350000000000001</v>
      </c>
      <c r="I1796" s="13">
        <f t="shared" si="29"/>
        <v>2.3025987006496802</v>
      </c>
    </row>
    <row r="1797" spans="2:9">
      <c r="C1797" s="3">
        <v>2.8149999999999999</v>
      </c>
      <c r="D1797" s="21">
        <v>175.1</v>
      </c>
      <c r="E1797" s="3">
        <v>92.23</v>
      </c>
      <c r="F1797" s="3">
        <v>40.200000000000003</v>
      </c>
      <c r="G1797" s="3">
        <v>658.5</v>
      </c>
      <c r="H1797" s="3">
        <v>6.3869999999999996</v>
      </c>
      <c r="I1797" s="13">
        <f t="shared" si="29"/>
        <v>2.2942786069651699</v>
      </c>
    </row>
    <row r="1798" spans="2:9">
      <c r="C1798" s="3">
        <v>3.0880000000000001</v>
      </c>
      <c r="D1798" s="21">
        <v>194.8</v>
      </c>
      <c r="E1798" s="3">
        <v>92.04</v>
      </c>
      <c r="F1798" s="3">
        <v>40.19</v>
      </c>
      <c r="G1798" s="3">
        <v>660.6</v>
      </c>
      <c r="H1798" s="3">
        <v>6.2590000000000003</v>
      </c>
      <c r="I1798" s="13">
        <f t="shared" si="29"/>
        <v>2.2901219208758401</v>
      </c>
    </row>
    <row r="1799" spans="2:9">
      <c r="C1799" s="3">
        <v>3.1739999999999999</v>
      </c>
      <c r="D1799" s="21">
        <v>156</v>
      </c>
      <c r="E1799" s="3">
        <v>91.43</v>
      </c>
      <c r="F1799" s="3">
        <v>40.03</v>
      </c>
      <c r="G1799" s="3">
        <v>670</v>
      </c>
      <c r="H1799" s="3">
        <v>6.1630000000000003</v>
      </c>
      <c r="I1799" s="13">
        <f t="shared" si="29"/>
        <v>2.2840369722707998</v>
      </c>
    </row>
    <row r="1800" spans="2:9">
      <c r="C1800" s="3">
        <v>3.2429999999999999</v>
      </c>
      <c r="D1800" s="21">
        <v>190.5</v>
      </c>
      <c r="E1800" s="3">
        <v>91.22</v>
      </c>
      <c r="F1800" s="3">
        <v>39.869999999999997</v>
      </c>
      <c r="G1800" s="3">
        <v>655.4</v>
      </c>
      <c r="H1800" s="3">
        <v>6.335</v>
      </c>
      <c r="I1800" s="13">
        <f t="shared" si="29"/>
        <v>2.2879357913218001</v>
      </c>
    </row>
    <row r="1801" spans="2:9">
      <c r="C1801" s="3">
        <v>2.823</v>
      </c>
      <c r="D1801" s="21">
        <v>180.6</v>
      </c>
      <c r="E1801" s="3">
        <v>91.24</v>
      </c>
      <c r="F1801" s="3">
        <v>39.86</v>
      </c>
      <c r="G1801" s="3">
        <v>655.7</v>
      </c>
      <c r="H1801" s="3">
        <v>6.6470000000000002</v>
      </c>
      <c r="I1801" s="13">
        <f t="shared" si="29"/>
        <v>2.2890115403913698</v>
      </c>
    </row>
    <row r="1802" spans="2:9">
      <c r="B1802" s="16">
        <v>91</v>
      </c>
      <c r="C1802" s="16">
        <v>3.117</v>
      </c>
      <c r="D1802" s="29">
        <v>134.4</v>
      </c>
      <c r="E1802" s="16">
        <v>92.13</v>
      </c>
      <c r="F1802" s="16">
        <v>33.49</v>
      </c>
      <c r="G1802" s="16">
        <v>591.20000000000005</v>
      </c>
      <c r="H1802" s="16">
        <v>6.5359999999999996</v>
      </c>
      <c r="I1802" s="13">
        <f t="shared" si="29"/>
        <v>2.7509704389370002</v>
      </c>
    </row>
    <row r="1803" spans="2:9">
      <c r="C1803" s="3">
        <v>3.1949999999999998</v>
      </c>
      <c r="D1803" s="21">
        <v>126.1</v>
      </c>
      <c r="E1803" s="3">
        <v>92.5</v>
      </c>
      <c r="F1803" s="3">
        <v>34.020000000000003</v>
      </c>
      <c r="G1803" s="3">
        <v>590.9</v>
      </c>
      <c r="H1803" s="3">
        <v>6.4379999999999997</v>
      </c>
      <c r="I1803" s="13">
        <f t="shared" si="29"/>
        <v>2.7189888300999399</v>
      </c>
    </row>
    <row r="1804" spans="2:9">
      <c r="C1804" s="3">
        <v>3.1379999999999999</v>
      </c>
      <c r="D1804" s="21">
        <v>130.4</v>
      </c>
      <c r="E1804" s="3">
        <v>92.63</v>
      </c>
      <c r="F1804" s="3">
        <v>33.909999999999997</v>
      </c>
      <c r="G1804" s="3">
        <v>588.4</v>
      </c>
      <c r="H1804" s="3">
        <v>6.3890000000000002</v>
      </c>
      <c r="I1804" s="13">
        <f t="shared" si="29"/>
        <v>2.7316425833087599</v>
      </c>
    </row>
    <row r="1805" spans="2:9">
      <c r="C1805" s="3">
        <v>3.2120000000000002</v>
      </c>
      <c r="D1805" s="21">
        <v>130.30000000000001</v>
      </c>
      <c r="E1805" s="3">
        <v>92.65</v>
      </c>
      <c r="F1805" s="3">
        <v>33.51</v>
      </c>
      <c r="G1805" s="3">
        <v>591.6</v>
      </c>
      <c r="H1805" s="3">
        <v>6.3419999999999996</v>
      </c>
      <c r="I1805" s="13">
        <f t="shared" si="29"/>
        <v>2.76484631453298</v>
      </c>
    </row>
    <row r="1806" spans="2:9">
      <c r="C1806" s="3">
        <v>3.2839999999999998</v>
      </c>
      <c r="D1806" s="21">
        <v>145.4</v>
      </c>
      <c r="E1806" s="3">
        <v>92.63</v>
      </c>
      <c r="F1806" s="3">
        <v>33.950000000000003</v>
      </c>
      <c r="G1806" s="3">
        <v>592.1</v>
      </c>
      <c r="H1806" s="3">
        <v>6.5039999999999996</v>
      </c>
      <c r="I1806" s="13">
        <f t="shared" si="29"/>
        <v>2.72842415316642</v>
      </c>
    </row>
    <row r="1807" spans="2:9">
      <c r="C1807" s="3">
        <v>3.2869999999999999</v>
      </c>
      <c r="D1807" s="21">
        <v>130.30000000000001</v>
      </c>
      <c r="E1807" s="3">
        <v>92.36</v>
      </c>
      <c r="F1807" s="3">
        <v>34.090000000000003</v>
      </c>
      <c r="G1807" s="3">
        <v>593.1</v>
      </c>
      <c r="H1807" s="3">
        <v>6.3239999999999998</v>
      </c>
      <c r="I1807" s="13">
        <f t="shared" si="29"/>
        <v>2.7092989146377202</v>
      </c>
    </row>
    <row r="1808" spans="2:9">
      <c r="C1808" s="3">
        <v>3.24</v>
      </c>
      <c r="D1808" s="21">
        <v>131.19999999999999</v>
      </c>
      <c r="E1808" s="3">
        <v>92.64</v>
      </c>
      <c r="F1808" s="3">
        <v>33.619999999999997</v>
      </c>
      <c r="G1808" s="3">
        <v>595.6</v>
      </c>
      <c r="H1808" s="3">
        <v>6.2990000000000004</v>
      </c>
      <c r="I1808" s="13">
        <f t="shared" si="29"/>
        <v>2.75550267697799</v>
      </c>
    </row>
    <row r="1809" spans="2:9">
      <c r="C1809" s="3">
        <v>3.1909999999999998</v>
      </c>
      <c r="D1809" s="21">
        <v>123</v>
      </c>
      <c r="E1809" s="3">
        <v>92.8</v>
      </c>
      <c r="F1809" s="3">
        <v>33.51</v>
      </c>
      <c r="G1809" s="3">
        <v>591</v>
      </c>
      <c r="H1809" s="3">
        <v>7.0439999999999996</v>
      </c>
      <c r="I1809" s="13">
        <f t="shared" si="29"/>
        <v>2.7693225902715599</v>
      </c>
    </row>
    <row r="1810" spans="2:9">
      <c r="C1810" s="3">
        <v>3.0680000000000001</v>
      </c>
      <c r="D1810" s="21">
        <v>126</v>
      </c>
      <c r="E1810" s="3">
        <v>92.74</v>
      </c>
      <c r="F1810" s="3">
        <v>33.71</v>
      </c>
      <c r="G1810" s="3">
        <v>600.5</v>
      </c>
      <c r="H1810" s="3">
        <v>7.4610000000000003</v>
      </c>
      <c r="I1810" s="13">
        <f t="shared" si="29"/>
        <v>2.7511124295461298</v>
      </c>
    </row>
    <row r="1811" spans="2:9">
      <c r="C1811" s="3">
        <v>3.117</v>
      </c>
      <c r="D1811" s="21">
        <v>126.1</v>
      </c>
      <c r="E1811" s="3">
        <v>92.58</v>
      </c>
      <c r="F1811" s="3">
        <v>33.340000000000003</v>
      </c>
      <c r="G1811" s="3">
        <v>605.9</v>
      </c>
      <c r="H1811" s="3">
        <v>7.1219999999999999</v>
      </c>
      <c r="I1811" s="13">
        <f t="shared" si="29"/>
        <v>2.77684463107378</v>
      </c>
    </row>
    <row r="1812" spans="2:9">
      <c r="C1812" s="3">
        <v>3.0859999999999999</v>
      </c>
      <c r="D1812" s="21">
        <v>129.69999999999999</v>
      </c>
      <c r="E1812" s="3">
        <v>92.29</v>
      </c>
      <c r="F1812" s="3">
        <v>33.43</v>
      </c>
      <c r="G1812" s="3">
        <v>611.79999999999995</v>
      </c>
      <c r="H1812" s="3">
        <v>7.39</v>
      </c>
      <c r="I1812" s="13">
        <f t="shared" si="29"/>
        <v>2.7606939874364298</v>
      </c>
    </row>
    <row r="1813" spans="2:9">
      <c r="C1813" s="3">
        <v>3.1789999999999998</v>
      </c>
      <c r="D1813" s="21">
        <v>131.4</v>
      </c>
      <c r="E1813" s="3">
        <v>92.23</v>
      </c>
      <c r="F1813" s="3">
        <v>33.56</v>
      </c>
      <c r="G1813" s="3">
        <v>614.1</v>
      </c>
      <c r="H1813" s="3">
        <v>7.3780000000000001</v>
      </c>
      <c r="I1813" s="13">
        <f t="shared" si="29"/>
        <v>2.7482121573301499</v>
      </c>
    </row>
    <row r="1814" spans="2:9">
      <c r="C1814" s="3">
        <v>3.2130000000000001</v>
      </c>
      <c r="D1814" s="21">
        <v>131.1</v>
      </c>
      <c r="E1814" s="3">
        <v>92.49</v>
      </c>
      <c r="F1814" s="3">
        <v>33.43</v>
      </c>
      <c r="G1814" s="3">
        <v>605.9</v>
      </c>
      <c r="H1814" s="3">
        <v>6.94</v>
      </c>
      <c r="I1814" s="13">
        <f t="shared" si="29"/>
        <v>2.7666766377505199</v>
      </c>
    </row>
    <row r="1815" spans="2:9">
      <c r="C1815" s="3">
        <v>3.2629999999999999</v>
      </c>
      <c r="D1815" s="21">
        <v>130.30000000000001</v>
      </c>
      <c r="E1815" s="3">
        <v>92.77</v>
      </c>
      <c r="F1815" s="3">
        <v>32.840000000000003</v>
      </c>
      <c r="G1815" s="3">
        <v>602.29999999999995</v>
      </c>
      <c r="H1815" s="3">
        <v>7.3719999999999999</v>
      </c>
      <c r="I1815" s="13">
        <f t="shared" si="29"/>
        <v>2.8249086479902599</v>
      </c>
    </row>
    <row r="1816" spans="2:9">
      <c r="C1816" s="3">
        <v>3.3</v>
      </c>
      <c r="D1816" s="21">
        <v>130.4</v>
      </c>
      <c r="E1816" s="3">
        <v>92.96</v>
      </c>
      <c r="F1816" s="3">
        <v>32.97</v>
      </c>
      <c r="G1816" s="3">
        <v>600.5</v>
      </c>
      <c r="H1816" s="3">
        <v>7.3780000000000001</v>
      </c>
      <c r="I1816" s="13">
        <f t="shared" si="29"/>
        <v>2.8195329087048799</v>
      </c>
    </row>
    <row r="1817" spans="2:9">
      <c r="C1817" s="3">
        <v>3.3330000000000002</v>
      </c>
      <c r="D1817" s="21">
        <v>126</v>
      </c>
      <c r="E1817" s="3">
        <v>92.65</v>
      </c>
      <c r="F1817" s="3">
        <v>33</v>
      </c>
      <c r="G1817" s="3">
        <v>602.1</v>
      </c>
      <c r="H1817" s="3">
        <v>7.0049999999999999</v>
      </c>
      <c r="I1817" s="13">
        <f t="shared" si="29"/>
        <v>2.8075757575757598</v>
      </c>
    </row>
    <row r="1818" spans="2:9">
      <c r="C1818" s="3">
        <v>3.3279999999999998</v>
      </c>
      <c r="D1818" s="21">
        <v>125.8</v>
      </c>
      <c r="E1818" s="3">
        <v>92.88</v>
      </c>
      <c r="F1818" s="3">
        <v>33.119999999999997</v>
      </c>
      <c r="G1818" s="3">
        <v>605.5</v>
      </c>
      <c r="H1818" s="3">
        <v>7.0439999999999996</v>
      </c>
      <c r="I1818" s="13">
        <f t="shared" si="29"/>
        <v>2.8043478260869601</v>
      </c>
    </row>
    <row r="1819" spans="2:9">
      <c r="C1819" s="3">
        <v>3.319</v>
      </c>
      <c r="D1819" s="21">
        <v>130.4</v>
      </c>
      <c r="E1819" s="3">
        <v>92.76</v>
      </c>
      <c r="F1819" s="3">
        <v>33.03</v>
      </c>
      <c r="G1819" s="3">
        <v>601.29999999999995</v>
      </c>
      <c r="H1819" s="3">
        <v>7.1859999999999999</v>
      </c>
      <c r="I1819" s="13">
        <f t="shared" si="29"/>
        <v>2.80835603996367</v>
      </c>
    </row>
    <row r="1820" spans="2:9">
      <c r="C1820" s="3">
        <v>3.2709999999999999</v>
      </c>
      <c r="D1820" s="21">
        <v>137.69999999999999</v>
      </c>
      <c r="E1820" s="3">
        <v>92.53</v>
      </c>
      <c r="F1820" s="3">
        <v>33.119999999999997</v>
      </c>
      <c r="G1820" s="3">
        <v>595.9</v>
      </c>
      <c r="H1820" s="3">
        <v>7.53</v>
      </c>
      <c r="I1820" s="13">
        <f t="shared" si="29"/>
        <v>2.7937801932367199</v>
      </c>
    </row>
    <row r="1821" spans="2:9">
      <c r="C1821" s="3">
        <v>3.1230000000000002</v>
      </c>
      <c r="D1821" s="21">
        <v>135.6</v>
      </c>
      <c r="E1821" s="3">
        <v>92.25</v>
      </c>
      <c r="F1821" s="3">
        <v>32.92</v>
      </c>
      <c r="G1821" s="3">
        <v>593.1</v>
      </c>
      <c r="H1821" s="3">
        <v>7.4610000000000003</v>
      </c>
      <c r="I1821" s="13">
        <f t="shared" si="29"/>
        <v>2.8022478736330498</v>
      </c>
    </row>
    <row r="1822" spans="2:9">
      <c r="B1822" s="16">
        <v>92</v>
      </c>
      <c r="C1822" s="16">
        <v>2.5550000000000002</v>
      </c>
      <c r="D1822" s="29">
        <v>162.34</v>
      </c>
      <c r="E1822" s="16">
        <v>85.96</v>
      </c>
      <c r="F1822" s="16">
        <v>33.299999999999997</v>
      </c>
      <c r="G1822" s="16">
        <v>636.29999999999995</v>
      </c>
      <c r="H1822" s="16">
        <v>6.3970000000000002</v>
      </c>
      <c r="I1822" s="13">
        <f t="shared" si="29"/>
        <v>2.5813813813813802</v>
      </c>
    </row>
    <row r="1823" spans="2:9">
      <c r="C1823" s="3">
        <v>2.4820000000000002</v>
      </c>
      <c r="D1823" s="21">
        <v>176.01</v>
      </c>
      <c r="E1823" s="3">
        <v>86.12</v>
      </c>
      <c r="F1823" s="3">
        <v>33.54</v>
      </c>
      <c r="G1823" s="3">
        <v>640</v>
      </c>
      <c r="H1823" s="3">
        <v>6.66</v>
      </c>
      <c r="I1823" s="13">
        <f t="shared" si="29"/>
        <v>2.56768038163387</v>
      </c>
    </row>
    <row r="1824" spans="2:9">
      <c r="C1824" s="3">
        <v>2.4889999999999999</v>
      </c>
      <c r="D1824" s="21">
        <v>171.93</v>
      </c>
      <c r="E1824" s="3">
        <v>86.09</v>
      </c>
      <c r="F1824" s="3">
        <v>33.57</v>
      </c>
      <c r="G1824" s="3">
        <v>636.9</v>
      </c>
      <c r="H1824" s="3">
        <v>6.9160000000000004</v>
      </c>
      <c r="I1824" s="13">
        <f t="shared" si="29"/>
        <v>2.5644921060470698</v>
      </c>
    </row>
    <row r="1825" spans="3:9">
      <c r="C1825" s="3">
        <v>2.5459999999999998</v>
      </c>
      <c r="D1825" s="21">
        <v>180.51</v>
      </c>
      <c r="E1825" s="3">
        <v>86.37</v>
      </c>
      <c r="F1825" s="3">
        <v>33.53</v>
      </c>
      <c r="G1825" s="3">
        <v>638.79999999999995</v>
      </c>
      <c r="H1825" s="3">
        <v>6.9560000000000004</v>
      </c>
      <c r="I1825" s="13">
        <f t="shared" si="29"/>
        <v>2.5759021771547901</v>
      </c>
    </row>
    <row r="1826" spans="3:9">
      <c r="C1826" s="3">
        <v>2.5099999999999998</v>
      </c>
      <c r="D1826" s="21">
        <v>189.5</v>
      </c>
      <c r="E1826" s="3">
        <v>86.28</v>
      </c>
      <c r="F1826" s="3">
        <v>33.58</v>
      </c>
      <c r="G1826" s="3">
        <v>639.29999999999995</v>
      </c>
      <c r="H1826" s="3">
        <v>6.6420000000000003</v>
      </c>
      <c r="I1826" s="13">
        <f t="shared" si="29"/>
        <v>2.56938653960691</v>
      </c>
    </row>
    <row r="1827" spans="3:9">
      <c r="C1827" s="3">
        <v>2.4870000000000001</v>
      </c>
      <c r="D1827" s="21">
        <v>191.1</v>
      </c>
      <c r="E1827" s="3">
        <v>86.07</v>
      </c>
      <c r="F1827" s="3">
        <v>33.65</v>
      </c>
      <c r="G1827" s="3">
        <v>640.79999999999995</v>
      </c>
      <c r="H1827" s="3">
        <v>6.1539999999999999</v>
      </c>
      <c r="I1827" s="13">
        <f t="shared" si="29"/>
        <v>2.55780089153046</v>
      </c>
    </row>
    <row r="1828" spans="3:9">
      <c r="C1828" s="3">
        <v>2.5049999999999999</v>
      </c>
      <c r="D1828" s="21">
        <v>196.7</v>
      </c>
      <c r="E1828" s="3">
        <v>85.77</v>
      </c>
      <c r="F1828" s="3">
        <v>33.58</v>
      </c>
      <c r="G1828" s="3">
        <v>640.4</v>
      </c>
      <c r="H1828" s="3">
        <v>6.1539999999999999</v>
      </c>
      <c r="I1828" s="13">
        <f t="shared" si="29"/>
        <v>2.5541989279332902</v>
      </c>
    </row>
    <row r="1829" spans="3:9">
      <c r="C1829" s="3">
        <v>2.5110000000000001</v>
      </c>
      <c r="D1829" s="21">
        <v>182.42</v>
      </c>
      <c r="E1829" s="3">
        <v>85.93</v>
      </c>
      <c r="F1829" s="3">
        <v>33.950000000000003</v>
      </c>
      <c r="G1829" s="3">
        <v>642</v>
      </c>
      <c r="H1829" s="3">
        <v>6.7370000000000001</v>
      </c>
      <c r="I1829" s="13">
        <f t="shared" si="29"/>
        <v>2.5310751104565501</v>
      </c>
    </row>
    <row r="1830" spans="3:9">
      <c r="C1830" s="3">
        <v>2.5329999999999999</v>
      </c>
      <c r="D1830" s="21">
        <v>187.83</v>
      </c>
      <c r="E1830" s="3">
        <v>86.05</v>
      </c>
      <c r="F1830" s="3">
        <v>34</v>
      </c>
      <c r="G1830" s="3">
        <v>636.29999999999995</v>
      </c>
      <c r="H1830" s="3">
        <v>7.0369999999999999</v>
      </c>
      <c r="I1830" s="13">
        <f t="shared" si="29"/>
        <v>2.5308823529411799</v>
      </c>
    </row>
    <row r="1831" spans="3:9">
      <c r="C1831" s="3">
        <v>2.536</v>
      </c>
      <c r="D1831" s="21">
        <v>177.55</v>
      </c>
      <c r="E1831" s="3">
        <v>86.15</v>
      </c>
      <c r="F1831" s="3">
        <v>33.44</v>
      </c>
      <c r="G1831" s="3">
        <v>639.1</v>
      </c>
      <c r="H1831" s="3">
        <v>7.3029999999999999</v>
      </c>
      <c r="I1831" s="13">
        <f t="shared" si="29"/>
        <v>2.57625598086124</v>
      </c>
    </row>
    <row r="1832" spans="3:9">
      <c r="C1832" s="3">
        <v>5.2460000000000004</v>
      </c>
      <c r="D1832" s="21">
        <v>166.32</v>
      </c>
      <c r="E1832" s="3">
        <v>86.29</v>
      </c>
      <c r="F1832" s="3">
        <v>33.46</v>
      </c>
      <c r="G1832" s="3">
        <v>638.6</v>
      </c>
      <c r="H1832" s="3">
        <v>7.4880000000000004</v>
      </c>
      <c r="I1832" s="13">
        <f t="shared" si="29"/>
        <v>2.5789001793185902</v>
      </c>
    </row>
    <row r="1833" spans="3:9">
      <c r="C1833" s="3">
        <v>2.5430000000000001</v>
      </c>
      <c r="D1833" s="21">
        <v>163.91</v>
      </c>
      <c r="E1833" s="3">
        <v>86.04</v>
      </c>
      <c r="F1833" s="3">
        <v>33.479999999999997</v>
      </c>
      <c r="G1833" s="3">
        <v>641.4</v>
      </c>
      <c r="H1833" s="3">
        <v>7.492</v>
      </c>
      <c r="I1833" s="13">
        <f t="shared" si="29"/>
        <v>2.56989247311828</v>
      </c>
    </row>
    <row r="1834" spans="3:9">
      <c r="C1834" s="3">
        <v>2.5230000000000001</v>
      </c>
      <c r="D1834" s="21">
        <v>176.71</v>
      </c>
      <c r="E1834" s="3">
        <v>86.18</v>
      </c>
      <c r="F1834" s="3">
        <v>33.42</v>
      </c>
      <c r="G1834" s="3">
        <v>640</v>
      </c>
      <c r="H1834" s="3">
        <v>7.2229999999999999</v>
      </c>
      <c r="I1834" s="13">
        <f t="shared" si="29"/>
        <v>2.5786953919808502</v>
      </c>
    </row>
    <row r="1835" spans="3:9">
      <c r="C1835" s="3">
        <v>2.5259999999999998</v>
      </c>
      <c r="D1835" s="21">
        <v>180.51</v>
      </c>
      <c r="E1835" s="3">
        <v>86.03</v>
      </c>
      <c r="F1835" s="3">
        <v>34</v>
      </c>
      <c r="G1835" s="3">
        <v>638.79999999999995</v>
      </c>
      <c r="H1835" s="3">
        <v>6.7060000000000004</v>
      </c>
      <c r="I1835" s="13">
        <f t="shared" si="29"/>
        <v>2.5302941176470601</v>
      </c>
    </row>
    <row r="1836" spans="3:9">
      <c r="C1836" s="3">
        <v>2.516</v>
      </c>
      <c r="D1836" s="21">
        <v>185.59</v>
      </c>
      <c r="E1836" s="3">
        <v>86.01</v>
      </c>
      <c r="F1836" s="3">
        <v>33.74</v>
      </c>
      <c r="G1836" s="3">
        <v>640.79999999999995</v>
      </c>
      <c r="H1836" s="3">
        <v>6.4470000000000001</v>
      </c>
      <c r="I1836" s="13">
        <f t="shared" si="29"/>
        <v>2.5491997628927101</v>
      </c>
    </row>
    <row r="1837" spans="3:9">
      <c r="C1837" s="3">
        <v>2.5</v>
      </c>
      <c r="D1837" s="21">
        <v>186.9</v>
      </c>
      <c r="E1837" s="3">
        <v>86.23</v>
      </c>
      <c r="F1837" s="3">
        <v>33.31</v>
      </c>
      <c r="G1837" s="3">
        <v>640.9</v>
      </c>
      <c r="H1837" s="3">
        <v>6.2060000000000004</v>
      </c>
      <c r="I1837" s="13">
        <f t="shared" si="29"/>
        <v>2.58871209846893</v>
      </c>
    </row>
    <row r="1838" spans="3:9">
      <c r="C1838" s="3">
        <v>2.4710000000000001</v>
      </c>
      <c r="D1838" s="21">
        <v>195</v>
      </c>
      <c r="E1838" s="3">
        <v>86.12</v>
      </c>
      <c r="F1838" s="3">
        <v>33.47</v>
      </c>
      <c r="G1838" s="3">
        <v>641.4</v>
      </c>
      <c r="H1838" s="3">
        <v>6.4180000000000001</v>
      </c>
      <c r="I1838" s="13">
        <f t="shared" si="29"/>
        <v>2.5730504929787901</v>
      </c>
    </row>
    <row r="1839" spans="3:9">
      <c r="C1839" s="3">
        <v>2.3919999999999999</v>
      </c>
      <c r="D1839" s="21">
        <v>186.9</v>
      </c>
      <c r="E1839" s="3">
        <v>86</v>
      </c>
      <c r="F1839" s="3">
        <v>33.799999999999997</v>
      </c>
      <c r="G1839" s="3">
        <v>665.9</v>
      </c>
      <c r="H1839" s="3">
        <v>6.3970000000000002</v>
      </c>
      <c r="I1839" s="13">
        <f t="shared" si="29"/>
        <v>2.54437869822485</v>
      </c>
    </row>
    <row r="1840" spans="3:9">
      <c r="C1840" s="3">
        <v>2.4910000000000001</v>
      </c>
      <c r="D1840" s="21">
        <v>184.76</v>
      </c>
      <c r="E1840" s="3">
        <v>86.24</v>
      </c>
      <c r="F1840" s="3">
        <v>33.85</v>
      </c>
      <c r="G1840" s="3">
        <v>636.9</v>
      </c>
      <c r="H1840" s="3">
        <v>6.1539999999999999</v>
      </c>
      <c r="I1840" s="13">
        <f t="shared" si="29"/>
        <v>2.5477104874446099</v>
      </c>
    </row>
    <row r="1841" spans="2:9">
      <c r="C1841" s="3">
        <v>2.4820000000000002</v>
      </c>
      <c r="D1841" s="21">
        <v>180.79</v>
      </c>
      <c r="E1841" s="3">
        <v>86.21</v>
      </c>
      <c r="F1841" s="3">
        <v>34.229999999999997</v>
      </c>
      <c r="G1841" s="3">
        <v>640</v>
      </c>
      <c r="H1841" s="3">
        <v>6.4589999999999996</v>
      </c>
      <c r="I1841" s="13">
        <f t="shared" si="29"/>
        <v>2.5185509786736802</v>
      </c>
    </row>
    <row r="1842" spans="2:9">
      <c r="B1842" s="16">
        <v>93</v>
      </c>
      <c r="C1842" s="16">
        <v>2.359</v>
      </c>
      <c r="D1842" s="29">
        <v>322.3</v>
      </c>
      <c r="E1842" s="16">
        <v>90.13</v>
      </c>
      <c r="F1842" s="16">
        <v>28.12</v>
      </c>
      <c r="G1842" s="16">
        <v>519.4</v>
      </c>
      <c r="H1842" s="16">
        <v>6.742</v>
      </c>
      <c r="I1842" s="13">
        <f t="shared" si="29"/>
        <v>3.2051920341394</v>
      </c>
    </row>
    <row r="1843" spans="2:9">
      <c r="C1843" s="3">
        <v>2.3759999999999999</v>
      </c>
      <c r="D1843" s="21">
        <v>333.1</v>
      </c>
      <c r="E1843" s="3">
        <v>90.24</v>
      </c>
      <c r="F1843" s="3">
        <v>28.42</v>
      </c>
      <c r="G1843" s="3">
        <v>518.1</v>
      </c>
      <c r="H1843" s="3">
        <v>6.2370000000000001</v>
      </c>
      <c r="I1843" s="13">
        <f t="shared" si="29"/>
        <v>3.17522871217452</v>
      </c>
    </row>
    <row r="1844" spans="2:9">
      <c r="C1844" s="3">
        <v>2.262</v>
      </c>
      <c r="D1844" s="21">
        <v>274.10000000000002</v>
      </c>
      <c r="E1844" s="3">
        <v>90.36</v>
      </c>
      <c r="F1844" s="3">
        <v>28.21</v>
      </c>
      <c r="G1844" s="3">
        <v>515.6</v>
      </c>
      <c r="H1844" s="3">
        <v>5.8230000000000004</v>
      </c>
      <c r="I1844" s="13">
        <f t="shared" si="29"/>
        <v>3.2031194611839799</v>
      </c>
    </row>
    <row r="1845" spans="2:9">
      <c r="C1845" s="3">
        <v>2.2749999999999999</v>
      </c>
      <c r="D1845" s="21">
        <v>333.7</v>
      </c>
      <c r="E1845" s="3">
        <v>90.42</v>
      </c>
      <c r="F1845" s="3">
        <v>28.36</v>
      </c>
      <c r="G1845" s="3">
        <v>518.6</v>
      </c>
      <c r="H1845" s="3">
        <v>5.9649999999999999</v>
      </c>
      <c r="I1845" s="13">
        <f t="shared" si="29"/>
        <v>3.1882933709449901</v>
      </c>
    </row>
    <row r="1846" spans="2:9">
      <c r="C1846" s="3">
        <v>2.2759999999999998</v>
      </c>
      <c r="D1846" s="21">
        <v>250.8</v>
      </c>
      <c r="E1846" s="3">
        <v>90.27</v>
      </c>
      <c r="F1846" s="3">
        <v>28.01</v>
      </c>
      <c r="G1846" s="3">
        <v>518.29999999999995</v>
      </c>
      <c r="H1846" s="3">
        <v>6.1360000000000001</v>
      </c>
      <c r="I1846" s="13">
        <f t="shared" si="29"/>
        <v>3.2227775794359199</v>
      </c>
    </row>
    <row r="1847" spans="2:9">
      <c r="C1847" s="3">
        <v>2.2519999999999998</v>
      </c>
      <c r="D1847" s="21">
        <v>279.5</v>
      </c>
      <c r="E1847" s="3">
        <v>90.35</v>
      </c>
      <c r="F1847" s="3">
        <v>28.37</v>
      </c>
      <c r="G1847" s="3">
        <v>515.5</v>
      </c>
      <c r="H1847" s="3">
        <v>6.5940000000000003</v>
      </c>
      <c r="I1847" s="13">
        <f t="shared" si="29"/>
        <v>3.1847021501586199</v>
      </c>
    </row>
    <row r="1848" spans="2:9">
      <c r="C1848" s="3">
        <v>2.3380000000000001</v>
      </c>
      <c r="D1848" s="21">
        <v>243.3</v>
      </c>
      <c r="E1848" s="3">
        <v>90.44</v>
      </c>
      <c r="F1848" s="3">
        <v>28.36</v>
      </c>
      <c r="G1848" s="3">
        <v>514.4</v>
      </c>
      <c r="H1848" s="3">
        <v>6.9470000000000001</v>
      </c>
      <c r="I1848" s="13">
        <f t="shared" si="29"/>
        <v>3.1889985895627602</v>
      </c>
    </row>
    <row r="1849" spans="2:9">
      <c r="C1849" s="3">
        <v>2.3140000000000001</v>
      </c>
      <c r="D1849" s="21">
        <v>256.5</v>
      </c>
      <c r="E1849" s="3">
        <v>90.2</v>
      </c>
      <c r="F1849" s="3">
        <v>28.06</v>
      </c>
      <c r="G1849" s="3">
        <v>514.70000000000005</v>
      </c>
      <c r="H1849" s="3">
        <v>7.0069999999999997</v>
      </c>
      <c r="I1849" s="13">
        <f t="shared" si="29"/>
        <v>3.2145402708481798</v>
      </c>
    </row>
    <row r="1850" spans="2:9">
      <c r="C1850" s="3">
        <v>2.2789999999999999</v>
      </c>
      <c r="D1850" s="21">
        <v>254.6</v>
      </c>
      <c r="E1850" s="3">
        <v>90.59</v>
      </c>
      <c r="F1850" s="3">
        <v>28.01</v>
      </c>
      <c r="G1850" s="3">
        <v>516.9</v>
      </c>
      <c r="H1850" s="3">
        <v>6.2249999999999996</v>
      </c>
      <c r="I1850" s="13">
        <f t="shared" si="29"/>
        <v>3.2342020706890402</v>
      </c>
    </row>
    <row r="1851" spans="2:9">
      <c r="C1851" s="3">
        <v>2.2330000000000001</v>
      </c>
      <c r="D1851" s="21">
        <v>278.3</v>
      </c>
      <c r="E1851" s="3">
        <v>90.53</v>
      </c>
      <c r="F1851" s="3">
        <v>28.21</v>
      </c>
      <c r="G1851" s="3">
        <v>526.29999999999995</v>
      </c>
      <c r="H1851" s="3">
        <v>5.69</v>
      </c>
      <c r="I1851" s="13">
        <f t="shared" si="29"/>
        <v>3.20914569301666</v>
      </c>
    </row>
    <row r="1852" spans="2:9">
      <c r="C1852" s="3">
        <v>2.2010000000000001</v>
      </c>
      <c r="D1852" s="21">
        <v>269.60000000000002</v>
      </c>
      <c r="E1852" s="3">
        <v>90.38</v>
      </c>
      <c r="F1852" s="3">
        <v>28.42</v>
      </c>
      <c r="G1852" s="3">
        <v>525.1</v>
      </c>
      <c r="H1852" s="3">
        <v>6.008</v>
      </c>
      <c r="I1852" s="13">
        <f t="shared" si="29"/>
        <v>3.1801548205489101</v>
      </c>
    </row>
    <row r="1853" spans="2:9">
      <c r="C1853" s="3">
        <v>2.16</v>
      </c>
      <c r="D1853" s="21">
        <v>263.89999999999998</v>
      </c>
      <c r="E1853" s="3">
        <v>90.36</v>
      </c>
      <c r="F1853" s="3">
        <v>28.11</v>
      </c>
      <c r="G1853" s="3">
        <v>515.5</v>
      </c>
      <c r="H1853" s="3">
        <v>6.0979999999999999</v>
      </c>
      <c r="I1853" s="13">
        <f t="shared" si="29"/>
        <v>3.2145144076841001</v>
      </c>
    </row>
    <row r="1854" spans="2:9">
      <c r="C1854" s="3">
        <v>2.1419999999999999</v>
      </c>
      <c r="D1854" s="21">
        <v>252.8</v>
      </c>
      <c r="E1854" s="3">
        <v>90.66</v>
      </c>
      <c r="F1854" s="3">
        <v>28.09</v>
      </c>
      <c r="G1854" s="3">
        <v>523</v>
      </c>
      <c r="H1854" s="3">
        <v>5.6029999999999998</v>
      </c>
      <c r="I1854" s="13">
        <f t="shared" si="29"/>
        <v>3.2274830900676399</v>
      </c>
    </row>
    <row r="1855" spans="2:9">
      <c r="C1855" s="3">
        <v>2.0680000000000001</v>
      </c>
      <c r="D1855" s="21">
        <v>243.3</v>
      </c>
      <c r="E1855" s="3">
        <v>90.84</v>
      </c>
      <c r="F1855" s="3">
        <v>27.93</v>
      </c>
      <c r="G1855" s="3">
        <v>518.6</v>
      </c>
      <c r="H1855" s="3">
        <v>5.867</v>
      </c>
      <c r="I1855" s="13">
        <f t="shared" si="29"/>
        <v>3.2524167561761499</v>
      </c>
    </row>
    <row r="1856" spans="2:9">
      <c r="C1856" s="3">
        <v>2.133</v>
      </c>
      <c r="D1856" s="21">
        <v>267.2</v>
      </c>
      <c r="E1856" s="3">
        <v>90.79</v>
      </c>
      <c r="F1856" s="3">
        <v>27.67</v>
      </c>
      <c r="G1856" s="3">
        <v>519.4</v>
      </c>
      <c r="H1856" s="3">
        <v>6.0209999999999999</v>
      </c>
      <c r="I1856" s="13">
        <f t="shared" si="29"/>
        <v>3.2811709432598501</v>
      </c>
    </row>
    <row r="1857" spans="2:9">
      <c r="C1857" s="3">
        <v>2.1859999999999999</v>
      </c>
      <c r="D1857" s="21">
        <v>263.89999999999998</v>
      </c>
      <c r="E1857" s="3">
        <v>90.49</v>
      </c>
      <c r="F1857" s="3">
        <v>27.74</v>
      </c>
      <c r="G1857" s="3">
        <v>520</v>
      </c>
      <c r="H1857" s="3">
        <v>5.6890000000000001</v>
      </c>
      <c r="I1857" s="13">
        <f t="shared" si="29"/>
        <v>3.2620764239365498</v>
      </c>
    </row>
    <row r="1858" spans="2:9">
      <c r="C1858" s="3">
        <v>2.2869999999999999</v>
      </c>
      <c r="D1858" s="21">
        <v>243.3</v>
      </c>
      <c r="E1858" s="3">
        <v>90.34</v>
      </c>
      <c r="F1858" s="3">
        <v>28.09</v>
      </c>
      <c r="G1858" s="3">
        <v>519.70000000000005</v>
      </c>
      <c r="H1858" s="3">
        <v>6.3570000000000002</v>
      </c>
      <c r="I1858" s="13">
        <f t="shared" si="29"/>
        <v>3.2160911356354598</v>
      </c>
    </row>
    <row r="1859" spans="2:9">
      <c r="C1859" s="3">
        <v>2.3149999999999999</v>
      </c>
      <c r="D1859" s="21">
        <v>250.8</v>
      </c>
      <c r="E1859" s="3">
        <v>90.09</v>
      </c>
      <c r="F1859" s="3">
        <v>28.36</v>
      </c>
      <c r="G1859" s="3">
        <v>526.29999999999995</v>
      </c>
      <c r="H1859" s="3">
        <v>6.71</v>
      </c>
      <c r="I1859" s="13">
        <f t="shared" ref="I1859:I1922" si="30">E1859/F1859</f>
        <v>3.1766572637517601</v>
      </c>
    </row>
    <row r="1860" spans="2:9">
      <c r="C1860" s="3">
        <v>2.3580000000000001</v>
      </c>
      <c r="D1860" s="21">
        <v>263.89999999999998</v>
      </c>
      <c r="E1860" s="3">
        <v>90.21</v>
      </c>
      <c r="F1860" s="3">
        <v>28.56</v>
      </c>
      <c r="G1860" s="3">
        <v>515.9</v>
      </c>
      <c r="H1860" s="3">
        <v>7.0549999999999997</v>
      </c>
      <c r="I1860" s="13">
        <f t="shared" si="30"/>
        <v>3.1586134453781498</v>
      </c>
    </row>
    <row r="1861" spans="2:9">
      <c r="C1861" s="3">
        <v>2.3679999999999999</v>
      </c>
      <c r="D1861" s="21">
        <v>288.3</v>
      </c>
      <c r="E1861" s="3">
        <v>90.65</v>
      </c>
      <c r="F1861" s="3">
        <v>28.6</v>
      </c>
      <c r="G1861" s="3">
        <v>518.29999999999995</v>
      </c>
      <c r="H1861" s="3">
        <v>7.742</v>
      </c>
      <c r="I1861" s="13">
        <f t="shared" si="30"/>
        <v>3.16958041958042</v>
      </c>
    </row>
    <row r="1862" spans="2:9">
      <c r="B1862" s="16">
        <v>94</v>
      </c>
      <c r="C1862" s="16">
        <v>2.1970000000000001</v>
      </c>
      <c r="D1862" s="29">
        <v>167.6</v>
      </c>
      <c r="E1862" s="16">
        <v>113.7</v>
      </c>
      <c r="F1862" s="16">
        <v>34.19</v>
      </c>
      <c r="G1862" s="16">
        <v>618.29999999999995</v>
      </c>
      <c r="H1862" s="16">
        <v>13.69</v>
      </c>
      <c r="I1862" s="13">
        <f t="shared" si="30"/>
        <v>3.3255337818075499</v>
      </c>
    </row>
    <row r="1863" spans="2:9">
      <c r="C1863" s="3">
        <v>2.1859999999999999</v>
      </c>
      <c r="D1863" s="21">
        <v>160.80000000000001</v>
      </c>
      <c r="E1863" s="3">
        <v>113.9</v>
      </c>
      <c r="F1863" s="3">
        <v>34.78</v>
      </c>
      <c r="G1863" s="3">
        <v>619</v>
      </c>
      <c r="H1863" s="3">
        <v>14.13</v>
      </c>
      <c r="I1863" s="13">
        <f t="shared" si="30"/>
        <v>3.27487061529615</v>
      </c>
    </row>
    <row r="1864" spans="2:9">
      <c r="C1864" s="3">
        <v>2.181</v>
      </c>
      <c r="D1864" s="21">
        <v>175.8</v>
      </c>
      <c r="E1864" s="3">
        <v>113.6</v>
      </c>
      <c r="F1864" s="3">
        <v>34.479999999999997</v>
      </c>
      <c r="G1864" s="3">
        <v>620.70000000000005</v>
      </c>
      <c r="H1864" s="3">
        <v>14.54</v>
      </c>
      <c r="I1864" s="13">
        <f t="shared" si="30"/>
        <v>3.2946635730858498</v>
      </c>
    </row>
    <row r="1865" spans="2:9">
      <c r="C1865" s="3">
        <v>2.153</v>
      </c>
      <c r="D1865" s="21">
        <v>177.3</v>
      </c>
      <c r="E1865" s="3">
        <v>113.3</v>
      </c>
      <c r="F1865" s="3">
        <v>34.85</v>
      </c>
      <c r="G1865" s="3">
        <v>625.70000000000005</v>
      </c>
      <c r="H1865" s="3">
        <v>13.26</v>
      </c>
      <c r="I1865" s="13">
        <f t="shared" si="30"/>
        <v>3.2510760401721699</v>
      </c>
    </row>
    <row r="1866" spans="2:9">
      <c r="C1866" s="3">
        <v>2.1150000000000002</v>
      </c>
      <c r="D1866" s="21">
        <v>208</v>
      </c>
      <c r="E1866" s="3">
        <v>113</v>
      </c>
      <c r="F1866" s="3">
        <v>34.78</v>
      </c>
      <c r="G1866" s="3">
        <v>622.5</v>
      </c>
      <c r="H1866" s="3">
        <v>12.94</v>
      </c>
      <c r="I1866" s="13">
        <f t="shared" si="30"/>
        <v>3.2489936745255901</v>
      </c>
    </row>
    <row r="1867" spans="2:9">
      <c r="C1867" s="3">
        <v>2.1459999999999999</v>
      </c>
      <c r="D1867" s="21">
        <v>191.8</v>
      </c>
      <c r="E1867" s="3">
        <v>113.2</v>
      </c>
      <c r="F1867" s="3">
        <v>34.64</v>
      </c>
      <c r="G1867" s="3">
        <v>621.79999999999995</v>
      </c>
      <c r="H1867" s="3">
        <v>12.53</v>
      </c>
      <c r="I1867" s="13">
        <f t="shared" si="30"/>
        <v>3.2678983833718198</v>
      </c>
    </row>
    <row r="1868" spans="2:9">
      <c r="C1868" s="3">
        <v>2.1190000000000002</v>
      </c>
      <c r="D1868" s="21">
        <v>174.8</v>
      </c>
      <c r="E1868" s="3">
        <v>113.4</v>
      </c>
      <c r="F1868" s="3">
        <v>34.68</v>
      </c>
      <c r="G1868" s="3">
        <v>620.5</v>
      </c>
      <c r="H1868" s="3">
        <v>12.74</v>
      </c>
      <c r="I1868" s="13">
        <f t="shared" si="30"/>
        <v>3.26989619377163</v>
      </c>
    </row>
    <row r="1869" spans="2:9">
      <c r="C1869" s="3">
        <v>2.16</v>
      </c>
      <c r="D1869" s="21">
        <v>156.69999999999999</v>
      </c>
      <c r="E1869" s="3">
        <v>113.5</v>
      </c>
      <c r="F1869" s="3">
        <v>34.92</v>
      </c>
      <c r="G1869" s="3">
        <v>618.29999999999995</v>
      </c>
      <c r="H1869" s="3">
        <v>12.98</v>
      </c>
      <c r="I1869" s="13">
        <f t="shared" si="30"/>
        <v>3.2502863688430699</v>
      </c>
    </row>
    <row r="1870" spans="2:9">
      <c r="C1870" s="3">
        <v>2.1859999999999999</v>
      </c>
      <c r="D1870" s="21">
        <v>172.6</v>
      </c>
      <c r="E1870" s="3">
        <v>113.8</v>
      </c>
      <c r="F1870" s="3">
        <v>34.76</v>
      </c>
      <c r="G1870" s="3">
        <v>617.4</v>
      </c>
      <c r="H1870" s="3">
        <v>13.19</v>
      </c>
      <c r="I1870" s="13">
        <f t="shared" si="30"/>
        <v>3.2738780207134601</v>
      </c>
    </row>
    <row r="1871" spans="2:9">
      <c r="C1871" s="3">
        <v>2.2010000000000001</v>
      </c>
      <c r="D1871" s="21">
        <v>164.9</v>
      </c>
      <c r="E1871" s="3">
        <v>114.1</v>
      </c>
      <c r="F1871" s="3">
        <v>34.53</v>
      </c>
      <c r="G1871" s="3">
        <v>621.4</v>
      </c>
      <c r="H1871" s="3">
        <v>13.49</v>
      </c>
      <c r="I1871" s="13">
        <f t="shared" si="30"/>
        <v>3.3043730089776999</v>
      </c>
    </row>
    <row r="1872" spans="2:9">
      <c r="C1872" s="3">
        <v>2.1829999999999998</v>
      </c>
      <c r="D1872" s="21">
        <v>158.69999999999999</v>
      </c>
      <c r="E1872" s="3">
        <v>114.3</v>
      </c>
      <c r="F1872" s="3">
        <v>34.25</v>
      </c>
      <c r="G1872" s="3">
        <v>625.4</v>
      </c>
      <c r="H1872" s="3">
        <v>13.44</v>
      </c>
      <c r="I1872" s="13">
        <f t="shared" si="30"/>
        <v>3.3372262773722601</v>
      </c>
    </row>
    <row r="1873" spans="2:9">
      <c r="C1873" s="3">
        <v>2.1589999999999998</v>
      </c>
      <c r="D1873" s="21">
        <v>166.9</v>
      </c>
      <c r="E1873" s="3">
        <v>114.2</v>
      </c>
      <c r="F1873" s="3">
        <v>34.76</v>
      </c>
      <c r="G1873" s="3">
        <v>623.5</v>
      </c>
      <c r="H1873" s="3">
        <v>12.53</v>
      </c>
      <c r="I1873" s="13">
        <f t="shared" si="30"/>
        <v>3.2853855005753698</v>
      </c>
    </row>
    <row r="1874" spans="2:9">
      <c r="C1874" s="3">
        <v>2.149</v>
      </c>
      <c r="D1874" s="21">
        <v>177.3</v>
      </c>
      <c r="E1874" s="3">
        <v>113.8</v>
      </c>
      <c r="F1874" s="3">
        <v>34.36</v>
      </c>
      <c r="G1874" s="3">
        <v>623.20000000000005</v>
      </c>
      <c r="H1874" s="3">
        <v>11.11</v>
      </c>
      <c r="I1874" s="13">
        <f t="shared" si="30"/>
        <v>3.3119906868451698</v>
      </c>
    </row>
    <row r="1875" spans="2:9">
      <c r="C1875" s="3">
        <v>2.1160000000000001</v>
      </c>
      <c r="D1875" s="21">
        <v>188.7</v>
      </c>
      <c r="E1875" s="3">
        <v>113.6</v>
      </c>
      <c r="F1875" s="3">
        <v>34.11</v>
      </c>
      <c r="G1875" s="3">
        <v>628.29999999999995</v>
      </c>
      <c r="H1875" s="3">
        <v>10.75</v>
      </c>
      <c r="I1875" s="13">
        <f t="shared" si="30"/>
        <v>3.3304016417472901</v>
      </c>
    </row>
    <row r="1876" spans="2:9">
      <c r="C1876" s="3">
        <v>2.0920000000000001</v>
      </c>
      <c r="D1876" s="21">
        <v>185.2</v>
      </c>
      <c r="E1876" s="3">
        <v>113.8</v>
      </c>
      <c r="F1876" s="3">
        <v>34.65</v>
      </c>
      <c r="G1876" s="3">
        <v>625.70000000000005</v>
      </c>
      <c r="H1876" s="3">
        <v>11.56</v>
      </c>
      <c r="I1876" s="13">
        <f t="shared" si="30"/>
        <v>3.2842712842712798</v>
      </c>
    </row>
    <row r="1877" spans="2:9">
      <c r="C1877" s="3">
        <v>2.13</v>
      </c>
      <c r="D1877" s="21">
        <v>167.4</v>
      </c>
      <c r="E1877" s="3">
        <v>114</v>
      </c>
      <c r="F1877" s="3">
        <v>34.19</v>
      </c>
      <c r="G1877" s="3">
        <v>622.5</v>
      </c>
      <c r="H1877" s="3">
        <v>12.07</v>
      </c>
      <c r="I1877" s="13">
        <f t="shared" si="30"/>
        <v>3.3343082772740602</v>
      </c>
    </row>
    <row r="1878" spans="2:9">
      <c r="C1878" s="3">
        <v>2.1269999999999998</v>
      </c>
      <c r="D1878" s="21">
        <v>161.4</v>
      </c>
      <c r="E1878" s="3">
        <v>113.8</v>
      </c>
      <c r="F1878" s="3">
        <v>34.25</v>
      </c>
      <c r="G1878" s="3">
        <v>621.29999999999995</v>
      </c>
      <c r="H1878" s="3">
        <v>12.03</v>
      </c>
      <c r="I1878" s="13">
        <f t="shared" si="30"/>
        <v>3.3226277372262798</v>
      </c>
    </row>
    <row r="1879" spans="2:9">
      <c r="C1879" s="3">
        <v>2.1549999999999998</v>
      </c>
      <c r="D1879" s="21">
        <v>167.6</v>
      </c>
      <c r="E1879" s="3">
        <v>113.5</v>
      </c>
      <c r="F1879" s="3">
        <v>34.11</v>
      </c>
      <c r="G1879" s="3">
        <v>628.20000000000005</v>
      </c>
      <c r="H1879" s="3">
        <v>11.84</v>
      </c>
      <c r="I1879" s="13">
        <f t="shared" si="30"/>
        <v>3.3274699501612401</v>
      </c>
    </row>
    <row r="1880" spans="2:9">
      <c r="C1880" s="3">
        <v>2.1739999999999999</v>
      </c>
      <c r="D1880" s="21">
        <v>199.9</v>
      </c>
      <c r="E1880" s="3">
        <v>113.4</v>
      </c>
      <c r="F1880" s="3">
        <v>34.58</v>
      </c>
      <c r="G1880" s="3">
        <v>624</v>
      </c>
      <c r="H1880" s="3">
        <v>11.86</v>
      </c>
      <c r="I1880" s="13">
        <f t="shared" si="30"/>
        <v>3.2793522267206501</v>
      </c>
    </row>
    <row r="1881" spans="2:9">
      <c r="C1881" s="3">
        <v>2.1480000000000001</v>
      </c>
      <c r="D1881" s="21">
        <v>160.80000000000001</v>
      </c>
      <c r="E1881" s="3">
        <v>113</v>
      </c>
      <c r="F1881" s="3">
        <v>34.840000000000003</v>
      </c>
      <c r="G1881" s="3">
        <v>621.20000000000005</v>
      </c>
      <c r="H1881" s="3">
        <v>11.44</v>
      </c>
      <c r="I1881" s="13">
        <f t="shared" si="30"/>
        <v>3.2433983926521202</v>
      </c>
    </row>
    <row r="1882" spans="2:9">
      <c r="B1882" s="16">
        <v>95</v>
      </c>
      <c r="C1882" s="16">
        <v>2.931</v>
      </c>
      <c r="D1882" s="29">
        <v>226.5</v>
      </c>
      <c r="E1882" s="16">
        <v>85.07</v>
      </c>
      <c r="F1882" s="16">
        <v>36.92</v>
      </c>
      <c r="G1882" s="16">
        <v>617.5</v>
      </c>
      <c r="H1882" s="16">
        <v>6.5960000000000001</v>
      </c>
      <c r="I1882" s="13">
        <f t="shared" si="30"/>
        <v>2.30417118093174</v>
      </c>
    </row>
    <row r="1883" spans="2:9">
      <c r="C1883" s="3">
        <v>2.9039999999999999</v>
      </c>
      <c r="D1883" s="21">
        <v>232.4</v>
      </c>
      <c r="E1883" s="3">
        <v>85.23</v>
      </c>
      <c r="F1883" s="3">
        <v>36.78</v>
      </c>
      <c r="G1883" s="3">
        <v>618</v>
      </c>
      <c r="H1883" s="3">
        <v>7.7919999999999998</v>
      </c>
      <c r="I1883" s="13">
        <f t="shared" si="30"/>
        <v>2.3172920065252902</v>
      </c>
    </row>
    <row r="1884" spans="2:9">
      <c r="C1884" s="3">
        <v>2.9</v>
      </c>
      <c r="D1884" s="21">
        <v>195.9</v>
      </c>
      <c r="E1884" s="3">
        <v>85.2</v>
      </c>
      <c r="F1884" s="3">
        <v>35.99</v>
      </c>
      <c r="G1884" s="3">
        <v>620.9</v>
      </c>
      <c r="H1884" s="3">
        <v>6.5510000000000002</v>
      </c>
      <c r="I1884" s="13">
        <f t="shared" si="30"/>
        <v>2.3673242567379802</v>
      </c>
    </row>
    <row r="1885" spans="2:9">
      <c r="C1885" s="3">
        <v>2.883</v>
      </c>
      <c r="D1885" s="21">
        <v>202.4</v>
      </c>
      <c r="E1885" s="3">
        <v>85.11</v>
      </c>
      <c r="F1885" s="3">
        <v>36.450000000000003</v>
      </c>
      <c r="G1885" s="3">
        <v>623.5</v>
      </c>
      <c r="H1885" s="3">
        <v>5.9329999999999998</v>
      </c>
      <c r="I1885" s="13">
        <f t="shared" si="30"/>
        <v>2.3349794238683099</v>
      </c>
    </row>
    <row r="1886" spans="2:9">
      <c r="C1886" s="3">
        <v>2.839</v>
      </c>
      <c r="D1886" s="21">
        <v>241.2</v>
      </c>
      <c r="E1886" s="3">
        <v>85.08</v>
      </c>
      <c r="F1886" s="3">
        <v>36.47</v>
      </c>
      <c r="G1886" s="3">
        <v>623.4</v>
      </c>
      <c r="H1886" s="3">
        <v>7.0570000000000004</v>
      </c>
      <c r="I1886" s="13">
        <f t="shared" si="30"/>
        <v>2.3328763367151102</v>
      </c>
    </row>
    <row r="1887" spans="2:9">
      <c r="C1887" s="3">
        <v>2.8180000000000001</v>
      </c>
      <c r="D1887" s="21">
        <v>238.7</v>
      </c>
      <c r="E1887" s="3">
        <v>85.35</v>
      </c>
      <c r="F1887" s="3">
        <v>36.479999999999997</v>
      </c>
      <c r="G1887" s="3">
        <v>620.6</v>
      </c>
      <c r="H1887" s="3">
        <v>6.31</v>
      </c>
      <c r="I1887" s="13">
        <f t="shared" si="30"/>
        <v>2.3396381578947398</v>
      </c>
    </row>
    <row r="1888" spans="2:9">
      <c r="C1888" s="3">
        <v>2.8359999999999999</v>
      </c>
      <c r="D1888" s="21">
        <v>226.5</v>
      </c>
      <c r="E1888" s="3">
        <v>85.54</v>
      </c>
      <c r="F1888" s="3">
        <v>36.630000000000003</v>
      </c>
      <c r="G1888" s="3">
        <v>621.4</v>
      </c>
      <c r="H1888" s="3">
        <v>7.7290000000000001</v>
      </c>
      <c r="I1888" s="13">
        <f t="shared" si="30"/>
        <v>2.3352443352443402</v>
      </c>
    </row>
    <row r="1889" spans="2:9">
      <c r="C1889" s="3">
        <v>2.8519999999999999</v>
      </c>
      <c r="D1889" s="21">
        <v>218.8</v>
      </c>
      <c r="E1889" s="3">
        <v>85.59</v>
      </c>
      <c r="F1889" s="3">
        <v>36.619999999999997</v>
      </c>
      <c r="G1889" s="3">
        <v>620.9</v>
      </c>
      <c r="H1889" s="3">
        <v>7.7320000000000002</v>
      </c>
      <c r="I1889" s="13">
        <f t="shared" si="30"/>
        <v>2.3372474057891899</v>
      </c>
    </row>
    <row r="1890" spans="2:9">
      <c r="C1890" s="3">
        <v>2.8620000000000001</v>
      </c>
      <c r="D1890" s="21">
        <v>211</v>
      </c>
      <c r="E1890" s="3">
        <v>85.65</v>
      </c>
      <c r="F1890" s="3">
        <v>36.78</v>
      </c>
      <c r="G1890" s="3">
        <v>621.20000000000005</v>
      </c>
      <c r="H1890" s="3">
        <v>7.4320000000000004</v>
      </c>
      <c r="I1890" s="13">
        <f t="shared" si="30"/>
        <v>2.3287112561174599</v>
      </c>
    </row>
    <row r="1891" spans="2:9">
      <c r="C1891" s="3">
        <v>2.77</v>
      </c>
      <c r="D1891" s="21">
        <v>204.1</v>
      </c>
      <c r="E1891" s="3">
        <v>85.62</v>
      </c>
      <c r="F1891" s="3">
        <v>36.770000000000003</v>
      </c>
      <c r="G1891" s="3">
        <v>618.70000000000005</v>
      </c>
      <c r="H1891" s="3">
        <v>7.0519999999999996</v>
      </c>
      <c r="I1891" s="13">
        <f t="shared" si="30"/>
        <v>2.3285286918683701</v>
      </c>
    </row>
    <row r="1892" spans="2:9">
      <c r="C1892" s="3">
        <v>2.7650000000000001</v>
      </c>
      <c r="D1892" s="21">
        <v>204.9</v>
      </c>
      <c r="E1892" s="3">
        <v>85.54</v>
      </c>
      <c r="F1892" s="3">
        <v>36.78</v>
      </c>
      <c r="G1892" s="3">
        <v>622.20000000000005</v>
      </c>
      <c r="H1892" s="3">
        <v>6.0789999999999997</v>
      </c>
      <c r="I1892" s="13">
        <f t="shared" si="30"/>
        <v>2.3257205002718901</v>
      </c>
    </row>
    <row r="1893" spans="2:9">
      <c r="C1893" s="3">
        <v>2.9119999999999999</v>
      </c>
      <c r="D1893" s="21">
        <v>210.2</v>
      </c>
      <c r="E1893" s="3">
        <v>85.3</v>
      </c>
      <c r="F1893" s="3">
        <v>36.47</v>
      </c>
      <c r="G1893" s="3">
        <v>621</v>
      </c>
      <c r="H1893" s="3">
        <v>6.99</v>
      </c>
      <c r="I1893" s="13">
        <f t="shared" si="30"/>
        <v>2.3389086920756799</v>
      </c>
    </row>
    <row r="1894" spans="2:9">
      <c r="C1894" s="3">
        <v>2.91</v>
      </c>
      <c r="D1894" s="21">
        <v>189.1</v>
      </c>
      <c r="E1894" s="3">
        <v>85.41</v>
      </c>
      <c r="F1894" s="3">
        <v>36.450000000000003</v>
      </c>
      <c r="G1894" s="3">
        <v>625</v>
      </c>
      <c r="H1894" s="3">
        <v>6.4210000000000003</v>
      </c>
      <c r="I1894" s="13">
        <f t="shared" si="30"/>
        <v>2.3432098765432099</v>
      </c>
    </row>
    <row r="1895" spans="2:9">
      <c r="C1895" s="3">
        <v>2.944</v>
      </c>
      <c r="D1895" s="21">
        <v>191.2</v>
      </c>
      <c r="E1895" s="3">
        <v>85.49</v>
      </c>
      <c r="F1895" s="3">
        <v>36.44</v>
      </c>
      <c r="G1895" s="3">
        <v>621.29999999999995</v>
      </c>
      <c r="H1895" s="3">
        <v>6.4939999999999998</v>
      </c>
      <c r="I1895" s="13">
        <f t="shared" si="30"/>
        <v>2.3460482985729998</v>
      </c>
    </row>
    <row r="1896" spans="2:9">
      <c r="C1896" s="3">
        <v>2.968</v>
      </c>
      <c r="D1896" s="21">
        <v>194.3</v>
      </c>
      <c r="E1896" s="3">
        <v>85.44</v>
      </c>
      <c r="F1896" s="3">
        <v>36.770000000000003</v>
      </c>
      <c r="G1896" s="3">
        <v>627.70000000000005</v>
      </c>
      <c r="H1896" s="3">
        <v>7.0650000000000004</v>
      </c>
      <c r="I1896" s="13">
        <f t="shared" si="30"/>
        <v>2.3236333967908598</v>
      </c>
    </row>
    <row r="1897" spans="2:9">
      <c r="C1897" s="3">
        <v>2.9529999999999998</v>
      </c>
      <c r="D1897" s="21">
        <v>195.9</v>
      </c>
      <c r="E1897" s="3">
        <v>85.39</v>
      </c>
      <c r="F1897" s="3">
        <v>36.46</v>
      </c>
      <c r="G1897" s="3">
        <v>632.1</v>
      </c>
      <c r="H1897" s="3">
        <v>7.1589999999999998</v>
      </c>
      <c r="I1897" s="13">
        <f t="shared" si="30"/>
        <v>2.3420186505759699</v>
      </c>
    </row>
    <row r="1898" spans="2:9">
      <c r="C1898" s="3">
        <v>2.9460000000000002</v>
      </c>
      <c r="D1898" s="21">
        <v>238.7</v>
      </c>
      <c r="E1898" s="3">
        <v>85.49</v>
      </c>
      <c r="F1898" s="3">
        <v>36.36</v>
      </c>
      <c r="G1898" s="3">
        <v>624.1</v>
      </c>
      <c r="H1898" s="3">
        <v>6.9930000000000003</v>
      </c>
      <c r="I1898" s="13">
        <f t="shared" si="30"/>
        <v>2.3512101210120999</v>
      </c>
    </row>
    <row r="1899" spans="2:9">
      <c r="C1899" s="3">
        <v>2.9510000000000001</v>
      </c>
      <c r="D1899" s="21">
        <v>241.2</v>
      </c>
      <c r="E1899" s="3">
        <v>85.59</v>
      </c>
      <c r="F1899" s="3">
        <v>36.18</v>
      </c>
      <c r="G1899" s="3">
        <v>621.29999999999995</v>
      </c>
      <c r="H1899" s="3">
        <v>7.3319999999999999</v>
      </c>
      <c r="I1899" s="13">
        <f t="shared" si="30"/>
        <v>2.3656716417910402</v>
      </c>
    </row>
    <row r="1900" spans="2:9">
      <c r="C1900" s="3">
        <v>2.944</v>
      </c>
      <c r="D1900" s="21">
        <v>240.3</v>
      </c>
      <c r="E1900" s="3">
        <v>85.76</v>
      </c>
      <c r="F1900" s="3">
        <v>36.49</v>
      </c>
      <c r="G1900" s="3">
        <v>621.6</v>
      </c>
      <c r="H1900" s="3">
        <v>7.8209999999999997</v>
      </c>
      <c r="I1900" s="13">
        <f t="shared" si="30"/>
        <v>2.35023294053165</v>
      </c>
    </row>
    <row r="1901" spans="2:9">
      <c r="C1901" s="3">
        <v>2.964</v>
      </c>
      <c r="D1901" s="21">
        <v>200.5</v>
      </c>
      <c r="E1901" s="3">
        <v>85.92</v>
      </c>
      <c r="F1901" s="3">
        <v>36.93</v>
      </c>
      <c r="G1901" s="3">
        <v>622</v>
      </c>
      <c r="H1901" s="3">
        <v>8.1549999999999994</v>
      </c>
      <c r="I1901" s="13">
        <f t="shared" si="30"/>
        <v>2.3265637692932599</v>
      </c>
    </row>
    <row r="1902" spans="2:9">
      <c r="B1902" s="16">
        <v>96</v>
      </c>
      <c r="C1902" s="16">
        <v>2.1030000000000002</v>
      </c>
      <c r="D1902" s="29">
        <v>187.6</v>
      </c>
      <c r="E1902" s="16">
        <v>110.6</v>
      </c>
      <c r="F1902" s="16">
        <v>36.549999999999997</v>
      </c>
      <c r="G1902" s="16">
        <v>630.9</v>
      </c>
      <c r="H1902" s="16">
        <v>9.4420000000000002</v>
      </c>
      <c r="I1902" s="13">
        <f t="shared" si="30"/>
        <v>3.02599179206566</v>
      </c>
    </row>
    <row r="1903" spans="2:9">
      <c r="C1903" s="3">
        <v>2.109</v>
      </c>
      <c r="D1903" s="21">
        <v>197.6</v>
      </c>
      <c r="E1903" s="3">
        <v>110.5</v>
      </c>
      <c r="F1903" s="3">
        <v>36.869999999999997</v>
      </c>
      <c r="G1903" s="3">
        <v>629.1</v>
      </c>
      <c r="H1903" s="3">
        <v>9.24</v>
      </c>
      <c r="I1903" s="13">
        <f t="shared" si="30"/>
        <v>2.99701654461622</v>
      </c>
    </row>
    <row r="1904" spans="2:9">
      <c r="C1904" s="3">
        <v>2.0680000000000001</v>
      </c>
      <c r="D1904" s="21">
        <v>195.9</v>
      </c>
      <c r="E1904" s="3">
        <v>110.3</v>
      </c>
      <c r="F1904" s="3">
        <v>36.35</v>
      </c>
      <c r="G1904" s="3">
        <v>631.1</v>
      </c>
      <c r="H1904" s="3">
        <v>8.9149999999999991</v>
      </c>
      <c r="I1904" s="13">
        <f t="shared" si="30"/>
        <v>3.0343878954607999</v>
      </c>
    </row>
    <row r="1905" spans="3:9">
      <c r="C1905" s="3">
        <v>1.982</v>
      </c>
      <c r="D1905" s="21">
        <v>193.3</v>
      </c>
      <c r="E1905" s="3">
        <v>110.4</v>
      </c>
      <c r="F1905" s="3">
        <v>36.380000000000003</v>
      </c>
      <c r="G1905" s="3">
        <v>632.1</v>
      </c>
      <c r="H1905" s="3">
        <v>8.6959999999999997</v>
      </c>
      <c r="I1905" s="13">
        <f t="shared" si="30"/>
        <v>3.0346344145134698</v>
      </c>
    </row>
    <row r="1906" spans="3:9">
      <c r="C1906" s="3">
        <v>2.1110000000000002</v>
      </c>
      <c r="D1906" s="21">
        <v>199.6</v>
      </c>
      <c r="E1906" s="3">
        <v>109.9</v>
      </c>
      <c r="F1906" s="3">
        <v>36.24</v>
      </c>
      <c r="G1906" s="3">
        <v>630.6</v>
      </c>
      <c r="H1906" s="3">
        <v>8.3569999999999993</v>
      </c>
      <c r="I1906" s="13">
        <f t="shared" si="30"/>
        <v>3.0325607064017701</v>
      </c>
    </row>
    <row r="1907" spans="3:9">
      <c r="C1907" s="3">
        <v>2.1339999999999999</v>
      </c>
      <c r="D1907" s="21">
        <v>188.6</v>
      </c>
      <c r="E1907" s="3">
        <v>110</v>
      </c>
      <c r="F1907" s="3">
        <v>36.22</v>
      </c>
      <c r="G1907" s="3">
        <v>630.6</v>
      </c>
      <c r="H1907" s="3">
        <v>8.4190000000000005</v>
      </c>
      <c r="I1907" s="13">
        <f t="shared" si="30"/>
        <v>3.0369961347321901</v>
      </c>
    </row>
    <row r="1908" spans="3:9">
      <c r="C1908" s="3">
        <v>2.161</v>
      </c>
      <c r="D1908" s="21">
        <v>175</v>
      </c>
      <c r="E1908" s="3">
        <v>111</v>
      </c>
      <c r="F1908" s="3">
        <v>36.21</v>
      </c>
      <c r="G1908" s="3">
        <v>629.6</v>
      </c>
      <c r="H1908" s="3">
        <v>8.6</v>
      </c>
      <c r="I1908" s="13">
        <f t="shared" si="30"/>
        <v>3.0654515327257701</v>
      </c>
    </row>
    <row r="1909" spans="3:9">
      <c r="C1909" s="3">
        <v>2.1709999999999998</v>
      </c>
      <c r="D1909" s="21">
        <v>182.8</v>
      </c>
      <c r="E1909" s="3">
        <v>110.4</v>
      </c>
      <c r="F1909" s="3">
        <v>36.07</v>
      </c>
      <c r="G1909" s="3">
        <v>628.6</v>
      </c>
      <c r="H1909" s="3">
        <v>8.9149999999999991</v>
      </c>
      <c r="I1909" s="13">
        <f t="shared" si="30"/>
        <v>3.0607152758525098</v>
      </c>
    </row>
    <row r="1910" spans="3:9">
      <c r="C1910" s="3">
        <v>2.1440000000000001</v>
      </c>
      <c r="D1910" s="21">
        <v>201.2</v>
      </c>
      <c r="E1910" s="3">
        <v>110.7</v>
      </c>
      <c r="F1910" s="3">
        <v>35.9</v>
      </c>
      <c r="G1910" s="3">
        <v>631.1</v>
      </c>
      <c r="H1910" s="3">
        <v>9.24</v>
      </c>
      <c r="I1910" s="13">
        <f t="shared" si="30"/>
        <v>3.0835654596100301</v>
      </c>
    </row>
    <row r="1911" spans="3:9">
      <c r="C1911" s="3">
        <v>2.0409999999999999</v>
      </c>
      <c r="D1911" s="21">
        <v>182.8</v>
      </c>
      <c r="E1911" s="3">
        <v>110.3</v>
      </c>
      <c r="F1911" s="3">
        <v>36.549999999999997</v>
      </c>
      <c r="G1911" s="3">
        <v>633.5</v>
      </c>
      <c r="H1911" s="3">
        <v>9.4420000000000002</v>
      </c>
      <c r="I1911" s="13">
        <f t="shared" si="30"/>
        <v>3.0177838577291398</v>
      </c>
    </row>
    <row r="1912" spans="3:9">
      <c r="C1912" s="3">
        <v>2.0070000000000001</v>
      </c>
      <c r="D1912" s="21">
        <v>168.6</v>
      </c>
      <c r="E1912" s="3">
        <v>110.6</v>
      </c>
      <c r="F1912" s="3">
        <v>36.380000000000003</v>
      </c>
      <c r="G1912" s="3">
        <v>628.6</v>
      </c>
      <c r="H1912" s="3">
        <v>8.5820000000000007</v>
      </c>
      <c r="I1912" s="13">
        <f t="shared" si="30"/>
        <v>3.0401319406267202</v>
      </c>
    </row>
    <row r="1913" spans="3:9">
      <c r="C1913" s="3">
        <v>2.04</v>
      </c>
      <c r="D1913" s="21">
        <v>178.4</v>
      </c>
      <c r="E1913" s="3">
        <v>110.5</v>
      </c>
      <c r="F1913" s="3">
        <v>36.53</v>
      </c>
      <c r="G1913" s="3">
        <v>629.9</v>
      </c>
      <c r="H1913" s="3">
        <v>10.356999999999999</v>
      </c>
      <c r="I1913" s="13">
        <f t="shared" si="30"/>
        <v>3.02491103202847</v>
      </c>
    </row>
    <row r="1914" spans="3:9">
      <c r="C1914" s="3">
        <v>2.1440000000000001</v>
      </c>
      <c r="D1914" s="21">
        <v>175</v>
      </c>
      <c r="E1914" s="3">
        <v>110.6</v>
      </c>
      <c r="F1914" s="3">
        <v>36.520000000000003</v>
      </c>
      <c r="G1914" s="3">
        <v>630.70000000000005</v>
      </c>
      <c r="H1914" s="3">
        <v>9.5079999999999991</v>
      </c>
      <c r="I1914" s="13">
        <f t="shared" si="30"/>
        <v>3.0284775465498401</v>
      </c>
    </row>
    <row r="1915" spans="3:9">
      <c r="C1915" s="3">
        <v>2.169</v>
      </c>
      <c r="D1915" s="21">
        <v>180.2</v>
      </c>
      <c r="E1915" s="3">
        <v>110.9</v>
      </c>
      <c r="F1915" s="3">
        <v>36.700000000000003</v>
      </c>
      <c r="G1915" s="3">
        <v>631</v>
      </c>
      <c r="H1915" s="3">
        <v>10.083</v>
      </c>
      <c r="I1915" s="13">
        <f t="shared" si="30"/>
        <v>3.0217983651226201</v>
      </c>
    </row>
    <row r="1916" spans="3:9">
      <c r="C1916" s="3">
        <v>2.1669999999999998</v>
      </c>
      <c r="D1916" s="21">
        <v>186.6</v>
      </c>
      <c r="E1916" s="3">
        <v>111.1</v>
      </c>
      <c r="F1916" s="3">
        <v>36.229999999999997</v>
      </c>
      <c r="G1916" s="3">
        <v>631.79999999999995</v>
      </c>
      <c r="H1916" s="3">
        <v>10.233000000000001</v>
      </c>
      <c r="I1916" s="13">
        <f t="shared" si="30"/>
        <v>3.0665194590118698</v>
      </c>
    </row>
    <row r="1917" spans="3:9">
      <c r="C1917" s="3">
        <v>2.0680000000000001</v>
      </c>
      <c r="D1917" s="21">
        <v>200.7</v>
      </c>
      <c r="E1917" s="3">
        <v>110</v>
      </c>
      <c r="F1917" s="3">
        <v>36.25</v>
      </c>
      <c r="G1917" s="3">
        <v>630.9</v>
      </c>
      <c r="H1917" s="3">
        <v>8.6639999999999997</v>
      </c>
      <c r="I1917" s="13">
        <f t="shared" si="30"/>
        <v>3.0344827586206899</v>
      </c>
    </row>
    <row r="1918" spans="3:9">
      <c r="C1918" s="3">
        <v>2.097</v>
      </c>
      <c r="D1918" s="21">
        <v>201.2</v>
      </c>
      <c r="E1918" s="3">
        <v>110.9</v>
      </c>
      <c r="F1918" s="3">
        <v>36.39</v>
      </c>
      <c r="G1918" s="3">
        <v>629.1</v>
      </c>
      <c r="H1918" s="3">
        <v>9.26</v>
      </c>
      <c r="I1918" s="13">
        <f t="shared" si="30"/>
        <v>3.0475405331134899</v>
      </c>
    </row>
    <row r="1919" spans="3:9">
      <c r="C1919" s="3">
        <v>2.109</v>
      </c>
      <c r="D1919" s="21">
        <v>202.8</v>
      </c>
      <c r="E1919" s="3">
        <v>110.8</v>
      </c>
      <c r="F1919" s="3">
        <v>36.85</v>
      </c>
      <c r="G1919" s="3">
        <v>631.4</v>
      </c>
      <c r="H1919" s="3">
        <v>9.8019999999999996</v>
      </c>
      <c r="I1919" s="13">
        <f t="shared" si="30"/>
        <v>3.0067842605155999</v>
      </c>
    </row>
    <row r="1920" spans="3:9">
      <c r="C1920" s="3">
        <v>2.1970000000000001</v>
      </c>
      <c r="D1920" s="21">
        <v>195.9</v>
      </c>
      <c r="E1920" s="3">
        <v>110.7</v>
      </c>
      <c r="F1920" s="3">
        <v>36.69</v>
      </c>
      <c r="G1920" s="3">
        <v>632.1</v>
      </c>
      <c r="H1920" s="3">
        <v>9.9440000000000008</v>
      </c>
      <c r="I1920" s="13">
        <f t="shared" si="30"/>
        <v>3.0171708912510198</v>
      </c>
    </row>
    <row r="1921" spans="2:9">
      <c r="C1921" s="3">
        <v>2.1230000000000002</v>
      </c>
      <c r="D1921" s="21">
        <v>197.6</v>
      </c>
      <c r="E1921" s="3">
        <v>111</v>
      </c>
      <c r="F1921" s="3">
        <v>36.380000000000003</v>
      </c>
      <c r="G1921" s="3">
        <v>628.29999999999995</v>
      </c>
      <c r="H1921" s="3">
        <v>9.3870000000000005</v>
      </c>
      <c r="I1921" s="13">
        <f t="shared" si="30"/>
        <v>3.0511269928532201</v>
      </c>
    </row>
    <row r="1922" spans="2:9">
      <c r="B1922" s="16">
        <v>97</v>
      </c>
      <c r="C1922" s="16">
        <v>2.4009999999999998</v>
      </c>
      <c r="D1922" s="29">
        <v>278.3</v>
      </c>
      <c r="E1922" s="16">
        <v>110.9</v>
      </c>
      <c r="F1922" s="16">
        <v>40.85</v>
      </c>
      <c r="G1922" s="16">
        <v>608.5</v>
      </c>
      <c r="H1922" s="16">
        <v>7.6689999999999996</v>
      </c>
      <c r="I1922" s="13">
        <f t="shared" si="30"/>
        <v>2.7148102815177499</v>
      </c>
    </row>
    <row r="1923" spans="2:9">
      <c r="C1923" s="3">
        <v>2.39</v>
      </c>
      <c r="D1923" s="21">
        <v>264.5</v>
      </c>
      <c r="E1923" s="3">
        <v>111.2</v>
      </c>
      <c r="F1923" s="3">
        <v>40.520000000000003</v>
      </c>
      <c r="G1923" s="3">
        <v>615.4</v>
      </c>
      <c r="H1923" s="3">
        <v>8.3379999999999992</v>
      </c>
      <c r="I1923" s="13">
        <f t="shared" ref="I1923:I1986" si="31">E1923/F1923</f>
        <v>2.7443237907206299</v>
      </c>
    </row>
    <row r="1924" spans="2:9">
      <c r="C1924" s="3">
        <v>2.4220000000000002</v>
      </c>
      <c r="D1924" s="21">
        <v>208.5</v>
      </c>
      <c r="E1924" s="3">
        <v>111.3</v>
      </c>
      <c r="F1924" s="3">
        <v>40.93</v>
      </c>
      <c r="G1924" s="3">
        <v>604</v>
      </c>
      <c r="H1924" s="3">
        <v>7.7949999999999999</v>
      </c>
      <c r="I1924" s="13">
        <f t="shared" si="31"/>
        <v>2.7192768140728099</v>
      </c>
    </row>
    <row r="1925" spans="2:9">
      <c r="C1925" s="3">
        <v>2.3839999999999999</v>
      </c>
      <c r="D1925" s="21">
        <v>184.6</v>
      </c>
      <c r="E1925" s="3">
        <v>110.7</v>
      </c>
      <c r="F1925" s="3">
        <v>40.75</v>
      </c>
      <c r="G1925" s="3">
        <v>601.9</v>
      </c>
      <c r="H1925" s="3">
        <v>7.532</v>
      </c>
      <c r="I1925" s="13">
        <f t="shared" si="31"/>
        <v>2.71656441717791</v>
      </c>
    </row>
    <row r="1926" spans="2:9">
      <c r="C1926" s="3">
        <v>2.39</v>
      </c>
      <c r="D1926" s="21">
        <v>198.4</v>
      </c>
      <c r="E1926" s="3">
        <v>111.2</v>
      </c>
      <c r="F1926" s="3">
        <v>40.409999999999997</v>
      </c>
      <c r="G1926" s="3">
        <v>603.79999999999995</v>
      </c>
      <c r="H1926" s="3">
        <v>8.9309999999999992</v>
      </c>
      <c r="I1926" s="13">
        <f t="shared" si="31"/>
        <v>2.7517941103687198</v>
      </c>
    </row>
    <row r="1927" spans="2:9">
      <c r="C1927" s="3">
        <v>2.3839999999999999</v>
      </c>
      <c r="D1927" s="21">
        <v>227.7</v>
      </c>
      <c r="E1927" s="3">
        <v>111.3</v>
      </c>
      <c r="F1927" s="3">
        <v>40.24</v>
      </c>
      <c r="G1927" s="3">
        <v>602.29999999999995</v>
      </c>
      <c r="H1927" s="3">
        <v>8.6340000000000003</v>
      </c>
      <c r="I1927" s="13">
        <f t="shared" si="31"/>
        <v>2.7659045725646099</v>
      </c>
    </row>
    <row r="1928" spans="2:9">
      <c r="C1928" s="3">
        <v>2.383</v>
      </c>
      <c r="D1928" s="21">
        <v>198.4</v>
      </c>
      <c r="E1928" s="3">
        <v>111</v>
      </c>
      <c r="F1928" s="3">
        <v>40.42</v>
      </c>
      <c r="G1928" s="3">
        <v>605.29999999999995</v>
      </c>
      <c r="H1928" s="3">
        <v>8.0050000000000008</v>
      </c>
      <c r="I1928" s="13">
        <f t="shared" si="31"/>
        <v>2.7461652647204402</v>
      </c>
    </row>
    <row r="1929" spans="2:9">
      <c r="C1929" s="3">
        <v>2.4079999999999999</v>
      </c>
      <c r="D1929" s="21">
        <v>184.6</v>
      </c>
      <c r="E1929" s="3">
        <v>110.6</v>
      </c>
      <c r="F1929" s="3">
        <v>40</v>
      </c>
      <c r="G1929" s="3">
        <v>604</v>
      </c>
      <c r="H1929" s="3">
        <v>8.4359999999999999</v>
      </c>
      <c r="I1929" s="13">
        <f t="shared" si="31"/>
        <v>2.7650000000000001</v>
      </c>
    </row>
    <row r="1930" spans="2:9">
      <c r="C1930" s="3">
        <v>2.4009999999999998</v>
      </c>
      <c r="D1930" s="21">
        <v>179.7</v>
      </c>
      <c r="E1930" s="3">
        <v>110.8</v>
      </c>
      <c r="F1930" s="3">
        <v>40.520000000000003</v>
      </c>
      <c r="G1930" s="3">
        <v>635.9</v>
      </c>
      <c r="H1930" s="3">
        <v>7.7489999999999997</v>
      </c>
      <c r="I1930" s="13">
        <f t="shared" si="31"/>
        <v>2.73445212240869</v>
      </c>
    </row>
    <row r="1931" spans="2:9">
      <c r="C1931" s="3">
        <v>2.37</v>
      </c>
      <c r="D1931" s="21">
        <v>181.7</v>
      </c>
      <c r="E1931" s="3">
        <v>111.2</v>
      </c>
      <c r="F1931" s="3">
        <v>40.35</v>
      </c>
      <c r="G1931" s="3">
        <v>613.5</v>
      </c>
      <c r="H1931" s="3">
        <v>7.7069999999999999</v>
      </c>
      <c r="I1931" s="13">
        <f t="shared" si="31"/>
        <v>2.7558859975216898</v>
      </c>
    </row>
    <row r="1932" spans="2:9">
      <c r="C1932" s="3">
        <v>2.3580000000000001</v>
      </c>
      <c r="D1932" s="21">
        <v>213.2</v>
      </c>
      <c r="E1932" s="3">
        <v>111.1</v>
      </c>
      <c r="F1932" s="3">
        <v>40.29</v>
      </c>
      <c r="G1932" s="3">
        <v>604</v>
      </c>
      <c r="H1932" s="3">
        <v>7.4260000000000002</v>
      </c>
      <c r="I1932" s="13">
        <f t="shared" si="31"/>
        <v>2.75750806651775</v>
      </c>
    </row>
    <row r="1933" spans="2:9">
      <c r="C1933" s="3">
        <v>2.3340000000000001</v>
      </c>
      <c r="D1933" s="21">
        <v>201.8</v>
      </c>
      <c r="E1933" s="3">
        <v>111.3</v>
      </c>
      <c r="F1933" s="3">
        <v>40.6</v>
      </c>
      <c r="G1933" s="3">
        <v>602.6</v>
      </c>
      <c r="H1933" s="3">
        <v>7.4530000000000003</v>
      </c>
      <c r="I1933" s="13">
        <f t="shared" si="31"/>
        <v>2.7413793103448301</v>
      </c>
    </row>
    <row r="1934" spans="2:9">
      <c r="C1934" s="3">
        <v>2.33</v>
      </c>
      <c r="D1934" s="21">
        <v>213.2</v>
      </c>
      <c r="E1934" s="3">
        <v>110.1</v>
      </c>
      <c r="F1934" s="3">
        <v>40.07</v>
      </c>
      <c r="G1934" s="3">
        <v>601.6</v>
      </c>
      <c r="H1934" s="3">
        <v>8.3539999999999992</v>
      </c>
      <c r="I1934" s="13">
        <f t="shared" si="31"/>
        <v>2.7476915398053401</v>
      </c>
    </row>
    <row r="1935" spans="2:9">
      <c r="C1935" s="3">
        <v>2.3340000000000001</v>
      </c>
      <c r="D1935" s="21">
        <v>231</v>
      </c>
      <c r="E1935" s="3">
        <v>110.2</v>
      </c>
      <c r="F1935" s="3">
        <v>40.11</v>
      </c>
      <c r="G1935" s="3">
        <v>602.5</v>
      </c>
      <c r="H1935" s="3">
        <v>8.8239999999999998</v>
      </c>
      <c r="I1935" s="13">
        <f t="shared" si="31"/>
        <v>2.7474445275492401</v>
      </c>
    </row>
    <row r="1936" spans="2:9">
      <c r="C1936" s="3">
        <v>2.2730000000000001</v>
      </c>
      <c r="D1936" s="21">
        <v>182.6</v>
      </c>
      <c r="E1936" s="3">
        <v>109.8</v>
      </c>
      <c r="F1936" s="3">
        <v>40.36</v>
      </c>
      <c r="G1936" s="3">
        <v>605.29999999999995</v>
      </c>
      <c r="H1936" s="3">
        <v>9.1430000000000007</v>
      </c>
      <c r="I1936" s="13">
        <f t="shared" si="31"/>
        <v>2.7205153617443001</v>
      </c>
    </row>
    <row r="1937" spans="2:9">
      <c r="C1937" s="3">
        <v>2.238</v>
      </c>
      <c r="D1937" s="21">
        <v>179.7</v>
      </c>
      <c r="E1937" s="3">
        <v>110.4</v>
      </c>
      <c r="F1937" s="3">
        <v>40.19</v>
      </c>
      <c r="G1937" s="3">
        <v>602.6</v>
      </c>
      <c r="H1937" s="3">
        <v>8.99</v>
      </c>
      <c r="I1937" s="13">
        <f t="shared" si="31"/>
        <v>2.7469519781040099</v>
      </c>
    </row>
    <row r="1938" spans="2:9">
      <c r="C1938" s="3">
        <v>2.2450000000000001</v>
      </c>
      <c r="D1938" s="21">
        <v>227.7</v>
      </c>
      <c r="E1938" s="3">
        <v>111.2</v>
      </c>
      <c r="F1938" s="3">
        <v>40.06</v>
      </c>
      <c r="G1938" s="3">
        <v>615.4</v>
      </c>
      <c r="H1938" s="3">
        <v>8.0050000000000008</v>
      </c>
      <c r="I1938" s="13">
        <f t="shared" si="31"/>
        <v>2.7758362456315502</v>
      </c>
    </row>
    <row r="1939" spans="2:9">
      <c r="C1939" s="3">
        <v>2.355</v>
      </c>
      <c r="D1939" s="21">
        <v>246.3</v>
      </c>
      <c r="E1939" s="3">
        <v>111.1</v>
      </c>
      <c r="F1939" s="3">
        <v>39.75</v>
      </c>
      <c r="G1939" s="3">
        <v>625.70000000000005</v>
      </c>
      <c r="H1939" s="3">
        <v>7.702</v>
      </c>
      <c r="I1939" s="13">
        <f t="shared" si="31"/>
        <v>2.7949685534591202</v>
      </c>
    </row>
    <row r="1940" spans="2:9">
      <c r="C1940" s="3">
        <v>2.3450000000000002</v>
      </c>
      <c r="D1940" s="21">
        <v>278</v>
      </c>
      <c r="E1940" s="3">
        <v>110.7</v>
      </c>
      <c r="F1940" s="3">
        <v>40.19</v>
      </c>
      <c r="G1940" s="3">
        <v>623.29999999999995</v>
      </c>
      <c r="H1940" s="3">
        <v>7.532</v>
      </c>
      <c r="I1940" s="13">
        <f t="shared" si="31"/>
        <v>2.7544165215227698</v>
      </c>
    </row>
    <row r="1941" spans="2:9">
      <c r="C1941" s="3">
        <v>2.3929999999999998</v>
      </c>
      <c r="D1941" s="21">
        <v>264.5</v>
      </c>
      <c r="E1941" s="3">
        <v>110.8</v>
      </c>
      <c r="F1941" s="3">
        <v>40.340000000000003</v>
      </c>
      <c r="G1941" s="3">
        <v>646.6</v>
      </c>
      <c r="H1941" s="3">
        <v>7.7489999999999997</v>
      </c>
      <c r="I1941" s="13">
        <f t="shared" si="31"/>
        <v>2.7466534457114502</v>
      </c>
    </row>
    <row r="1942" spans="2:9">
      <c r="B1942" s="16">
        <v>98</v>
      </c>
      <c r="C1942" s="16">
        <v>2.4169999999999998</v>
      </c>
      <c r="D1942" s="29">
        <v>169.7</v>
      </c>
      <c r="E1942" s="16">
        <v>102.6</v>
      </c>
      <c r="F1942" s="16">
        <v>38.67</v>
      </c>
      <c r="G1942" s="16">
        <v>667.6</v>
      </c>
      <c r="H1942" s="16">
        <v>6.7320000000000002</v>
      </c>
      <c r="I1942" s="13">
        <f t="shared" si="31"/>
        <v>2.6532195500387901</v>
      </c>
    </row>
    <row r="1943" spans="2:9">
      <c r="C1943" s="3">
        <v>2.508</v>
      </c>
      <c r="D1943" s="21">
        <v>158.05000000000001</v>
      </c>
      <c r="E1943" s="3">
        <v>102.7</v>
      </c>
      <c r="F1943" s="3">
        <v>38.549999999999997</v>
      </c>
      <c r="G1943" s="3">
        <v>665.1</v>
      </c>
      <c r="H1943" s="3">
        <v>6.9409999999999998</v>
      </c>
      <c r="I1943" s="13">
        <f t="shared" si="31"/>
        <v>2.6640726329442299</v>
      </c>
    </row>
    <row r="1944" spans="2:9">
      <c r="C1944" s="3">
        <v>2.4489999999999998</v>
      </c>
      <c r="D1944" s="21">
        <v>152.94</v>
      </c>
      <c r="E1944" s="3">
        <v>102.5</v>
      </c>
      <c r="F1944" s="3">
        <v>38.590000000000003</v>
      </c>
      <c r="G1944" s="3">
        <v>667.3</v>
      </c>
      <c r="H1944" s="3">
        <v>7.0940000000000003</v>
      </c>
      <c r="I1944" s="13">
        <f t="shared" si="31"/>
        <v>2.65612853070744</v>
      </c>
    </row>
    <row r="1945" spans="2:9">
      <c r="C1945" s="3">
        <v>2.4039999999999999</v>
      </c>
      <c r="D1945" s="21">
        <v>174.3</v>
      </c>
      <c r="E1945" s="3">
        <v>102.4</v>
      </c>
      <c r="F1945" s="3">
        <v>38.72</v>
      </c>
      <c r="G1945" s="3">
        <v>669.6</v>
      </c>
      <c r="H1945" s="3">
        <v>6.9640000000000004</v>
      </c>
      <c r="I1945" s="13">
        <f t="shared" si="31"/>
        <v>2.6446280991735498</v>
      </c>
    </row>
    <row r="1946" spans="2:9">
      <c r="C1946" s="3">
        <v>2.3620000000000001</v>
      </c>
      <c r="D1946" s="21">
        <v>159.30000000000001</v>
      </c>
      <c r="E1946" s="3">
        <v>101.9</v>
      </c>
      <c r="F1946" s="3">
        <v>38.47</v>
      </c>
      <c r="G1946" s="3">
        <v>667.5</v>
      </c>
      <c r="H1946" s="3">
        <v>7.2430000000000003</v>
      </c>
      <c r="I1946" s="13">
        <f t="shared" si="31"/>
        <v>2.64881726020276</v>
      </c>
    </row>
    <row r="1947" spans="2:9">
      <c r="C1947" s="3">
        <v>2.3130000000000002</v>
      </c>
      <c r="D1947" s="21">
        <v>180.2</v>
      </c>
      <c r="E1947" s="3">
        <v>102.2</v>
      </c>
      <c r="F1947" s="3">
        <v>38.340000000000003</v>
      </c>
      <c r="G1947" s="3">
        <v>670.6</v>
      </c>
      <c r="H1947" s="3">
        <v>7.258</v>
      </c>
      <c r="I1947" s="13">
        <f t="shared" si="31"/>
        <v>2.6656233698487202</v>
      </c>
    </row>
    <row r="1948" spans="2:9">
      <c r="C1948" s="3">
        <v>2.4039999999999999</v>
      </c>
      <c r="D1948" s="21">
        <v>155.04</v>
      </c>
      <c r="E1948" s="3">
        <v>102.5</v>
      </c>
      <c r="F1948" s="3">
        <v>38.299999999999997</v>
      </c>
      <c r="G1948" s="3">
        <v>668.6</v>
      </c>
      <c r="H1948" s="3">
        <v>6.9349999999999996</v>
      </c>
      <c r="I1948" s="13">
        <f t="shared" si="31"/>
        <v>2.6762402088772799</v>
      </c>
    </row>
    <row r="1949" spans="2:9">
      <c r="C1949" s="3">
        <v>2.4790000000000001</v>
      </c>
      <c r="D1949" s="21">
        <v>157.43</v>
      </c>
      <c r="E1949" s="3">
        <v>102.7</v>
      </c>
      <c r="F1949" s="3">
        <v>38.32</v>
      </c>
      <c r="G1949" s="3">
        <v>674.8</v>
      </c>
      <c r="H1949" s="3">
        <v>6.9539999999999997</v>
      </c>
      <c r="I1949" s="13">
        <f t="shared" si="31"/>
        <v>2.6800626304801698</v>
      </c>
    </row>
    <row r="1950" spans="2:9">
      <c r="C1950" s="3">
        <v>2.516</v>
      </c>
      <c r="D1950" s="21">
        <v>158.05000000000001</v>
      </c>
      <c r="E1950" s="3">
        <v>102.3</v>
      </c>
      <c r="F1950" s="3">
        <v>38.67</v>
      </c>
      <c r="G1950" s="3">
        <v>679</v>
      </c>
      <c r="H1950" s="3">
        <v>6.9550000000000001</v>
      </c>
      <c r="I1950" s="13">
        <f t="shared" si="31"/>
        <v>2.6454615981380898</v>
      </c>
    </row>
    <row r="1951" spans="2:9">
      <c r="C1951" s="3">
        <v>2.5030000000000001</v>
      </c>
      <c r="D1951" s="21">
        <v>175.4</v>
      </c>
      <c r="E1951" s="3">
        <v>102.7</v>
      </c>
      <c r="F1951" s="3">
        <v>38.49</v>
      </c>
      <c r="G1951" s="3">
        <v>670.6</v>
      </c>
      <c r="H1951" s="3">
        <v>7.2169999999999996</v>
      </c>
      <c r="I1951" s="13">
        <f t="shared" si="31"/>
        <v>2.6682255131202899</v>
      </c>
    </row>
    <row r="1952" spans="2:9">
      <c r="C1952" s="3">
        <v>2.4769999999999999</v>
      </c>
      <c r="D1952" s="21">
        <v>169.7</v>
      </c>
      <c r="E1952" s="3">
        <v>102.5</v>
      </c>
      <c r="F1952" s="3">
        <v>38.67</v>
      </c>
      <c r="G1952" s="3">
        <v>666.9</v>
      </c>
      <c r="H1952" s="3">
        <v>7.258</v>
      </c>
      <c r="I1952" s="13">
        <f t="shared" si="31"/>
        <v>2.6506335660718898</v>
      </c>
    </row>
    <row r="1953" spans="2:9">
      <c r="C1953" s="3">
        <v>2.4449999999999998</v>
      </c>
      <c r="D1953" s="21">
        <v>150.07</v>
      </c>
      <c r="E1953" s="3">
        <v>102.6</v>
      </c>
      <c r="F1953" s="3">
        <v>38.96</v>
      </c>
      <c r="G1953" s="3">
        <v>668.7</v>
      </c>
      <c r="H1953" s="3">
        <v>7.2910000000000004</v>
      </c>
      <c r="I1953" s="13">
        <f t="shared" si="31"/>
        <v>2.6334702258726899</v>
      </c>
    </row>
    <row r="1954" spans="2:9">
      <c r="C1954" s="3">
        <v>2.456</v>
      </c>
      <c r="D1954" s="21">
        <v>155.04</v>
      </c>
      <c r="E1954" s="3">
        <v>102.2</v>
      </c>
      <c r="F1954" s="3">
        <v>38.67</v>
      </c>
      <c r="G1954" s="3">
        <v>671.7</v>
      </c>
      <c r="H1954" s="3">
        <v>7.008</v>
      </c>
      <c r="I1954" s="13">
        <f t="shared" si="31"/>
        <v>2.64287561417119</v>
      </c>
    </row>
    <row r="1955" spans="2:9">
      <c r="C1955" s="3">
        <v>2.39</v>
      </c>
      <c r="D1955" s="21">
        <v>159.30000000000001</v>
      </c>
      <c r="E1955" s="3">
        <v>102.4</v>
      </c>
      <c r="F1955" s="3">
        <v>38.76</v>
      </c>
      <c r="G1955" s="3">
        <v>670.5</v>
      </c>
      <c r="H1955" s="3">
        <v>6.8479999999999999</v>
      </c>
      <c r="I1955" s="13">
        <f t="shared" si="31"/>
        <v>2.6418988648090802</v>
      </c>
    </row>
    <row r="1956" spans="2:9">
      <c r="C1956" s="3">
        <v>2.2959999999999998</v>
      </c>
      <c r="D1956" s="21">
        <v>162.69999999999999</v>
      </c>
      <c r="E1956" s="3">
        <v>102.3</v>
      </c>
      <c r="F1956" s="3">
        <v>38.54</v>
      </c>
      <c r="G1956" s="3">
        <v>669.3</v>
      </c>
      <c r="H1956" s="3">
        <v>6.9550000000000001</v>
      </c>
      <c r="I1956" s="13">
        <f t="shared" si="31"/>
        <v>2.6543850544888401</v>
      </c>
    </row>
    <row r="1957" spans="2:9">
      <c r="C1957" s="3">
        <v>2.226</v>
      </c>
      <c r="D1957" s="21">
        <v>145.88999999999999</v>
      </c>
      <c r="E1957" s="3">
        <v>102.6</v>
      </c>
      <c r="F1957" s="3">
        <v>38.700000000000003</v>
      </c>
      <c r="G1957" s="3">
        <v>668.3</v>
      </c>
      <c r="H1957" s="3">
        <v>6.9980000000000002</v>
      </c>
      <c r="I1957" s="13">
        <f t="shared" si="31"/>
        <v>2.6511627906976698</v>
      </c>
    </row>
    <row r="1958" spans="2:9">
      <c r="C1958" s="3">
        <v>2.4489999999999998</v>
      </c>
      <c r="D1958" s="21">
        <v>145.52000000000001</v>
      </c>
      <c r="E1958" s="3">
        <v>102.5</v>
      </c>
      <c r="F1958" s="3">
        <v>38.72</v>
      </c>
      <c r="G1958" s="3">
        <v>667.5</v>
      </c>
      <c r="H1958" s="3">
        <v>6.84</v>
      </c>
      <c r="I1958" s="13">
        <f t="shared" si="31"/>
        <v>2.6472107438016499</v>
      </c>
    </row>
    <row r="1959" spans="2:9">
      <c r="C1959" s="3">
        <v>2.4849999999999999</v>
      </c>
      <c r="D1959" s="21">
        <v>159.41999999999999</v>
      </c>
      <c r="E1959" s="3">
        <v>102.5</v>
      </c>
      <c r="F1959" s="3">
        <v>38.58</v>
      </c>
      <c r="G1959" s="3">
        <v>667.6</v>
      </c>
      <c r="H1959" s="3">
        <v>6.7850000000000001</v>
      </c>
      <c r="I1959" s="13">
        <f t="shared" si="31"/>
        <v>2.6568170036288201</v>
      </c>
    </row>
    <row r="1960" spans="2:9">
      <c r="C1960" s="3">
        <v>2.5110000000000001</v>
      </c>
      <c r="D1960" s="21">
        <v>177.1</v>
      </c>
      <c r="E1960" s="3">
        <v>102.7</v>
      </c>
      <c r="F1960" s="3">
        <v>38.44</v>
      </c>
      <c r="G1960" s="3">
        <v>680</v>
      </c>
      <c r="H1960" s="3">
        <v>6.9909999999999997</v>
      </c>
      <c r="I1960" s="13">
        <f t="shared" si="31"/>
        <v>2.67169614984391</v>
      </c>
    </row>
    <row r="1961" spans="2:9">
      <c r="C1961" s="3">
        <v>2.484</v>
      </c>
      <c r="D1961" s="21">
        <v>158.65</v>
      </c>
      <c r="E1961" s="3">
        <v>102</v>
      </c>
      <c r="F1961" s="3">
        <v>38.46</v>
      </c>
      <c r="G1961" s="3">
        <v>677.7</v>
      </c>
      <c r="H1961" s="3">
        <v>7.0119999999999996</v>
      </c>
      <c r="I1961" s="13">
        <f t="shared" si="31"/>
        <v>2.6521060842433699</v>
      </c>
    </row>
    <row r="1962" spans="2:9">
      <c r="B1962" s="16">
        <v>99</v>
      </c>
      <c r="C1962" s="16">
        <v>2.931</v>
      </c>
      <c r="D1962" s="29">
        <v>201.5</v>
      </c>
      <c r="E1962" s="16">
        <v>99.55</v>
      </c>
      <c r="F1962" s="16">
        <v>37.31</v>
      </c>
      <c r="G1962" s="16">
        <v>644.20000000000005</v>
      </c>
      <c r="H1962" s="16">
        <v>9.5050000000000008</v>
      </c>
      <c r="I1962" s="13">
        <f t="shared" si="31"/>
        <v>2.6681854730635202</v>
      </c>
    </row>
    <row r="1963" spans="2:9">
      <c r="C1963" s="3">
        <v>2.911</v>
      </c>
      <c r="D1963" s="21">
        <v>221.4</v>
      </c>
      <c r="E1963" s="3">
        <v>99.74</v>
      </c>
      <c r="F1963" s="3">
        <v>37.46</v>
      </c>
      <c r="G1963" s="3">
        <v>637.70000000000005</v>
      </c>
      <c r="H1963" s="3">
        <v>9.3610000000000007</v>
      </c>
      <c r="I1963" s="13">
        <f t="shared" si="31"/>
        <v>2.6625734116390798</v>
      </c>
    </row>
    <row r="1964" spans="2:9">
      <c r="C1964" s="3">
        <v>2.85</v>
      </c>
      <c r="D1964" s="21">
        <v>233.2</v>
      </c>
      <c r="E1964" s="3">
        <v>99.84</v>
      </c>
      <c r="F1964" s="3">
        <v>37.61</v>
      </c>
      <c r="G1964" s="3">
        <v>641.9</v>
      </c>
      <c r="H1964" s="3">
        <v>9.7520000000000007</v>
      </c>
      <c r="I1964" s="13">
        <f t="shared" si="31"/>
        <v>2.6546131348045701</v>
      </c>
    </row>
    <row r="1965" spans="2:9">
      <c r="C1965" s="3">
        <v>2.859</v>
      </c>
      <c r="D1965" s="21">
        <v>255.6</v>
      </c>
      <c r="E1965" s="3">
        <v>99.97</v>
      </c>
      <c r="F1965" s="3">
        <v>37.619999999999997</v>
      </c>
      <c r="G1965" s="3">
        <v>642</v>
      </c>
      <c r="H1965" s="3">
        <v>9.5050000000000008</v>
      </c>
      <c r="I1965" s="13">
        <f t="shared" si="31"/>
        <v>2.6573631047315298</v>
      </c>
    </row>
    <row r="1966" spans="2:9">
      <c r="C1966" s="3">
        <v>2.8290000000000002</v>
      </c>
      <c r="D1966" s="21">
        <v>224.1</v>
      </c>
      <c r="E1966" s="3">
        <v>100.1</v>
      </c>
      <c r="F1966" s="3">
        <v>37.770000000000003</v>
      </c>
      <c r="G1966" s="3">
        <v>632.9</v>
      </c>
      <c r="H1966" s="3">
        <v>9.48</v>
      </c>
      <c r="I1966" s="13">
        <f t="shared" si="31"/>
        <v>2.6502515223722498</v>
      </c>
    </row>
    <row r="1967" spans="2:9">
      <c r="C1967" s="3">
        <v>2.7709999999999999</v>
      </c>
      <c r="D1967" s="21">
        <v>201.5</v>
      </c>
      <c r="E1967" s="3">
        <v>100</v>
      </c>
      <c r="F1967" s="3">
        <v>37.619999999999997</v>
      </c>
      <c r="G1967" s="3">
        <v>631.1</v>
      </c>
      <c r="H1967" s="3">
        <v>9.2210000000000001</v>
      </c>
      <c r="I1967" s="13">
        <f t="shared" si="31"/>
        <v>2.6581605528973902</v>
      </c>
    </row>
    <row r="1968" spans="2:9">
      <c r="C1968" s="3">
        <v>2.88</v>
      </c>
      <c r="D1968" s="21">
        <v>184</v>
      </c>
      <c r="E1968" s="3">
        <v>100.2</v>
      </c>
      <c r="F1968" s="3">
        <v>37.46</v>
      </c>
      <c r="G1968" s="3">
        <v>637.9</v>
      </c>
      <c r="H1968" s="3">
        <v>9.1270000000000007</v>
      </c>
      <c r="I1968" s="13">
        <f t="shared" si="31"/>
        <v>2.67485317672184</v>
      </c>
    </row>
    <row r="1969" spans="2:9">
      <c r="C1969" s="3">
        <v>2.8439999999999999</v>
      </c>
      <c r="D1969" s="21">
        <v>171.3</v>
      </c>
      <c r="E1969" s="3">
        <v>99.85</v>
      </c>
      <c r="F1969" s="3">
        <v>37.31</v>
      </c>
      <c r="G1969" s="3">
        <v>640.6</v>
      </c>
      <c r="H1969" s="3">
        <v>8.9600000000000009</v>
      </c>
      <c r="I1969" s="13">
        <f t="shared" si="31"/>
        <v>2.6762262128115801</v>
      </c>
    </row>
    <row r="1970" spans="2:9">
      <c r="C1970" s="3">
        <v>2.9209999999999998</v>
      </c>
      <c r="D1970" s="21">
        <v>191.4</v>
      </c>
      <c r="E1970" s="3">
        <v>100</v>
      </c>
      <c r="F1970" s="3">
        <v>37.619999999999997</v>
      </c>
      <c r="G1970" s="3">
        <v>644.9</v>
      </c>
      <c r="H1970" s="3">
        <v>8.9710000000000001</v>
      </c>
      <c r="I1970" s="13">
        <f t="shared" si="31"/>
        <v>2.6581605528973902</v>
      </c>
    </row>
    <row r="1971" spans="2:9">
      <c r="C1971" s="3">
        <v>2.9289999999999998</v>
      </c>
      <c r="D1971" s="21">
        <v>205.5</v>
      </c>
      <c r="E1971" s="3">
        <v>99.24</v>
      </c>
      <c r="F1971" s="3">
        <v>37.33</v>
      </c>
      <c r="G1971" s="3">
        <v>653.4</v>
      </c>
      <c r="H1971" s="3">
        <v>9.0139999999999993</v>
      </c>
      <c r="I1971" s="13">
        <f t="shared" si="31"/>
        <v>2.65845164746852</v>
      </c>
    </row>
    <row r="1972" spans="2:9">
      <c r="C1972" s="3">
        <v>2.9390000000000001</v>
      </c>
      <c r="D1972" s="21">
        <v>244.2</v>
      </c>
      <c r="E1972" s="3">
        <v>99.55</v>
      </c>
      <c r="F1972" s="3">
        <v>37.78</v>
      </c>
      <c r="G1972" s="3">
        <v>653</v>
      </c>
      <c r="H1972" s="3">
        <v>9.218</v>
      </c>
      <c r="I1972" s="13">
        <f t="shared" si="31"/>
        <v>2.6349920592906302</v>
      </c>
    </row>
    <row r="1973" spans="2:9">
      <c r="C1973" s="3">
        <v>2.9409999999999998</v>
      </c>
      <c r="D1973" s="21">
        <v>241</v>
      </c>
      <c r="E1973" s="3">
        <v>99.71</v>
      </c>
      <c r="F1973" s="3">
        <v>37.159999999999997</v>
      </c>
      <c r="G1973" s="3">
        <v>643.9</v>
      </c>
      <c r="H1973" s="3">
        <v>9.2210000000000001</v>
      </c>
      <c r="I1973" s="13">
        <f t="shared" si="31"/>
        <v>2.6832615715823498</v>
      </c>
    </row>
    <row r="1974" spans="2:9">
      <c r="C1974" s="3">
        <v>2.9430000000000001</v>
      </c>
      <c r="D1974" s="21">
        <v>241.1</v>
      </c>
      <c r="E1974" s="3">
        <v>99.4</v>
      </c>
      <c r="F1974" s="3">
        <v>37.61</v>
      </c>
      <c r="G1974" s="3">
        <v>641.9</v>
      </c>
      <c r="H1974" s="3">
        <v>9.48</v>
      </c>
      <c r="I1974" s="13">
        <f t="shared" si="31"/>
        <v>2.6429141185854799</v>
      </c>
    </row>
    <row r="1975" spans="2:9">
      <c r="C1975" s="3">
        <v>2.8980000000000001</v>
      </c>
      <c r="D1975" s="21">
        <v>221.3</v>
      </c>
      <c r="E1975" s="3">
        <v>99.56</v>
      </c>
      <c r="F1975" s="3">
        <v>37.46</v>
      </c>
      <c r="G1975" s="3">
        <v>644.20000000000005</v>
      </c>
      <c r="H1975" s="3">
        <v>9.64</v>
      </c>
      <c r="I1975" s="13">
        <f t="shared" si="31"/>
        <v>2.6577682861719198</v>
      </c>
    </row>
    <row r="1976" spans="2:9">
      <c r="C1976" s="3">
        <v>2.9180000000000001</v>
      </c>
      <c r="D1976" s="21">
        <v>184</v>
      </c>
      <c r="E1976" s="3">
        <v>99.7</v>
      </c>
      <c r="F1976" s="3">
        <v>37.47</v>
      </c>
      <c r="G1976" s="3">
        <v>640.29999999999995</v>
      </c>
      <c r="H1976" s="3">
        <v>9.8930000000000007</v>
      </c>
      <c r="I1976" s="13">
        <f t="shared" si="31"/>
        <v>2.6607953029089901</v>
      </c>
    </row>
    <row r="1977" spans="2:9">
      <c r="C1977" s="3">
        <v>2.9359999999999999</v>
      </c>
      <c r="D1977" s="21">
        <v>175</v>
      </c>
      <c r="E1977" s="3">
        <v>99.71</v>
      </c>
      <c r="F1977" s="3">
        <v>37.93</v>
      </c>
      <c r="G1977" s="3">
        <v>640</v>
      </c>
      <c r="H1977" s="3">
        <v>10.539</v>
      </c>
      <c r="I1977" s="13">
        <f t="shared" si="31"/>
        <v>2.6287898760875299</v>
      </c>
    </row>
    <row r="1978" spans="2:9">
      <c r="C1978" s="3">
        <v>2.9550000000000001</v>
      </c>
      <c r="D1978" s="21">
        <v>161.4</v>
      </c>
      <c r="E1978" s="3">
        <v>99.89</v>
      </c>
      <c r="F1978" s="3">
        <v>37.57</v>
      </c>
      <c r="G1978" s="3">
        <v>635</v>
      </c>
      <c r="H1978" s="3">
        <v>9.5050000000000008</v>
      </c>
      <c r="I1978" s="13">
        <f t="shared" si="31"/>
        <v>2.6587702954485</v>
      </c>
    </row>
    <row r="1979" spans="2:9">
      <c r="C1979" s="3">
        <v>2.9510000000000001</v>
      </c>
      <c r="D1979" s="21">
        <v>185.7</v>
      </c>
      <c r="E1979" s="3">
        <v>99.9</v>
      </c>
      <c r="F1979" s="3">
        <v>37.72</v>
      </c>
      <c r="G1979" s="3">
        <v>642.29999999999995</v>
      </c>
      <c r="H1979" s="3">
        <v>10.244999999999999</v>
      </c>
      <c r="I1979" s="13">
        <f t="shared" si="31"/>
        <v>2.64846235418876</v>
      </c>
    </row>
    <row r="1980" spans="2:9">
      <c r="C1980" s="3">
        <v>2.9420000000000002</v>
      </c>
      <c r="D1980" s="21">
        <v>201.5</v>
      </c>
      <c r="E1980" s="3">
        <v>100</v>
      </c>
      <c r="F1980" s="3">
        <v>37.42</v>
      </c>
      <c r="G1980" s="3">
        <v>631.1</v>
      </c>
      <c r="H1980" s="3">
        <v>10.323</v>
      </c>
      <c r="I1980" s="13">
        <f t="shared" si="31"/>
        <v>2.6723677177979699</v>
      </c>
    </row>
    <row r="1981" spans="2:9">
      <c r="C1981" s="3">
        <v>2.931</v>
      </c>
      <c r="D1981" s="21">
        <v>224.1</v>
      </c>
      <c r="E1981" s="3">
        <v>100.1</v>
      </c>
      <c r="F1981" s="3">
        <v>37.85</v>
      </c>
      <c r="G1981" s="3">
        <v>638.6</v>
      </c>
      <c r="H1981" s="3">
        <v>9.9390000000000001</v>
      </c>
      <c r="I1981" s="13">
        <f t="shared" si="31"/>
        <v>2.6446499339498</v>
      </c>
    </row>
    <row r="1982" spans="2:9">
      <c r="B1982" s="16">
        <v>100</v>
      </c>
      <c r="C1982" s="16">
        <v>1.948</v>
      </c>
      <c r="D1982" s="29">
        <v>181.1</v>
      </c>
      <c r="E1982" s="16">
        <v>94.5</v>
      </c>
      <c r="F1982" s="16">
        <v>38.1</v>
      </c>
      <c r="G1982" s="16">
        <v>613.79999999999995</v>
      </c>
      <c r="H1982" s="16">
        <v>8.0329999999999995</v>
      </c>
      <c r="I1982" s="13">
        <f t="shared" si="31"/>
        <v>2.48031496062992</v>
      </c>
    </row>
    <row r="1983" spans="2:9">
      <c r="C1983" s="3">
        <v>1.9510000000000001</v>
      </c>
      <c r="D1983" s="21">
        <v>181.3</v>
      </c>
      <c r="E1983" s="3">
        <v>94.9</v>
      </c>
      <c r="F1983" s="3">
        <v>38.6</v>
      </c>
      <c r="G1983" s="3">
        <v>602.79999999999995</v>
      </c>
      <c r="H1983" s="3">
        <v>7.89</v>
      </c>
      <c r="I1983" s="13">
        <f t="shared" si="31"/>
        <v>2.45854922279793</v>
      </c>
    </row>
    <row r="1984" spans="2:9">
      <c r="C1984" s="3">
        <v>1.923</v>
      </c>
      <c r="D1984" s="21">
        <v>188.9</v>
      </c>
      <c r="E1984" s="3">
        <v>95.05</v>
      </c>
      <c r="F1984" s="3">
        <v>38.5</v>
      </c>
      <c r="G1984" s="3">
        <v>602.9</v>
      </c>
      <c r="H1984" s="3">
        <v>7.18</v>
      </c>
      <c r="I1984" s="13">
        <f t="shared" si="31"/>
        <v>2.4688311688311702</v>
      </c>
    </row>
    <row r="1985" spans="3:9">
      <c r="C1985" s="3">
        <v>1.93</v>
      </c>
      <c r="D1985" s="21">
        <v>181.7</v>
      </c>
      <c r="E1985" s="3">
        <v>95</v>
      </c>
      <c r="F1985" s="3">
        <v>38.25</v>
      </c>
      <c r="G1985" s="3">
        <v>605</v>
      </c>
      <c r="H1985" s="3">
        <v>7.86</v>
      </c>
      <c r="I1985" s="13">
        <f t="shared" si="31"/>
        <v>2.4836601307189499</v>
      </c>
    </row>
    <row r="1986" spans="3:9">
      <c r="C1986" s="3">
        <v>1.899</v>
      </c>
      <c r="D1986" s="21">
        <v>182.9</v>
      </c>
      <c r="E1986" s="3">
        <v>94.45</v>
      </c>
      <c r="F1986" s="3">
        <v>38.19</v>
      </c>
      <c r="G1986" s="3">
        <v>612.29999999999995</v>
      </c>
      <c r="H1986" s="3">
        <v>7.89</v>
      </c>
      <c r="I1986" s="13">
        <f t="shared" si="31"/>
        <v>2.4731605132233598</v>
      </c>
    </row>
    <row r="1987" spans="3:9">
      <c r="C1987" s="3">
        <v>1.917</v>
      </c>
      <c r="D1987" s="21">
        <v>189</v>
      </c>
      <c r="E1987" s="3">
        <v>95.15</v>
      </c>
      <c r="F1987" s="3">
        <v>38.21</v>
      </c>
      <c r="G1987" s="3">
        <v>615.1</v>
      </c>
      <c r="H1987" s="3">
        <v>8.5980000000000008</v>
      </c>
      <c r="I1987" s="13">
        <f t="shared" ref="I1987:I2001" si="32">E1987/F1987</f>
        <v>2.4901858152316101</v>
      </c>
    </row>
    <row r="1988" spans="3:9">
      <c r="C1988" s="3">
        <v>1.9330000000000001</v>
      </c>
      <c r="D1988" s="21">
        <v>191.3</v>
      </c>
      <c r="E1988" s="3">
        <v>95.52</v>
      </c>
      <c r="F1988" s="3">
        <v>38.33</v>
      </c>
      <c r="G1988" s="3">
        <v>616.29999999999995</v>
      </c>
      <c r="H1988" s="3">
        <v>8.9250000000000007</v>
      </c>
      <c r="I1988" s="13">
        <f t="shared" si="32"/>
        <v>2.4920427863292498</v>
      </c>
    </row>
    <row r="1989" spans="3:9">
      <c r="C1989" s="3">
        <v>1.895</v>
      </c>
      <c r="D1989" s="21">
        <v>179.75</v>
      </c>
      <c r="E1989" s="3">
        <v>95.36</v>
      </c>
      <c r="F1989" s="3">
        <v>38.54</v>
      </c>
      <c r="G1989" s="3">
        <v>611.5</v>
      </c>
      <c r="H1989" s="3">
        <v>6.9950000000000001</v>
      </c>
      <c r="I1989" s="13">
        <f t="shared" si="32"/>
        <v>2.4743124026985002</v>
      </c>
    </row>
    <row r="1990" spans="3:9">
      <c r="C1990" s="3">
        <v>1.875</v>
      </c>
      <c r="D1990" s="21">
        <v>181.3</v>
      </c>
      <c r="E1990" s="3">
        <v>95.74</v>
      </c>
      <c r="F1990" s="3">
        <v>38.409999999999997</v>
      </c>
      <c r="G1990" s="3">
        <v>623.20000000000005</v>
      </c>
      <c r="H1990" s="3">
        <v>6.4820000000000002</v>
      </c>
      <c r="I1990" s="13">
        <f t="shared" si="32"/>
        <v>2.4925800572767498</v>
      </c>
    </row>
    <row r="1991" spans="3:9">
      <c r="C1991" s="3">
        <v>1.899</v>
      </c>
      <c r="D1991" s="21">
        <v>180.6</v>
      </c>
      <c r="E1991" s="3">
        <v>95.55</v>
      </c>
      <c r="F1991" s="3">
        <v>38.67</v>
      </c>
      <c r="G1991" s="3">
        <v>615</v>
      </c>
      <c r="H1991" s="3">
        <v>8.2560000000000002</v>
      </c>
      <c r="I1991" s="13">
        <f t="shared" si="32"/>
        <v>2.4709076803723802</v>
      </c>
    </row>
    <row r="1992" spans="3:9">
      <c r="C1992" s="3">
        <v>1.9019999999999999</v>
      </c>
      <c r="D1992" s="21">
        <v>186.7</v>
      </c>
      <c r="E1992" s="3">
        <v>95.43</v>
      </c>
      <c r="F1992" s="3">
        <v>38.11</v>
      </c>
      <c r="G1992" s="3">
        <v>612.6</v>
      </c>
      <c r="H1992" s="3">
        <v>8.4079999999999995</v>
      </c>
      <c r="I1992" s="13">
        <f t="shared" si="32"/>
        <v>2.5040671739700899</v>
      </c>
    </row>
    <row r="1993" spans="3:9">
      <c r="C1993" s="3">
        <v>1.901</v>
      </c>
      <c r="D1993" s="21">
        <v>168.26</v>
      </c>
      <c r="E1993" s="3">
        <v>95.78</v>
      </c>
      <c r="F1993" s="3">
        <v>38.369999999999997</v>
      </c>
      <c r="G1993" s="3">
        <v>605.9</v>
      </c>
      <c r="H1993" s="3">
        <v>6.665</v>
      </c>
      <c r="I1993" s="13">
        <f t="shared" si="32"/>
        <v>2.4962210059942702</v>
      </c>
    </row>
    <row r="1994" spans="3:9">
      <c r="C1994" s="3">
        <v>1.8919999999999999</v>
      </c>
      <c r="D1994" s="21">
        <v>163.61000000000001</v>
      </c>
      <c r="E1994" s="3">
        <v>95.83</v>
      </c>
      <c r="F1994" s="3">
        <v>38.54</v>
      </c>
      <c r="G1994" s="3">
        <v>602.79999999999995</v>
      </c>
      <c r="H1994" s="3">
        <v>8.2560000000000002</v>
      </c>
      <c r="I1994" s="13">
        <f t="shared" si="32"/>
        <v>2.4865075246497099</v>
      </c>
    </row>
    <row r="1995" spans="3:9">
      <c r="C1995" s="3">
        <v>1.923</v>
      </c>
      <c r="D1995" s="21">
        <v>164.64</v>
      </c>
      <c r="E1995" s="3">
        <v>95.56</v>
      </c>
      <c r="F1995" s="3">
        <v>38.200000000000003</v>
      </c>
      <c r="G1995" s="3">
        <v>595.4</v>
      </c>
      <c r="H1995" s="3">
        <v>8.4130000000000003</v>
      </c>
      <c r="I1995" s="13">
        <f t="shared" si="32"/>
        <v>2.5015706806282698</v>
      </c>
    </row>
    <row r="1996" spans="3:9">
      <c r="C1996" s="3">
        <v>1.9510000000000001</v>
      </c>
      <c r="D1996" s="21">
        <v>188.3</v>
      </c>
      <c r="E1996" s="3">
        <v>95.01</v>
      </c>
      <c r="F1996" s="3">
        <v>38.46</v>
      </c>
      <c r="G1996" s="3">
        <v>604</v>
      </c>
      <c r="H1996" s="3">
        <v>7.2649999999999997</v>
      </c>
      <c r="I1996" s="13">
        <f t="shared" si="32"/>
        <v>2.4703588143525699</v>
      </c>
    </row>
    <row r="1997" spans="3:9">
      <c r="C1997" s="3">
        <v>1.9530000000000001</v>
      </c>
      <c r="D1997" s="21">
        <v>169.74</v>
      </c>
      <c r="E1997" s="3">
        <v>95.06</v>
      </c>
      <c r="F1997" s="3">
        <v>38.42</v>
      </c>
      <c r="G1997" s="3">
        <v>612.4</v>
      </c>
      <c r="H1997" s="3">
        <v>7.18</v>
      </c>
      <c r="I1997" s="13">
        <f t="shared" si="32"/>
        <v>2.4742321707444002</v>
      </c>
    </row>
    <row r="1998" spans="3:9">
      <c r="C1998" s="3">
        <v>1.9470000000000001</v>
      </c>
      <c r="D1998" s="21">
        <v>174.3</v>
      </c>
      <c r="E1998" s="3">
        <v>94.96</v>
      </c>
      <c r="F1998" s="3">
        <v>38.15</v>
      </c>
      <c r="G1998" s="3">
        <v>613.70000000000005</v>
      </c>
      <c r="H1998" s="3">
        <v>7.1580000000000004</v>
      </c>
      <c r="I1998" s="13">
        <f t="shared" si="32"/>
        <v>2.4891218872870202</v>
      </c>
    </row>
    <row r="1999" spans="3:9">
      <c r="C1999" s="3">
        <v>1.9259999999999999</v>
      </c>
      <c r="D1999" s="21">
        <v>178.05</v>
      </c>
      <c r="E1999" s="3">
        <v>95.5</v>
      </c>
      <c r="F1999" s="3">
        <v>38.54</v>
      </c>
      <c r="G1999" s="3">
        <v>618.29999999999995</v>
      </c>
      <c r="H1999" s="3">
        <v>8.0570000000000004</v>
      </c>
      <c r="I1999" s="13">
        <f t="shared" si="32"/>
        <v>2.47794499221588</v>
      </c>
    </row>
    <row r="2000" spans="3:9">
      <c r="C2000" s="3">
        <v>1.909</v>
      </c>
      <c r="D2000" s="21">
        <v>190.5</v>
      </c>
      <c r="E2000" s="3">
        <v>95.2</v>
      </c>
      <c r="F2000" s="3">
        <v>38.520000000000003</v>
      </c>
      <c r="G2000" s="3">
        <v>618.79999999999995</v>
      </c>
      <c r="H2000" s="3">
        <v>8.0329999999999995</v>
      </c>
      <c r="I2000" s="13">
        <f t="shared" si="32"/>
        <v>2.4714434060228401</v>
      </c>
    </row>
    <row r="2001" spans="2:9">
      <c r="C2001" s="3">
        <v>1.9330000000000001</v>
      </c>
      <c r="D2001" s="21">
        <v>182</v>
      </c>
      <c r="E2001" s="3">
        <v>95.27</v>
      </c>
      <c r="F2001" s="3">
        <v>38.29</v>
      </c>
      <c r="G2001" s="3">
        <v>623.20000000000005</v>
      </c>
      <c r="H2001" s="3">
        <v>8.1370000000000005</v>
      </c>
      <c r="I2001" s="13">
        <f t="shared" si="32"/>
        <v>2.48811700182815</v>
      </c>
    </row>
    <row r="2002" spans="2:9">
      <c r="B2002" s="30" t="s">
        <v>10</v>
      </c>
      <c r="C2002" s="31">
        <f t="shared" ref="C2002:I2002" si="33">AVERAGE(C2:C2001)</f>
        <v>2.49939445</v>
      </c>
      <c r="D2002" s="59">
        <f t="shared" si="33"/>
        <v>185.6462249999997</v>
      </c>
      <c r="E2002" s="31">
        <f t="shared" si="33"/>
        <v>91.326081999999801</v>
      </c>
      <c r="F2002" s="31">
        <f t="shared" si="33"/>
        <v>33.921765000000001</v>
      </c>
      <c r="G2002" s="31">
        <f t="shared" si="33"/>
        <v>640.7440335</v>
      </c>
      <c r="H2002" s="31">
        <f t="shared" si="33"/>
        <v>8.4056835000000092</v>
      </c>
      <c r="I2002" s="32">
        <f t="shared" si="33"/>
        <v>2.8767410442964998</v>
      </c>
    </row>
    <row r="2003" spans="2:9">
      <c r="C2003" s="20"/>
      <c r="E2003" s="20"/>
      <c r="F2003" s="20"/>
      <c r="G2003" s="20"/>
      <c r="H2003" s="20"/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T34"/>
  <sheetViews>
    <sheetView topLeftCell="H1" workbookViewId="0">
      <selection activeCell="L9" sqref="L9"/>
    </sheetView>
  </sheetViews>
  <sheetFormatPr defaultColWidth="9.21875" defaultRowHeight="14.4"/>
  <cols>
    <col min="2" max="2" width="10.33203125"/>
    <col min="3" max="4" width="9.21875" style="1"/>
    <col min="5" max="5" width="11" style="2" customWidth="1"/>
    <col min="6" max="6" width="10.6640625" style="2" customWidth="1"/>
    <col min="7" max="7" width="11.77734375" style="3" customWidth="1"/>
    <col min="8" max="8" width="13.44140625" style="3" customWidth="1"/>
    <col min="9" max="9" width="12.88671875" style="3" customWidth="1"/>
    <col min="10" max="10" width="9.21875" style="3"/>
    <col min="15" max="15" width="16.109375" customWidth="1"/>
  </cols>
  <sheetData>
    <row r="3" spans="4:20">
      <c r="P3" s="8"/>
      <c r="Q3" s="8"/>
    </row>
    <row r="4" spans="4:20">
      <c r="D4"/>
      <c r="E4" s="3"/>
      <c r="F4" s="3"/>
    </row>
    <row r="5" spans="4:20">
      <c r="D5"/>
      <c r="E5" s="4" t="s">
        <v>11</v>
      </c>
      <c r="F5" s="5" t="s">
        <v>12</v>
      </c>
      <c r="G5" s="5" t="s">
        <v>13</v>
      </c>
      <c r="H5" s="5" t="s">
        <v>14</v>
      </c>
      <c r="I5" s="9" t="s">
        <v>15</v>
      </c>
      <c r="J5" s="5" t="s">
        <v>16</v>
      </c>
      <c r="O5" s="10" t="s">
        <v>11</v>
      </c>
      <c r="P5" s="11" t="s">
        <v>12</v>
      </c>
      <c r="Q5" s="11" t="s">
        <v>13</v>
      </c>
      <c r="R5" s="11" t="s">
        <v>14</v>
      </c>
      <c r="S5" s="12" t="s">
        <v>15</v>
      </c>
      <c r="T5" s="11" t="s">
        <v>16</v>
      </c>
    </row>
    <row r="6" spans="4:20">
      <c r="D6"/>
      <c r="E6" s="3"/>
      <c r="F6" s="5" t="s">
        <v>17</v>
      </c>
      <c r="G6" s="3">
        <v>16</v>
      </c>
      <c r="H6" s="3">
        <v>451</v>
      </c>
      <c r="I6" s="3">
        <v>719</v>
      </c>
      <c r="J6" s="3">
        <v>814</v>
      </c>
      <c r="P6" s="11" t="s">
        <v>17</v>
      </c>
      <c r="Q6">
        <f>16/2000*100</f>
        <v>0.8</v>
      </c>
      <c r="R6">
        <f>451/2000*100</f>
        <v>22.55</v>
      </c>
      <c r="S6">
        <f>719/2000*100</f>
        <v>35.950000000000003</v>
      </c>
      <c r="T6">
        <f>814/2000*100</f>
        <v>40.700000000000003</v>
      </c>
    </row>
    <row r="7" spans="4:20">
      <c r="D7"/>
      <c r="E7" s="3"/>
      <c r="F7" s="5" t="s">
        <v>18</v>
      </c>
      <c r="G7" s="3">
        <v>21</v>
      </c>
      <c r="H7" s="3">
        <v>712</v>
      </c>
      <c r="I7" s="3">
        <f>2000-439-712-21</f>
        <v>828</v>
      </c>
      <c r="J7" s="3">
        <v>439</v>
      </c>
      <c r="P7" s="11" t="s">
        <v>18</v>
      </c>
      <c r="Q7">
        <v>1.05</v>
      </c>
      <c r="R7">
        <f>712/2000*100</f>
        <v>35.6</v>
      </c>
      <c r="S7">
        <f t="shared" ref="S7:T9" si="0">I7/2000*100</f>
        <v>41.4</v>
      </c>
      <c r="T7">
        <f t="shared" si="0"/>
        <v>21.95</v>
      </c>
    </row>
    <row r="8" spans="4:20">
      <c r="D8"/>
      <c r="E8" s="3"/>
      <c r="F8" s="5" t="s">
        <v>19</v>
      </c>
      <c r="G8" s="3">
        <v>34</v>
      </c>
      <c r="H8" s="3">
        <v>621</v>
      </c>
      <c r="I8" s="3">
        <f>2000-258-621-34</f>
        <v>1087</v>
      </c>
      <c r="J8" s="3">
        <v>258</v>
      </c>
      <c r="P8" s="11" t="s">
        <v>19</v>
      </c>
      <c r="Q8">
        <f>G8/2000*100</f>
        <v>1.7</v>
      </c>
      <c r="R8">
        <f>H8/2000*100</f>
        <v>31.05</v>
      </c>
      <c r="S8">
        <f t="shared" si="0"/>
        <v>54.35</v>
      </c>
      <c r="T8">
        <f t="shared" si="0"/>
        <v>12.9</v>
      </c>
    </row>
    <row r="9" spans="4:20">
      <c r="D9"/>
      <c r="E9" s="3"/>
      <c r="F9" s="5" t="s">
        <v>20</v>
      </c>
      <c r="G9" s="3">
        <v>148</v>
      </c>
      <c r="H9" s="3">
        <v>760</v>
      </c>
      <c r="I9" s="3">
        <f>2000-385-760-148</f>
        <v>707</v>
      </c>
      <c r="J9" s="3">
        <v>385</v>
      </c>
      <c r="P9" s="11" t="s">
        <v>20</v>
      </c>
      <c r="Q9">
        <f>G9/2000*100</f>
        <v>7.4</v>
      </c>
      <c r="R9">
        <f>H9/2000*100</f>
        <v>38</v>
      </c>
      <c r="S9">
        <f t="shared" si="0"/>
        <v>35.35</v>
      </c>
      <c r="T9">
        <f t="shared" si="0"/>
        <v>19.25</v>
      </c>
    </row>
    <row r="10" spans="4:20">
      <c r="D10"/>
      <c r="E10" s="3"/>
      <c r="F10" s="3"/>
    </row>
    <row r="11" spans="4:20">
      <c r="D11"/>
      <c r="E11" s="4" t="s">
        <v>9</v>
      </c>
      <c r="F11" s="5" t="s">
        <v>12</v>
      </c>
      <c r="G11" s="5" t="s">
        <v>21</v>
      </c>
      <c r="H11" s="6" t="s">
        <v>22</v>
      </c>
      <c r="I11" s="5" t="s">
        <v>23</v>
      </c>
      <c r="J11" s="5" t="s">
        <v>16</v>
      </c>
      <c r="O11" s="4" t="s">
        <v>9</v>
      </c>
      <c r="P11" s="5" t="s">
        <v>12</v>
      </c>
      <c r="Q11" s="5" t="s">
        <v>21</v>
      </c>
      <c r="R11" s="6" t="s">
        <v>22</v>
      </c>
      <c r="S11" s="5" t="s">
        <v>23</v>
      </c>
      <c r="T11" s="5" t="s">
        <v>16</v>
      </c>
    </row>
    <row r="12" spans="4:20">
      <c r="D12"/>
      <c r="E12" s="3"/>
      <c r="F12" s="5" t="s">
        <v>17</v>
      </c>
      <c r="G12" s="3">
        <v>517</v>
      </c>
      <c r="H12" s="3">
        <v>998</v>
      </c>
      <c r="I12" s="3">
        <v>501</v>
      </c>
      <c r="J12" s="3">
        <v>0</v>
      </c>
      <c r="O12" s="3"/>
      <c r="P12" s="5" t="s">
        <v>17</v>
      </c>
      <c r="Q12" s="3">
        <f t="shared" ref="Q12:T15" si="1">G12/2000*100</f>
        <v>25.85</v>
      </c>
      <c r="R12" s="3">
        <f t="shared" si="1"/>
        <v>49.9</v>
      </c>
      <c r="S12" s="3">
        <f t="shared" si="1"/>
        <v>25.05</v>
      </c>
      <c r="T12" s="3">
        <f t="shared" si="1"/>
        <v>0</v>
      </c>
    </row>
    <row r="13" spans="4:20">
      <c r="D13"/>
      <c r="E13" s="3"/>
      <c r="F13" s="5" t="s">
        <v>18</v>
      </c>
      <c r="G13" s="3">
        <v>462</v>
      </c>
      <c r="H13" s="3">
        <v>693</v>
      </c>
      <c r="I13" s="3">
        <f>2000-693-462-59</f>
        <v>786</v>
      </c>
      <c r="J13" s="3">
        <v>59</v>
      </c>
      <c r="M13" s="8"/>
      <c r="O13" s="3"/>
      <c r="P13" s="5" t="s">
        <v>18</v>
      </c>
      <c r="Q13" s="3">
        <f t="shared" si="1"/>
        <v>23.1</v>
      </c>
      <c r="R13" s="3">
        <f t="shared" si="1"/>
        <v>34.65</v>
      </c>
      <c r="S13" s="3">
        <f t="shared" si="1"/>
        <v>39.299999999999997</v>
      </c>
      <c r="T13" s="3">
        <f t="shared" si="1"/>
        <v>2.95</v>
      </c>
    </row>
    <row r="14" spans="4:20">
      <c r="D14"/>
      <c r="E14" s="3"/>
      <c r="F14" s="5" t="s">
        <v>19</v>
      </c>
      <c r="G14" s="3">
        <v>259</v>
      </c>
      <c r="H14" s="3">
        <v>879</v>
      </c>
      <c r="I14" s="3">
        <f>2000-20-879-259</f>
        <v>842</v>
      </c>
      <c r="J14" s="3">
        <v>20</v>
      </c>
      <c r="O14" s="3"/>
      <c r="P14" s="5" t="s">
        <v>19</v>
      </c>
      <c r="Q14" s="3">
        <f t="shared" si="1"/>
        <v>12.95</v>
      </c>
      <c r="R14" s="3">
        <f t="shared" si="1"/>
        <v>43.95</v>
      </c>
      <c r="S14" s="3">
        <f t="shared" si="1"/>
        <v>42.1</v>
      </c>
      <c r="T14" s="3">
        <f t="shared" si="1"/>
        <v>1</v>
      </c>
    </row>
    <row r="15" spans="4:20">
      <c r="D15"/>
      <c r="E15" s="3"/>
      <c r="F15" s="5" t="s">
        <v>20</v>
      </c>
      <c r="G15" s="3">
        <v>139</v>
      </c>
      <c r="H15" s="3">
        <v>731</v>
      </c>
      <c r="I15" s="3">
        <f>2000-183-731-139</f>
        <v>947</v>
      </c>
      <c r="J15" s="3">
        <v>183</v>
      </c>
      <c r="O15" s="3"/>
      <c r="P15" s="5" t="s">
        <v>20</v>
      </c>
      <c r="Q15" s="3">
        <f t="shared" si="1"/>
        <v>6.95</v>
      </c>
      <c r="R15" s="3">
        <f t="shared" si="1"/>
        <v>36.549999999999997</v>
      </c>
      <c r="S15" s="3">
        <f t="shared" si="1"/>
        <v>47.35</v>
      </c>
      <c r="T15" s="3">
        <f t="shared" si="1"/>
        <v>9.15</v>
      </c>
    </row>
    <row r="16" spans="4:20">
      <c r="D16"/>
      <c r="E16" s="3"/>
      <c r="F16" s="3"/>
      <c r="O16" s="3"/>
      <c r="P16" s="3"/>
      <c r="Q16" s="3"/>
      <c r="R16" s="3"/>
      <c r="S16" s="3"/>
      <c r="T16" s="3"/>
    </row>
    <row r="17" spans="4:20">
      <c r="D17"/>
      <c r="E17" s="4" t="s">
        <v>24</v>
      </c>
      <c r="F17" s="5" t="s">
        <v>12</v>
      </c>
      <c r="G17" s="5" t="s">
        <v>25</v>
      </c>
      <c r="H17" s="5" t="s">
        <v>26</v>
      </c>
      <c r="I17" s="5" t="s">
        <v>27</v>
      </c>
      <c r="J17" s="5" t="s">
        <v>28</v>
      </c>
      <c r="O17" s="4" t="s">
        <v>24</v>
      </c>
      <c r="P17" s="5" t="s">
        <v>12</v>
      </c>
      <c r="Q17" s="5" t="s">
        <v>25</v>
      </c>
      <c r="R17" s="5" t="s">
        <v>26</v>
      </c>
      <c r="S17" s="5" t="s">
        <v>27</v>
      </c>
      <c r="T17" s="5" t="s">
        <v>28</v>
      </c>
    </row>
    <row r="18" spans="4:20">
      <c r="D18"/>
      <c r="E18" s="3"/>
      <c r="F18" s="5" t="s">
        <v>17</v>
      </c>
      <c r="G18" s="3">
        <v>169</v>
      </c>
      <c r="H18" s="3">
        <v>429</v>
      </c>
      <c r="I18" s="3">
        <v>1397</v>
      </c>
      <c r="J18" s="3">
        <v>5</v>
      </c>
      <c r="O18" s="3"/>
      <c r="P18" s="5" t="s">
        <v>17</v>
      </c>
      <c r="Q18" s="3">
        <f t="shared" ref="Q18:T21" si="2">G18/2000*100</f>
        <v>8.4499999999999993</v>
      </c>
      <c r="R18" s="3">
        <f t="shared" si="2"/>
        <v>21.45</v>
      </c>
      <c r="S18" s="3">
        <f t="shared" si="2"/>
        <v>69.849999999999994</v>
      </c>
      <c r="T18" s="3">
        <f t="shared" si="2"/>
        <v>0.25</v>
      </c>
    </row>
    <row r="19" spans="4:20">
      <c r="D19"/>
      <c r="E19" s="3"/>
      <c r="F19" s="5" t="s">
        <v>18</v>
      </c>
      <c r="G19" s="3">
        <v>47</v>
      </c>
      <c r="H19" s="3">
        <v>207</v>
      </c>
      <c r="I19" s="3">
        <f>2000-131-207-47</f>
        <v>1615</v>
      </c>
      <c r="J19" s="3">
        <v>131</v>
      </c>
      <c r="O19" s="3"/>
      <c r="P19" s="5" t="s">
        <v>18</v>
      </c>
      <c r="Q19" s="3">
        <f t="shared" si="2"/>
        <v>2.35</v>
      </c>
      <c r="R19" s="3">
        <f t="shared" si="2"/>
        <v>10.35</v>
      </c>
      <c r="S19" s="3">
        <f t="shared" si="2"/>
        <v>80.75</v>
      </c>
      <c r="T19" s="3">
        <f t="shared" si="2"/>
        <v>6.55</v>
      </c>
    </row>
    <row r="20" spans="4:20">
      <c r="D20"/>
      <c r="E20" s="3"/>
      <c r="F20" s="5" t="s">
        <v>19</v>
      </c>
      <c r="G20" s="3">
        <v>22</v>
      </c>
      <c r="H20" s="3">
        <v>101</v>
      </c>
      <c r="I20" s="3">
        <f>2000-321-101-22</f>
        <v>1556</v>
      </c>
      <c r="J20" s="3">
        <v>321</v>
      </c>
      <c r="O20" s="3"/>
      <c r="P20" s="5" t="s">
        <v>19</v>
      </c>
      <c r="Q20" s="3">
        <f t="shared" si="2"/>
        <v>1.1000000000000001</v>
      </c>
      <c r="R20" s="3">
        <f t="shared" si="2"/>
        <v>5.05</v>
      </c>
      <c r="S20" s="3">
        <f t="shared" si="2"/>
        <v>77.8</v>
      </c>
      <c r="T20" s="3">
        <f t="shared" si="2"/>
        <v>16.05</v>
      </c>
    </row>
    <row r="21" spans="4:20">
      <c r="D21"/>
      <c r="E21" s="3"/>
      <c r="F21" s="5" t="s">
        <v>20</v>
      </c>
      <c r="G21" s="3">
        <v>0</v>
      </c>
      <c r="H21" s="3">
        <v>9</v>
      </c>
      <c r="I21" s="3">
        <f>2000-517-9</f>
        <v>1474</v>
      </c>
      <c r="J21" s="3">
        <v>517</v>
      </c>
      <c r="O21" s="3"/>
      <c r="P21" s="5" t="s">
        <v>20</v>
      </c>
      <c r="Q21" s="3">
        <f t="shared" si="2"/>
        <v>0</v>
      </c>
      <c r="R21" s="3">
        <f t="shared" si="2"/>
        <v>0.45</v>
      </c>
      <c r="S21" s="3">
        <f t="shared" si="2"/>
        <v>73.7</v>
      </c>
      <c r="T21" s="3">
        <f t="shared" si="2"/>
        <v>25.85</v>
      </c>
    </row>
    <row r="22" spans="4:20">
      <c r="D22"/>
      <c r="E22" s="3"/>
      <c r="F22" s="3"/>
      <c r="O22" s="3"/>
      <c r="P22" s="3"/>
      <c r="Q22" s="3"/>
      <c r="R22" s="3"/>
      <c r="S22" s="3"/>
      <c r="T22" s="3"/>
    </row>
    <row r="23" spans="4:20">
      <c r="D23"/>
      <c r="E23" s="4" t="s">
        <v>29</v>
      </c>
      <c r="F23" s="5" t="s">
        <v>12</v>
      </c>
      <c r="G23" s="5" t="s">
        <v>30</v>
      </c>
      <c r="H23" s="5" t="s">
        <v>31</v>
      </c>
      <c r="I23" s="5" t="s">
        <v>32</v>
      </c>
      <c r="J23" s="5" t="s">
        <v>33</v>
      </c>
      <c r="O23" s="4" t="s">
        <v>29</v>
      </c>
      <c r="P23" s="5" t="s">
        <v>12</v>
      </c>
      <c r="Q23" s="5" t="s">
        <v>30</v>
      </c>
      <c r="R23" s="5" t="s">
        <v>31</v>
      </c>
      <c r="S23" s="5" t="s">
        <v>32</v>
      </c>
      <c r="T23" s="5" t="s">
        <v>33</v>
      </c>
    </row>
    <row r="24" spans="4:20">
      <c r="D24"/>
      <c r="E24" s="3"/>
      <c r="F24" s="5" t="s">
        <v>17</v>
      </c>
      <c r="G24" s="3">
        <v>27</v>
      </c>
      <c r="H24" s="3">
        <v>825</v>
      </c>
      <c r="I24" s="3">
        <v>1008</v>
      </c>
      <c r="J24" s="3">
        <f>2000-1008-825-27</f>
        <v>140</v>
      </c>
      <c r="O24" s="3"/>
      <c r="P24" s="5" t="s">
        <v>17</v>
      </c>
      <c r="Q24" s="3">
        <f t="shared" ref="Q24:T27" si="3">G24/2000*100</f>
        <v>1.35</v>
      </c>
      <c r="R24" s="3">
        <f t="shared" si="3"/>
        <v>41.25</v>
      </c>
      <c r="S24" s="3">
        <f t="shared" si="3"/>
        <v>50.4</v>
      </c>
      <c r="T24" s="3">
        <f t="shared" si="3"/>
        <v>7</v>
      </c>
    </row>
    <row r="25" spans="4:20">
      <c r="D25"/>
      <c r="E25" s="3"/>
      <c r="F25" s="5" t="s">
        <v>18</v>
      </c>
      <c r="G25" s="3">
        <v>18</v>
      </c>
      <c r="H25" s="3">
        <v>1466</v>
      </c>
      <c r="I25" s="3">
        <v>516</v>
      </c>
      <c r="J25" s="3">
        <v>0</v>
      </c>
      <c r="O25" s="3"/>
      <c r="P25" s="5" t="s">
        <v>18</v>
      </c>
      <c r="Q25" s="3">
        <f t="shared" si="3"/>
        <v>0.9</v>
      </c>
      <c r="R25" s="3">
        <f t="shared" si="3"/>
        <v>73.3</v>
      </c>
      <c r="S25" s="3">
        <f t="shared" si="3"/>
        <v>25.8</v>
      </c>
      <c r="T25" s="3">
        <f t="shared" si="3"/>
        <v>0</v>
      </c>
    </row>
    <row r="26" spans="4:20">
      <c r="D26"/>
      <c r="E26" s="3"/>
      <c r="F26" s="5" t="s">
        <v>19</v>
      </c>
      <c r="G26" s="3">
        <v>82</v>
      </c>
      <c r="H26" s="3">
        <v>1704</v>
      </c>
      <c r="I26" s="3">
        <v>214</v>
      </c>
      <c r="J26" s="3">
        <v>0</v>
      </c>
      <c r="O26" s="3"/>
      <c r="P26" s="5" t="s">
        <v>19</v>
      </c>
      <c r="Q26" s="3">
        <f t="shared" si="3"/>
        <v>4.0999999999999996</v>
      </c>
      <c r="R26" s="3">
        <f t="shared" si="3"/>
        <v>85.2</v>
      </c>
      <c r="S26" s="3">
        <f t="shared" si="3"/>
        <v>10.7</v>
      </c>
      <c r="T26" s="3">
        <f t="shared" si="3"/>
        <v>0</v>
      </c>
    </row>
    <row r="27" spans="4:20">
      <c r="D27"/>
      <c r="E27" s="3"/>
      <c r="F27" s="5" t="s">
        <v>20</v>
      </c>
      <c r="G27" s="3">
        <v>1611</v>
      </c>
      <c r="H27" s="3">
        <v>387</v>
      </c>
      <c r="I27" s="3">
        <v>2</v>
      </c>
      <c r="J27" s="3">
        <v>0</v>
      </c>
      <c r="O27" s="3"/>
      <c r="P27" s="5" t="s">
        <v>20</v>
      </c>
      <c r="Q27" s="3">
        <f t="shared" si="3"/>
        <v>80.55</v>
      </c>
      <c r="R27" s="3">
        <f t="shared" si="3"/>
        <v>19.350000000000001</v>
      </c>
      <c r="S27" s="3">
        <f t="shared" si="3"/>
        <v>0.1</v>
      </c>
      <c r="T27" s="3">
        <f t="shared" si="3"/>
        <v>0</v>
      </c>
    </row>
    <row r="28" spans="4:20">
      <c r="D28"/>
      <c r="E28" s="3"/>
      <c r="F28" s="3"/>
      <c r="O28" s="3"/>
      <c r="P28" s="3"/>
      <c r="Q28" s="3"/>
      <c r="R28" s="3"/>
      <c r="S28" s="3"/>
      <c r="T28" s="3"/>
    </row>
    <row r="29" spans="4:20">
      <c r="D29"/>
      <c r="E29" s="4" t="s">
        <v>34</v>
      </c>
      <c r="F29" s="5" t="s">
        <v>12</v>
      </c>
      <c r="G29" s="5" t="s">
        <v>35</v>
      </c>
      <c r="H29" s="7" t="s">
        <v>36</v>
      </c>
      <c r="I29" s="5" t="s">
        <v>37</v>
      </c>
      <c r="J29" s="5" t="s">
        <v>38</v>
      </c>
      <c r="O29" s="4" t="s">
        <v>34</v>
      </c>
      <c r="P29" s="5" t="s">
        <v>12</v>
      </c>
      <c r="Q29" s="5" t="s">
        <v>35</v>
      </c>
      <c r="R29" s="7" t="s">
        <v>36</v>
      </c>
      <c r="S29" s="5" t="s">
        <v>37</v>
      </c>
      <c r="T29" s="5" t="s">
        <v>38</v>
      </c>
    </row>
    <row r="30" spans="4:20">
      <c r="D30"/>
      <c r="E30" s="3"/>
      <c r="F30" s="5" t="s">
        <v>17</v>
      </c>
      <c r="G30" s="3">
        <v>0</v>
      </c>
      <c r="H30" s="3">
        <v>36</v>
      </c>
      <c r="I30" s="3">
        <f>2000-1868-36</f>
        <v>96</v>
      </c>
      <c r="J30" s="3">
        <v>1868</v>
      </c>
      <c r="O30" s="3"/>
      <c r="P30" s="5" t="s">
        <v>17</v>
      </c>
      <c r="Q30" s="3">
        <f t="shared" ref="Q30:T33" si="4">G30/2000*100</f>
        <v>0</v>
      </c>
      <c r="R30" s="3">
        <f t="shared" si="4"/>
        <v>1.8</v>
      </c>
      <c r="S30" s="3">
        <f t="shared" si="4"/>
        <v>4.8</v>
      </c>
      <c r="T30" s="3">
        <f t="shared" si="4"/>
        <v>93.4</v>
      </c>
    </row>
    <row r="31" spans="4:20">
      <c r="D31"/>
      <c r="E31" s="3"/>
      <c r="F31" s="5" t="s">
        <v>18</v>
      </c>
      <c r="G31" s="3">
        <v>0</v>
      </c>
      <c r="H31" s="3">
        <v>91</v>
      </c>
      <c r="I31" s="3">
        <f>2000-1058-91</f>
        <v>851</v>
      </c>
      <c r="J31" s="3">
        <v>1058</v>
      </c>
      <c r="O31" s="3"/>
      <c r="P31" s="5" t="s">
        <v>18</v>
      </c>
      <c r="Q31" s="3">
        <f t="shared" si="4"/>
        <v>0</v>
      </c>
      <c r="R31" s="3">
        <f t="shared" si="4"/>
        <v>4.55</v>
      </c>
      <c r="S31" s="3">
        <f t="shared" si="4"/>
        <v>42.55</v>
      </c>
      <c r="T31" s="3">
        <f t="shared" si="4"/>
        <v>52.9</v>
      </c>
    </row>
    <row r="32" spans="4:20">
      <c r="D32"/>
      <c r="E32" s="3"/>
      <c r="F32" s="5" t="s">
        <v>19</v>
      </c>
      <c r="G32" s="3">
        <v>0</v>
      </c>
      <c r="H32" s="3">
        <v>224</v>
      </c>
      <c r="I32" s="3">
        <f>2000-269-224</f>
        <v>1507</v>
      </c>
      <c r="J32" s="3">
        <v>269</v>
      </c>
      <c r="O32" s="3"/>
      <c r="P32" s="5" t="s">
        <v>19</v>
      </c>
      <c r="Q32" s="3">
        <f t="shared" si="4"/>
        <v>0</v>
      </c>
      <c r="R32" s="3">
        <f t="shared" si="4"/>
        <v>11.2</v>
      </c>
      <c r="S32" s="3">
        <f t="shared" si="4"/>
        <v>75.349999999999994</v>
      </c>
      <c r="T32" s="3">
        <f t="shared" si="4"/>
        <v>13.45</v>
      </c>
    </row>
    <row r="33" spans="4:20">
      <c r="D33"/>
      <c r="E33" s="3"/>
      <c r="F33" s="5" t="s">
        <v>20</v>
      </c>
      <c r="G33" s="3">
        <v>359</v>
      </c>
      <c r="H33" s="3">
        <v>1233</v>
      </c>
      <c r="I33" s="3">
        <v>408</v>
      </c>
      <c r="J33" s="3">
        <v>0</v>
      </c>
      <c r="O33" s="3"/>
      <c r="P33" s="5" t="s">
        <v>20</v>
      </c>
      <c r="Q33" s="3">
        <f t="shared" si="4"/>
        <v>17.95</v>
      </c>
      <c r="R33" s="3">
        <f t="shared" si="4"/>
        <v>61.65</v>
      </c>
      <c r="S33" s="3">
        <f t="shared" si="4"/>
        <v>20.399999999999999</v>
      </c>
      <c r="T33" s="3">
        <f t="shared" si="4"/>
        <v>0</v>
      </c>
    </row>
    <row r="34" spans="4:20">
      <c r="D34"/>
      <c r="E34" s="3"/>
      <c r="F34" s="3"/>
    </row>
  </sheetData>
  <sortState xmlns:xlrd2="http://schemas.microsoft.com/office/spreadsheetml/2017/richdata2" ref="E2:E2003">
    <sortCondition descending="1" ref="E2"/>
  </sortState>
  <phoneticPr fontId="7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9.21875" defaultRowHeight="14.4"/>
  <sheetData/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P4</vt:lpstr>
      <vt:lpstr>P6</vt:lpstr>
      <vt:lpstr>P8</vt:lpstr>
      <vt:lpstr>P10</vt:lpstr>
      <vt:lpstr>统计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fujh</dc:creator>
  <cp:lastModifiedBy>睿昱 王</cp:lastModifiedBy>
  <dcterms:created xsi:type="dcterms:W3CDTF">2025-04-12T08:57:00Z</dcterms:created>
  <dcterms:modified xsi:type="dcterms:W3CDTF">2025-11-12T07:44:17Z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4C8D832E933E43BD8DBD8BBAA3239A6D_13</vt:lpwstr>
  </property>
  <property fmtid="{D5CDD505-2E9C-101B-9397-08002B2CF9AE}" pid="3" name="KSOProductBuildVer">
    <vt:lpwstr>2052-12.1.0.23125</vt:lpwstr>
  </property>
</Properties>
</file>